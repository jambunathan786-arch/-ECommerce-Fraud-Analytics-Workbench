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vaith\Downloads\risk analyst\"/>
    </mc:Choice>
  </mc:AlternateContent>
  <xr:revisionPtr revIDLastSave="0" documentId="13_ncr:1_{BD497A8C-4789-49E4-A8A1-FB6E52CB7E10}" xr6:coauthVersionLast="47" xr6:coauthVersionMax="47" xr10:uidLastSave="{00000000-0000-0000-0000-000000000000}"/>
  <bookViews>
    <workbookView xWindow="-108" yWindow="-108" windowWidth="23256" windowHeight="12456" xr2:uid="{00000000-000D-0000-FFFF-FFFF00000000}"/>
  </bookViews>
  <sheets>
    <sheet name="Executive Dashboard" sheetId="7" r:id="rId1"/>
    <sheet name="Orders Ledger" sheetId="1" r:id="rId2"/>
    <sheet name="Product Catalog" sheetId="2" r:id="rId3"/>
    <sheet name="Pivot" sheetId="5" r:id="rId4"/>
  </sheets>
  <definedNames>
    <definedName name="_xlnm._FilterDatabase" localSheetId="2" hidden="1">'Product Catalog'!$C$1:$C$151</definedName>
    <definedName name="_xlnm.Print_Area" localSheetId="0">'Executive Dashboard'!$A$1:$O$50</definedName>
    <definedName name="Slicer_Clean_Status">#N/A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7" l="1"/>
  <c r="A29" i="7"/>
  <c r="A20" i="7" a="1"/>
  <c r="A20" i="7" s="1"/>
  <c r="B432" i="5" a="1"/>
  <c r="B432" i="5" s="1"/>
  <c r="B433" i="5" a="1"/>
  <c r="B433" i="5" s="1"/>
  <c r="B434" i="5" a="1"/>
  <c r="B434" i="5" s="1"/>
  <c r="B435" i="5" a="1"/>
  <c r="B435" i="5" s="1"/>
  <c r="B436" i="5" a="1"/>
  <c r="B436" i="5" s="1"/>
  <c r="B437" i="5" a="1"/>
  <c r="B437" i="5" s="1"/>
  <c r="B438" i="5" a="1"/>
  <c r="B438" i="5" s="1"/>
  <c r="G438" i="5" s="1"/>
  <c r="B439" i="5" a="1"/>
  <c r="B439" i="5" s="1"/>
  <c r="C439" i="5" s="1"/>
  <c r="B440" i="5" a="1"/>
  <c r="B440" i="5" s="1"/>
  <c r="E440" i="5" s="1"/>
  <c r="B441" i="5" a="1"/>
  <c r="B441" i="5" s="1"/>
  <c r="B442" i="5" a="1"/>
  <c r="B442" i="5" s="1"/>
  <c r="C442" i="5" s="1"/>
  <c r="B443" i="5" a="1"/>
  <c r="B443" i="5" s="1"/>
  <c r="B444" i="5" a="1"/>
  <c r="B444" i="5" s="1"/>
  <c r="B445" i="5" a="1"/>
  <c r="B445" i="5" s="1"/>
  <c r="B446" i="5" a="1"/>
  <c r="B446" i="5" s="1"/>
  <c r="B447" i="5" a="1"/>
  <c r="B447" i="5" s="1"/>
  <c r="B448" i="5" a="1"/>
  <c r="B448" i="5" s="1"/>
  <c r="B151" i="5" a="1"/>
  <c r="B151" i="5" s="1"/>
  <c r="B152" i="5" a="1"/>
  <c r="B152" i="5" s="1"/>
  <c r="B153" i="5" a="1"/>
  <c r="B153" i="5" s="1"/>
  <c r="B154" i="5" a="1"/>
  <c r="B154" i="5" s="1"/>
  <c r="B155" i="5" a="1"/>
  <c r="B155" i="5" s="1"/>
  <c r="E155" i="5" s="1"/>
  <c r="B156" i="5" a="1"/>
  <c r="B156" i="5" s="1"/>
  <c r="G156" i="5" s="1"/>
  <c r="B157" i="5" a="1"/>
  <c r="B157" i="5" s="1"/>
  <c r="B158" i="5" a="1"/>
  <c r="B158" i="5" s="1"/>
  <c r="D158" i="5" s="1"/>
  <c r="B159" i="5" a="1"/>
  <c r="B159" i="5" s="1"/>
  <c r="B160" i="5" a="1"/>
  <c r="B160" i="5" s="1"/>
  <c r="B161" i="5" a="1"/>
  <c r="B161" i="5" s="1"/>
  <c r="B162" i="5" a="1"/>
  <c r="B162" i="5" s="1"/>
  <c r="C162" i="5" s="1"/>
  <c r="B163" i="5" a="1"/>
  <c r="B163" i="5" s="1"/>
  <c r="C163" i="5" s="1"/>
  <c r="B164" i="5" a="1"/>
  <c r="B164" i="5" s="1"/>
  <c r="B165" i="5" a="1"/>
  <c r="B165" i="5" s="1"/>
  <c r="G165" i="5" s="1"/>
  <c r="B166" i="5" a="1"/>
  <c r="B166" i="5" s="1"/>
  <c r="G166" i="5" s="1"/>
  <c r="B167" i="5" a="1"/>
  <c r="B167" i="5" s="1"/>
  <c r="F167" i="5" s="1"/>
  <c r="B168" i="5" a="1"/>
  <c r="B168" i="5" s="1"/>
  <c r="G168" i="5" s="1"/>
  <c r="B169" i="5" a="1"/>
  <c r="B169" i="5" s="1"/>
  <c r="G169" i="5" s="1"/>
  <c r="B170" i="5" a="1"/>
  <c r="B170" i="5" s="1"/>
  <c r="C170" i="5" s="1"/>
  <c r="B171" i="5" a="1"/>
  <c r="B171" i="5" s="1"/>
  <c r="F171" i="5" s="1"/>
  <c r="B172" i="5" a="1"/>
  <c r="B172" i="5" s="1"/>
  <c r="B173" i="5" a="1"/>
  <c r="B173" i="5" s="1"/>
  <c r="B174" i="5" a="1"/>
  <c r="B174" i="5" s="1"/>
  <c r="D174" i="5" s="1"/>
  <c r="B175" i="5" a="1"/>
  <c r="B175" i="5" s="1"/>
  <c r="B176" i="5" a="1"/>
  <c r="B176" i="5" s="1"/>
  <c r="B177" i="5" a="1"/>
  <c r="B177" i="5" s="1"/>
  <c r="B178" i="5" a="1"/>
  <c r="B178" i="5" s="1"/>
  <c r="B179" i="5" a="1"/>
  <c r="B179" i="5" s="1"/>
  <c r="E179" i="5" s="1"/>
  <c r="B180" i="5" a="1"/>
  <c r="B180" i="5" s="1"/>
  <c r="G180" i="5" s="1"/>
  <c r="B181" i="5" a="1"/>
  <c r="B181" i="5" s="1"/>
  <c r="B182" i="5" a="1"/>
  <c r="B182" i="5" s="1"/>
  <c r="C182" i="5" s="1"/>
  <c r="B183" i="5" a="1"/>
  <c r="B183" i="5" s="1"/>
  <c r="B184" i="5" a="1"/>
  <c r="B184" i="5" s="1"/>
  <c r="B185" i="5" a="1"/>
  <c r="B185" i="5" s="1"/>
  <c r="B186" i="5" a="1"/>
  <c r="B186" i="5" s="1"/>
  <c r="C186" i="5" s="1"/>
  <c r="B187" i="5" a="1"/>
  <c r="B187" i="5" s="1"/>
  <c r="B188" i="5" a="1"/>
  <c r="B188" i="5" s="1"/>
  <c r="B189" i="5" a="1"/>
  <c r="B189" i="5" s="1"/>
  <c r="G189" i="5" s="1"/>
  <c r="B190" i="5" a="1"/>
  <c r="B190" i="5" s="1"/>
  <c r="B191" i="5" a="1"/>
  <c r="B191" i="5" s="1"/>
  <c r="F191" i="5" s="1"/>
  <c r="B192" i="5" a="1"/>
  <c r="B192" i="5" s="1"/>
  <c r="G192" i="5" s="1"/>
  <c r="B193" i="5" a="1"/>
  <c r="B193" i="5" s="1"/>
  <c r="B194" i="5" a="1"/>
  <c r="B194" i="5" s="1"/>
  <c r="B195" i="5" a="1"/>
  <c r="B195" i="5" s="1"/>
  <c r="B196" i="5" a="1"/>
  <c r="B196" i="5" s="1"/>
  <c r="B197" i="5" a="1"/>
  <c r="B197" i="5" s="1"/>
  <c r="D197" i="5" s="1"/>
  <c r="B198" i="5" a="1"/>
  <c r="B198" i="5" s="1"/>
  <c r="C198" i="5" s="1"/>
  <c r="B199" i="5" a="1"/>
  <c r="B199" i="5" s="1"/>
  <c r="C199" i="5" s="1"/>
  <c r="B200" i="5" a="1"/>
  <c r="B200" i="5" s="1"/>
  <c r="B201" i="5" a="1"/>
  <c r="B201" i="5" s="1"/>
  <c r="C201" i="5" s="1"/>
  <c r="B202" i="5" a="1"/>
  <c r="B202" i="5" s="1"/>
  <c r="C202" i="5" s="1"/>
  <c r="B203" i="5" a="1"/>
  <c r="B203" i="5" s="1"/>
  <c r="E203" i="5" s="1"/>
  <c r="B204" i="5" a="1"/>
  <c r="B204" i="5" s="1"/>
  <c r="C204" i="5" s="1"/>
  <c r="B205" i="5" a="1"/>
  <c r="B205" i="5" s="1"/>
  <c r="B206" i="5" a="1"/>
  <c r="B206" i="5" s="1"/>
  <c r="B207" i="5" a="1"/>
  <c r="B207" i="5" s="1"/>
  <c r="B208" i="5" a="1"/>
  <c r="B208" i="5" s="1"/>
  <c r="G208" i="5" s="1"/>
  <c r="B209" i="5" a="1"/>
  <c r="B209" i="5" s="1"/>
  <c r="B210" i="5" a="1"/>
  <c r="B210" i="5" s="1"/>
  <c r="B211" i="5" a="1"/>
  <c r="B211" i="5" s="1"/>
  <c r="C211" i="5" s="1"/>
  <c r="B212" i="5" a="1"/>
  <c r="B212" i="5" s="1"/>
  <c r="B213" i="5" a="1"/>
  <c r="B213" i="5" s="1"/>
  <c r="B214" i="5" a="1"/>
  <c r="B214" i="5" s="1"/>
  <c r="B215" i="5" a="1"/>
  <c r="B215" i="5" s="1"/>
  <c r="E215" i="5" s="1"/>
  <c r="B216" i="5" a="1"/>
  <c r="B216" i="5" s="1"/>
  <c r="C216" i="5" s="1"/>
  <c r="B217" i="5" a="1"/>
  <c r="B217" i="5" s="1"/>
  <c r="G217" i="5" s="1"/>
  <c r="B218" i="5" a="1"/>
  <c r="B218" i="5" s="1"/>
  <c r="C218" i="5" s="1"/>
  <c r="B219" i="5" a="1"/>
  <c r="B219" i="5" s="1"/>
  <c r="F219" i="5" s="1"/>
  <c r="B220" i="5" a="1"/>
  <c r="B220" i="5" s="1"/>
  <c r="B221" i="5" a="1"/>
  <c r="B221" i="5" s="1"/>
  <c r="G221" i="5" s="1"/>
  <c r="B222" i="5" a="1"/>
  <c r="B222" i="5" s="1"/>
  <c r="B223" i="5" a="1"/>
  <c r="B223" i="5" s="1"/>
  <c r="B224" i="5" a="1"/>
  <c r="B224" i="5" s="1"/>
  <c r="B225" i="5" a="1"/>
  <c r="B225" i="5" s="1"/>
  <c r="B226" i="5" a="1"/>
  <c r="B226" i="5" s="1"/>
  <c r="B227" i="5" a="1"/>
  <c r="B227" i="5" s="1"/>
  <c r="D227" i="5" s="1"/>
  <c r="B228" i="5" a="1"/>
  <c r="B228" i="5" s="1"/>
  <c r="G228" i="5" s="1"/>
  <c r="B229" i="5" a="1"/>
  <c r="B229" i="5" s="1"/>
  <c r="C229" i="5" s="1"/>
  <c r="B230" i="5" a="1"/>
  <c r="B230" i="5" s="1"/>
  <c r="B231" i="5" a="1"/>
  <c r="B231" i="5" s="1"/>
  <c r="D231" i="5" s="1"/>
  <c r="B232" i="5" a="1"/>
  <c r="B232" i="5" s="1"/>
  <c r="F232" i="5" s="1"/>
  <c r="B233" i="5" a="1"/>
  <c r="B233" i="5" s="1"/>
  <c r="B234" i="5" a="1"/>
  <c r="B234" i="5" s="1"/>
  <c r="C234" i="5" s="1"/>
  <c r="B235" i="5" a="1"/>
  <c r="B235" i="5" s="1"/>
  <c r="C235" i="5" s="1"/>
  <c r="B236" i="5" a="1"/>
  <c r="B236" i="5" s="1"/>
  <c r="F236" i="5" s="1"/>
  <c r="B237" i="5" a="1"/>
  <c r="B237" i="5" s="1"/>
  <c r="B238" i="5" a="1"/>
  <c r="B238" i="5" s="1"/>
  <c r="G238" i="5" s="1"/>
  <c r="B239" i="5" a="1"/>
  <c r="B239" i="5" s="1"/>
  <c r="F239" i="5" s="1"/>
  <c r="B240" i="5" a="1"/>
  <c r="B240" i="5" s="1"/>
  <c r="C240" i="5" s="1"/>
  <c r="B241" i="5" a="1"/>
  <c r="B241" i="5" s="1"/>
  <c r="C241" i="5" s="1"/>
  <c r="B242" i="5" a="1"/>
  <c r="B242" i="5" s="1"/>
  <c r="B243" i="5" a="1"/>
  <c r="B243" i="5" s="1"/>
  <c r="E243" i="5" s="1"/>
  <c r="B244" i="5" a="1"/>
  <c r="B244" i="5" s="1"/>
  <c r="B245" i="5" a="1"/>
  <c r="B245" i="5" s="1"/>
  <c r="F245" i="5" s="1"/>
  <c r="B246" i="5" a="1"/>
  <c r="B246" i="5" s="1"/>
  <c r="B247" i="5" a="1"/>
  <c r="B247" i="5" s="1"/>
  <c r="B248" i="5" a="1"/>
  <c r="B248" i="5" s="1"/>
  <c r="B249" i="5" a="1"/>
  <c r="B249" i="5" s="1"/>
  <c r="F249" i="5" s="1"/>
  <c r="B250" i="5" a="1"/>
  <c r="B250" i="5" s="1"/>
  <c r="E250" i="5" s="1"/>
  <c r="B251" i="5" a="1"/>
  <c r="B251" i="5" s="1"/>
  <c r="C251" i="5" s="1"/>
  <c r="B252" i="5" a="1"/>
  <c r="B252" i="5" s="1"/>
  <c r="G252" i="5" s="1"/>
  <c r="B253" i="5" a="1"/>
  <c r="B253" i="5" s="1"/>
  <c r="B254" i="5" a="1"/>
  <c r="B254" i="5" s="1"/>
  <c r="B255" i="5" a="1"/>
  <c r="B255" i="5" s="1"/>
  <c r="B256" i="5" a="1"/>
  <c r="B256" i="5" s="1"/>
  <c r="B257" i="5" a="1"/>
  <c r="B257" i="5" s="1"/>
  <c r="B258" i="5" a="1"/>
  <c r="B258" i="5" s="1"/>
  <c r="B259" i="5" a="1"/>
  <c r="B259" i="5" s="1"/>
  <c r="C259" i="5" s="1"/>
  <c r="B260" i="5" a="1"/>
  <c r="B260" i="5" s="1"/>
  <c r="F260" i="5" s="1"/>
  <c r="B261" i="5" a="1"/>
  <c r="B261" i="5" s="1"/>
  <c r="B262" i="5" a="1"/>
  <c r="B262" i="5" s="1"/>
  <c r="E262" i="5" s="1"/>
  <c r="B263" i="5" a="1"/>
  <c r="B263" i="5" s="1"/>
  <c r="C263" i="5" s="1"/>
  <c r="B264" i="5" a="1"/>
  <c r="B264" i="5" s="1"/>
  <c r="G264" i="5" s="1"/>
  <c r="B265" i="5" a="1"/>
  <c r="B265" i="5" s="1"/>
  <c r="B266" i="5" a="1"/>
  <c r="B266" i="5" s="1"/>
  <c r="B267" i="5" a="1"/>
  <c r="B267" i="5" s="1"/>
  <c r="B268" i="5" a="1"/>
  <c r="B268" i="5" s="1"/>
  <c r="B269" i="5" a="1"/>
  <c r="B269" i="5" s="1"/>
  <c r="E269" i="5" s="1"/>
  <c r="B270" i="5" a="1"/>
  <c r="B270" i="5" s="1"/>
  <c r="B271" i="5" a="1"/>
  <c r="B271" i="5" s="1"/>
  <c r="B272" i="5" a="1"/>
  <c r="B272" i="5" s="1"/>
  <c r="B273" i="5" a="1"/>
  <c r="B273" i="5" s="1"/>
  <c r="B274" i="5" a="1"/>
  <c r="B274" i="5" s="1"/>
  <c r="B275" i="5" a="1"/>
  <c r="B275" i="5" s="1"/>
  <c r="C275" i="5" s="1"/>
  <c r="B276" i="5" a="1"/>
  <c r="B276" i="5" s="1"/>
  <c r="D276" i="5" s="1"/>
  <c r="B277" i="5" a="1"/>
  <c r="B277" i="5" s="1"/>
  <c r="B278" i="5" a="1"/>
  <c r="B278" i="5" s="1"/>
  <c r="B279" i="5" a="1"/>
  <c r="B279" i="5" s="1"/>
  <c r="B280" i="5" a="1"/>
  <c r="B280" i="5" s="1"/>
  <c r="D280" i="5" s="1"/>
  <c r="B281" i="5" a="1"/>
  <c r="B281" i="5" s="1"/>
  <c r="B282" i="5" a="1"/>
  <c r="B282" i="5" s="1"/>
  <c r="G282" i="5" s="1"/>
  <c r="B283" i="5" a="1"/>
  <c r="B283" i="5" s="1"/>
  <c r="B284" i="5" a="1"/>
  <c r="B284" i="5" s="1"/>
  <c r="D284" i="5" s="1"/>
  <c r="B285" i="5" a="1"/>
  <c r="B285" i="5" s="1"/>
  <c r="B286" i="5" a="1"/>
  <c r="B286" i="5" s="1"/>
  <c r="B287" i="5" a="1"/>
  <c r="B287" i="5" s="1"/>
  <c r="B288" i="5" a="1"/>
  <c r="B288" i="5" s="1"/>
  <c r="C288" i="5" s="1"/>
  <c r="B289" i="5" a="1"/>
  <c r="B289" i="5" s="1"/>
  <c r="C289" i="5" s="1"/>
  <c r="B290" i="5" a="1"/>
  <c r="B290" i="5" s="1"/>
  <c r="B291" i="5" a="1"/>
  <c r="B291" i="5" s="1"/>
  <c r="D291" i="5" s="1"/>
  <c r="B292" i="5" a="1"/>
  <c r="B292" i="5" s="1"/>
  <c r="D292" i="5" s="1"/>
  <c r="B293" i="5" a="1"/>
  <c r="B293" i="5" s="1"/>
  <c r="D293" i="5" s="1"/>
  <c r="B294" i="5" a="1"/>
  <c r="B294" i="5" s="1"/>
  <c r="B295" i="5" a="1"/>
  <c r="B295" i="5" s="1"/>
  <c r="B296" i="5" a="1"/>
  <c r="B296" i="5" s="1"/>
  <c r="B297" i="5" a="1"/>
  <c r="B297" i="5" s="1"/>
  <c r="B298" i="5" a="1"/>
  <c r="B298" i="5" s="1"/>
  <c r="G298" i="5" s="1"/>
  <c r="B299" i="5" a="1"/>
  <c r="B299" i="5" s="1"/>
  <c r="B300" i="5" a="1"/>
  <c r="B300" i="5" s="1"/>
  <c r="B301" i="5" a="1"/>
  <c r="B301" i="5" s="1"/>
  <c r="B302" i="5" a="1"/>
  <c r="B302" i="5" s="1"/>
  <c r="C302" i="5" s="1"/>
  <c r="B303" i="5" a="1"/>
  <c r="B303" i="5" s="1"/>
  <c r="F303" i="5" s="1"/>
  <c r="B304" i="5" a="1"/>
  <c r="B304" i="5" s="1"/>
  <c r="B305" i="5" a="1"/>
  <c r="B305" i="5" s="1"/>
  <c r="B306" i="5" a="1"/>
  <c r="B306" i="5" s="1"/>
  <c r="D306" i="5" s="1"/>
  <c r="B307" i="5" a="1"/>
  <c r="B307" i="5" s="1"/>
  <c r="G307" i="5" s="1"/>
  <c r="B308" i="5" a="1"/>
  <c r="B308" i="5" s="1"/>
  <c r="C308" i="5" s="1"/>
  <c r="B309" i="5" a="1"/>
  <c r="B309" i="5" s="1"/>
  <c r="B310" i="5" a="1"/>
  <c r="B310" i="5" s="1"/>
  <c r="B311" i="5" a="1"/>
  <c r="B311" i="5" s="1"/>
  <c r="C311" i="5" s="1"/>
  <c r="B312" i="5" a="1"/>
  <c r="B312" i="5" s="1"/>
  <c r="C312" i="5" s="1"/>
  <c r="B313" i="5" a="1"/>
  <c r="B313" i="5" s="1"/>
  <c r="F313" i="5" s="1"/>
  <c r="B314" i="5" a="1"/>
  <c r="B314" i="5" s="1"/>
  <c r="B315" i="5" a="1"/>
  <c r="B315" i="5" s="1"/>
  <c r="B316" i="5" a="1"/>
  <c r="B316" i="5" s="1"/>
  <c r="D316" i="5" s="1"/>
  <c r="B317" i="5" a="1"/>
  <c r="B317" i="5" s="1"/>
  <c r="B318" i="5" a="1"/>
  <c r="B318" i="5" s="1"/>
  <c r="B319" i="5" a="1"/>
  <c r="B319" i="5" s="1"/>
  <c r="B320" i="5" a="1"/>
  <c r="B320" i="5" s="1"/>
  <c r="F320" i="5" s="1"/>
  <c r="B321" i="5" a="1"/>
  <c r="B321" i="5" s="1"/>
  <c r="B322" i="5" a="1"/>
  <c r="B322" i="5" s="1"/>
  <c r="C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C332" i="5" s="1"/>
  <c r="B333" i="5" a="1"/>
  <c r="B333" i="5" s="1"/>
  <c r="B334" i="5" a="1"/>
  <c r="B334" i="5" s="1"/>
  <c r="C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C344" i="5" s="1"/>
  <c r="B345" i="5" a="1"/>
  <c r="B345" i="5" s="1"/>
  <c r="B346" i="5" a="1"/>
  <c r="B346" i="5" s="1"/>
  <c r="B347" i="5" a="1"/>
  <c r="B347" i="5" s="1"/>
  <c r="B348" i="5" a="1"/>
  <c r="B348" i="5" s="1"/>
  <c r="B349" i="5" a="1"/>
  <c r="B349" i="5" s="1"/>
  <c r="B350" i="5" a="1"/>
  <c r="B350" i="5" s="1"/>
  <c r="F350" i="5" s="1"/>
  <c r="B351" i="5" a="1"/>
  <c r="B351" i="5" s="1"/>
  <c r="G351" i="5" s="1"/>
  <c r="B352" i="5" a="1"/>
  <c r="B352" i="5" s="1"/>
  <c r="B353" i="5" a="1"/>
  <c r="B353" i="5" s="1"/>
  <c r="B354" i="5" a="1"/>
  <c r="B354" i="5" s="1"/>
  <c r="D354" i="5" s="1"/>
  <c r="B355" i="5" a="1"/>
  <c r="B355" i="5" s="1"/>
  <c r="B356" i="5" a="1"/>
  <c r="B356" i="5" s="1"/>
  <c r="F356" i="5" s="1"/>
  <c r="B357" i="5" a="1"/>
  <c r="B357" i="5" s="1"/>
  <c r="B358" i="5" a="1"/>
  <c r="B358" i="5" s="1"/>
  <c r="B359" i="5" a="1"/>
  <c r="B359" i="5" s="1"/>
  <c r="B360" i="5" a="1"/>
  <c r="B360" i="5" s="1"/>
  <c r="B361" i="5" a="1"/>
  <c r="B361" i="5" s="1"/>
  <c r="B362" i="5" a="1"/>
  <c r="B362" i="5" s="1"/>
  <c r="B363" i="5" a="1"/>
  <c r="B363" i="5" s="1"/>
  <c r="G363" i="5" s="1"/>
  <c r="B364" i="5" a="1"/>
  <c r="B364" i="5" s="1"/>
  <c r="C364" i="5" s="1"/>
  <c r="B365" i="5" a="1"/>
  <c r="B365" i="5" s="1"/>
  <c r="G365" i="5" s="1"/>
  <c r="B366" i="5" a="1"/>
  <c r="B366" i="5" s="1"/>
  <c r="D366" i="5" s="1"/>
  <c r="B367" i="5" a="1"/>
  <c r="B367" i="5" s="1"/>
  <c r="B368" i="5" a="1"/>
  <c r="B368" i="5" s="1"/>
  <c r="C368" i="5" s="1"/>
  <c r="B369" i="5" a="1"/>
  <c r="B369" i="5" s="1"/>
  <c r="B370" i="5" a="1"/>
  <c r="B370" i="5" s="1"/>
  <c r="B371" i="5" a="1"/>
  <c r="B371" i="5" s="1"/>
  <c r="B372" i="5" a="1"/>
  <c r="B372" i="5" s="1"/>
  <c r="C372" i="5" s="1"/>
  <c r="B373" i="5" a="1"/>
  <c r="B373" i="5" s="1"/>
  <c r="B374" i="5" a="1"/>
  <c r="B374" i="5" s="1"/>
  <c r="B375" i="5" a="1"/>
  <c r="B375" i="5" s="1"/>
  <c r="B376" i="5" a="1"/>
  <c r="B376" i="5" s="1"/>
  <c r="C376" i="5" s="1"/>
  <c r="B377" i="5" a="1"/>
  <c r="B377" i="5" s="1"/>
  <c r="B378" i="5" a="1"/>
  <c r="B378" i="5" s="1"/>
  <c r="D378" i="5" s="1"/>
  <c r="B379" i="5" a="1"/>
  <c r="B379" i="5" s="1"/>
  <c r="B380" i="5" a="1"/>
  <c r="B380" i="5" s="1"/>
  <c r="B381" i="5" a="1"/>
  <c r="B381" i="5" s="1"/>
  <c r="B382" i="5" a="1"/>
  <c r="B382" i="5" s="1"/>
  <c r="D382" i="5" s="1"/>
  <c r="B383" i="5" a="1"/>
  <c r="B383" i="5" s="1"/>
  <c r="G383" i="5" s="1"/>
  <c r="B384" i="5" a="1"/>
  <c r="B384" i="5" s="1"/>
  <c r="C384" i="5" s="1"/>
  <c r="B385" i="5" a="1"/>
  <c r="B385" i="5" s="1"/>
  <c r="B386" i="5" a="1"/>
  <c r="B386" i="5" s="1"/>
  <c r="D386" i="5" s="1"/>
  <c r="B387" i="5" a="1"/>
  <c r="B387" i="5" s="1"/>
  <c r="B388" i="5" a="1"/>
  <c r="B388" i="5" s="1"/>
  <c r="B389" i="5" a="1"/>
  <c r="B389" i="5" s="1"/>
  <c r="B390" i="5" a="1"/>
  <c r="B390" i="5" s="1"/>
  <c r="D390" i="5" s="1"/>
  <c r="B391" i="5" a="1"/>
  <c r="B391" i="5" s="1"/>
  <c r="B392" i="5" a="1"/>
  <c r="B392" i="5" s="1"/>
  <c r="C392" i="5" s="1"/>
  <c r="B393" i="5" a="1"/>
  <c r="B393" i="5" s="1"/>
  <c r="D393" i="5" s="1"/>
  <c r="B394" i="5" a="1"/>
  <c r="B394" i="5" s="1"/>
  <c r="G394" i="5" s="1"/>
  <c r="B395" i="5" a="1"/>
  <c r="B395" i="5" s="1"/>
  <c r="D395" i="5" s="1"/>
  <c r="B396" i="5" a="1"/>
  <c r="B396" i="5" s="1"/>
  <c r="E396" i="5" s="1"/>
  <c r="B397" i="5" a="1"/>
  <c r="B397" i="5" s="1"/>
  <c r="B398" i="5" a="1"/>
  <c r="B398" i="5" s="1"/>
  <c r="B399" i="5" a="1"/>
  <c r="B399" i="5" s="1"/>
  <c r="B400" i="5" a="1"/>
  <c r="B400" i="5" s="1"/>
  <c r="B401" i="5" a="1"/>
  <c r="B401" i="5" s="1"/>
  <c r="D401" i="5" s="1"/>
  <c r="B402" i="5" a="1"/>
  <c r="B402" i="5" s="1"/>
  <c r="E402" i="5" s="1"/>
  <c r="B403" i="5" a="1"/>
  <c r="B403" i="5" s="1"/>
  <c r="F403" i="5" s="1"/>
  <c r="B404" i="5" a="1"/>
  <c r="B404" i="5" s="1"/>
  <c r="F404" i="5" s="1"/>
  <c r="B405" i="5" a="1"/>
  <c r="B405" i="5" s="1"/>
  <c r="B406" i="5" a="1"/>
  <c r="B406" i="5" s="1"/>
  <c r="B407" i="5" a="1"/>
  <c r="B407" i="5" s="1"/>
  <c r="E407" i="5" s="1"/>
  <c r="B408" i="5" a="1"/>
  <c r="B408" i="5" s="1"/>
  <c r="B409" i="5" a="1"/>
  <c r="B409" i="5" s="1"/>
  <c r="E409" i="5" s="1"/>
  <c r="B410" i="5" a="1"/>
  <c r="B410" i="5" s="1"/>
  <c r="C410" i="5" s="1"/>
  <c r="B411" i="5" a="1"/>
  <c r="B411" i="5" s="1"/>
  <c r="G411" i="5" s="1"/>
  <c r="B412" i="5" a="1"/>
  <c r="B412" i="5" s="1"/>
  <c r="C412" i="5" s="1"/>
  <c r="B413" i="5" a="1"/>
  <c r="B413" i="5" s="1"/>
  <c r="E413" i="5" s="1"/>
  <c r="B414" i="5" a="1"/>
  <c r="B414" i="5" s="1"/>
  <c r="E414" i="5" s="1"/>
  <c r="B415" i="5" a="1"/>
  <c r="B415" i="5" s="1"/>
  <c r="E415" i="5" s="1"/>
  <c r="B416" i="5" a="1"/>
  <c r="B416" i="5" s="1"/>
  <c r="B417" i="5" a="1"/>
  <c r="B417" i="5" s="1"/>
  <c r="D417" i="5" s="1"/>
  <c r="B418" i="5" a="1"/>
  <c r="B418" i="5" s="1"/>
  <c r="B419" i="5" a="1"/>
  <c r="B419" i="5" s="1"/>
  <c r="F419" i="5" s="1"/>
  <c r="B420" i="5" a="1"/>
  <c r="B420" i="5" s="1"/>
  <c r="B421" i="5" a="1"/>
  <c r="B421" i="5" s="1"/>
  <c r="C421" i="5" s="1"/>
  <c r="B422" i="5" a="1"/>
  <c r="B422" i="5" s="1"/>
  <c r="C422" i="5" s="1"/>
  <c r="B423" i="5" a="1"/>
  <c r="B423" i="5" s="1"/>
  <c r="D423" i="5" s="1"/>
  <c r="B424" i="5" a="1"/>
  <c r="B424" i="5" s="1"/>
  <c r="F424" i="5" s="1"/>
  <c r="B425" i="5" a="1"/>
  <c r="B425" i="5" s="1"/>
  <c r="B426" i="5" a="1"/>
  <c r="B426" i="5" s="1"/>
  <c r="E426" i="5" s="1"/>
  <c r="B427" i="5" a="1"/>
  <c r="B427" i="5" s="1"/>
  <c r="D427" i="5" s="1"/>
  <c r="B428" i="5" a="1"/>
  <c r="B428" i="5" s="1"/>
  <c r="B429" i="5" a="1"/>
  <c r="B429" i="5" s="1"/>
  <c r="B430" i="5" a="1"/>
  <c r="B430" i="5" s="1"/>
  <c r="B431" i="5" a="1"/>
  <c r="B431" i="5" s="1"/>
  <c r="B449" i="5" a="1"/>
  <c r="B449" i="5" s="1"/>
  <c r="D449" i="5" s="1"/>
  <c r="B450" i="5" a="1"/>
  <c r="B450" i="5" s="1"/>
  <c r="B451" i="5" a="1"/>
  <c r="B451" i="5" s="1"/>
  <c r="E451" i="5" s="1"/>
  <c r="B452" i="5" a="1"/>
  <c r="B452" i="5" s="1"/>
  <c r="B453" i="5" a="1"/>
  <c r="B453" i="5" s="1"/>
  <c r="B454" i="5" a="1"/>
  <c r="B454" i="5" s="1"/>
  <c r="B455" i="5" a="1"/>
  <c r="B455" i="5" s="1"/>
  <c r="B456" i="5" a="1"/>
  <c r="B456" i="5" s="1"/>
  <c r="F456" i="5" s="1"/>
  <c r="B457" i="5" a="1"/>
  <c r="B457" i="5" s="1"/>
  <c r="B458" i="5" a="1"/>
  <c r="B458" i="5" s="1"/>
  <c r="C458" i="5" s="1"/>
  <c r="B459" i="5" a="1"/>
  <c r="B459" i="5" s="1"/>
  <c r="B460" i="5" a="1"/>
  <c r="B460" i="5" s="1"/>
  <c r="C460" i="5" s="1"/>
  <c r="B461" i="5" a="1"/>
  <c r="B461" i="5" s="1"/>
  <c r="C461" i="5" s="1"/>
  <c r="B462" i="5" a="1"/>
  <c r="B462" i="5" s="1"/>
  <c r="B463" i="5" a="1"/>
  <c r="B463" i="5" s="1"/>
  <c r="E463" i="5" s="1"/>
  <c r="B464" i="5" a="1"/>
  <c r="B464" i="5" s="1"/>
  <c r="B465" i="5" a="1"/>
  <c r="B465" i="5" s="1"/>
  <c r="B466" i="5" a="1"/>
  <c r="B466" i="5" s="1"/>
  <c r="B467" i="5" a="1"/>
  <c r="B467" i="5" s="1"/>
  <c r="G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G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F491" i="5" s="1"/>
  <c r="B492" i="5" a="1"/>
  <c r="B492" i="5" s="1"/>
  <c r="B493" i="5" a="1"/>
  <c r="B493" i="5" s="1"/>
  <c r="B494" i="5" a="1"/>
  <c r="B494" i="5" s="1"/>
  <c r="B495" i="5" a="1"/>
  <c r="B495" i="5" s="1"/>
  <c r="F495" i="5" s="1"/>
  <c r="B496" i="5" a="1"/>
  <c r="B496" i="5" s="1"/>
  <c r="B497" i="5" a="1"/>
  <c r="B497" i="5" s="1"/>
  <c r="B498" i="5" a="1"/>
  <c r="B498" i="5" s="1"/>
  <c r="B499" i="5" a="1"/>
  <c r="B499" i="5" s="1"/>
  <c r="E499" i="5" s="1"/>
  <c r="B500" i="5" a="1"/>
  <c r="B500" i="5" s="1"/>
  <c r="B501" i="5" a="1"/>
  <c r="B501" i="5" s="1"/>
  <c r="B502" i="5" a="1"/>
  <c r="B502" i="5" s="1"/>
  <c r="C502" i="5" s="1"/>
  <c r="B503" i="5" a="1"/>
  <c r="B503" i="5" s="1"/>
  <c r="B504" i="5" a="1"/>
  <c r="B504" i="5" s="1"/>
  <c r="C504" i="5" s="1"/>
  <c r="B505" i="5" a="1"/>
  <c r="B505" i="5" s="1"/>
  <c r="C505" i="5" s="1"/>
  <c r="B506" i="5" a="1"/>
  <c r="B506" i="5" s="1"/>
  <c r="C506" i="5" s="1"/>
  <c r="B507" i="5" a="1"/>
  <c r="B507" i="5" s="1"/>
  <c r="B508" i="5" a="1"/>
  <c r="B508" i="5" s="1"/>
  <c r="B509" i="5" a="1"/>
  <c r="B509" i="5" s="1"/>
  <c r="G509" i="5" s="1"/>
  <c r="B510" i="5" a="1"/>
  <c r="B510" i="5" s="1"/>
  <c r="B511" i="5" a="1"/>
  <c r="B511" i="5" s="1"/>
  <c r="G511" i="5" s="1"/>
  <c r="B512" i="5" a="1"/>
  <c r="B512" i="5" s="1"/>
  <c r="B513" i="5" a="1"/>
  <c r="B513" i="5" s="1"/>
  <c r="B514" i="5" a="1"/>
  <c r="B514" i="5" s="1"/>
  <c r="B515" i="5" a="1"/>
  <c r="B515" i="5" s="1"/>
  <c r="E515" i="5" s="1"/>
  <c r="B516" i="5" a="1"/>
  <c r="B516" i="5" s="1"/>
  <c r="B517" i="5" a="1"/>
  <c r="B517" i="5" s="1"/>
  <c r="D517" i="5" s="1"/>
  <c r="B518" i="5" a="1"/>
  <c r="B518" i="5" s="1"/>
  <c r="B519" i="5" a="1"/>
  <c r="B519" i="5" s="1"/>
  <c r="D519" i="5" s="1"/>
  <c r="B520" i="5" a="1"/>
  <c r="B520" i="5" s="1"/>
  <c r="B521" i="5" a="1"/>
  <c r="B521" i="5" s="1"/>
  <c r="C521" i="5" s="1"/>
  <c r="B522" i="5" a="1"/>
  <c r="B522" i="5" s="1"/>
  <c r="G522" i="5" s="1"/>
  <c r="B523" i="5" a="1"/>
  <c r="B523" i="5" s="1"/>
  <c r="B524" i="5" a="1"/>
  <c r="B524" i="5" s="1"/>
  <c r="F524" i="5" s="1"/>
  <c r="B525" i="5" a="1"/>
  <c r="B525" i="5" s="1"/>
  <c r="G525" i="5" s="1"/>
  <c r="B526" i="5" a="1"/>
  <c r="B526" i="5" s="1"/>
  <c r="B527" i="5" a="1"/>
  <c r="B527" i="5" s="1"/>
  <c r="B528" i="5" a="1"/>
  <c r="B528" i="5" s="1"/>
  <c r="C528" i="5" s="1"/>
  <c r="B529" i="5" a="1"/>
  <c r="B529" i="5" s="1"/>
  <c r="C529" i="5" s="1"/>
  <c r="B530" i="5" a="1"/>
  <c r="B530" i="5" s="1"/>
  <c r="B531" i="5" a="1"/>
  <c r="B531" i="5" s="1"/>
  <c r="B532" i="5" a="1"/>
  <c r="B532" i="5" s="1"/>
  <c r="B533" i="5" a="1"/>
  <c r="B533" i="5" s="1"/>
  <c r="C533" i="5" s="1"/>
  <c r="B534" i="5" a="1"/>
  <c r="B534" i="5" s="1"/>
  <c r="E534" i="5" s="1"/>
  <c r="B535" i="5" a="1"/>
  <c r="B535" i="5" s="1"/>
  <c r="F535" i="5" s="1"/>
  <c r="B536" i="5" a="1"/>
  <c r="B536" i="5" s="1"/>
  <c r="C536" i="5" s="1"/>
  <c r="B537" i="5" a="1"/>
  <c r="B537" i="5" s="1"/>
  <c r="C537" i="5" s="1"/>
  <c r="B538" i="5" a="1"/>
  <c r="B538" i="5" s="1"/>
  <c r="F538" i="5" s="1"/>
  <c r="B539" i="5" a="1"/>
  <c r="B539" i="5" s="1"/>
  <c r="G539" i="5" s="1"/>
  <c r="B540" i="5" a="1"/>
  <c r="B540" i="5" s="1"/>
  <c r="G540" i="5" s="1"/>
  <c r="B541" i="5" a="1"/>
  <c r="B541" i="5" s="1"/>
  <c r="B542" i="5" a="1"/>
  <c r="B542" i="5" s="1"/>
  <c r="B543" i="5" a="1"/>
  <c r="B543" i="5" s="1"/>
  <c r="D543" i="5" s="1"/>
  <c r="B544" i="5" a="1"/>
  <c r="B544" i="5" s="1"/>
  <c r="B545" i="5" a="1"/>
  <c r="B545" i="5" s="1"/>
  <c r="E545" i="5" s="1"/>
  <c r="B546" i="5" a="1"/>
  <c r="B546" i="5" s="1"/>
  <c r="B547" i="5" a="1"/>
  <c r="B547" i="5" s="1"/>
  <c r="F547" i="5" s="1"/>
  <c r="B548" i="5" a="1"/>
  <c r="B548" i="5" s="1"/>
  <c r="B549" i="5" a="1"/>
  <c r="B549" i="5" s="1"/>
  <c r="C549" i="5" s="1"/>
  <c r="B550" i="5" a="1"/>
  <c r="B550" i="5" s="1"/>
  <c r="B551" i="5" a="1"/>
  <c r="B551" i="5" s="1"/>
  <c r="F551" i="5" s="1"/>
  <c r="B552" i="5" a="1"/>
  <c r="B552" i="5" s="1"/>
  <c r="D552" i="5" s="1"/>
  <c r="B553" i="5" a="1"/>
  <c r="B553" i="5" s="1"/>
  <c r="B554" i="5" a="1"/>
  <c r="B554" i="5" s="1"/>
  <c r="B555" i="5" a="1"/>
  <c r="B555" i="5" s="1"/>
  <c r="B556" i="5" a="1"/>
  <c r="B556" i="5" s="1"/>
  <c r="B557" i="5" a="1"/>
  <c r="B557" i="5" s="1"/>
  <c r="B558" i="5" a="1"/>
  <c r="B558" i="5" s="1"/>
  <c r="B559" i="5" a="1"/>
  <c r="B559" i="5" s="1"/>
  <c r="B560" i="5" a="1"/>
  <c r="B560" i="5" s="1"/>
  <c r="B561" i="5" a="1"/>
  <c r="B561" i="5" s="1"/>
  <c r="B562" i="5" a="1"/>
  <c r="B562" i="5" s="1"/>
  <c r="B563" i="5" a="1"/>
  <c r="B563" i="5" s="1"/>
  <c r="B564" i="5" a="1"/>
  <c r="B564" i="5" s="1"/>
  <c r="C564" i="5" s="1"/>
  <c r="B565" i="5" a="1"/>
  <c r="B565" i="5" s="1"/>
  <c r="B566" i="5" a="1"/>
  <c r="B566" i="5" s="1"/>
  <c r="C566" i="5" s="1"/>
  <c r="B567" i="5" a="1"/>
  <c r="B567" i="5" s="1"/>
  <c r="B568" i="5" a="1"/>
  <c r="B568" i="5" s="1"/>
  <c r="C568" i="5" s="1"/>
  <c r="B569" i="5" a="1"/>
  <c r="B569" i="5" s="1"/>
  <c r="B570" i="5" a="1"/>
  <c r="B570" i="5" s="1"/>
  <c r="C570" i="5" s="1"/>
  <c r="B571" i="5" a="1"/>
  <c r="B571" i="5" s="1"/>
  <c r="B572" i="5" a="1"/>
  <c r="B572" i="5" s="1"/>
  <c r="B573" i="5" a="1"/>
  <c r="B573" i="5" s="1"/>
  <c r="B574" i="5" a="1"/>
  <c r="B574" i="5" s="1"/>
  <c r="B575" i="5" a="1"/>
  <c r="B575" i="5" s="1"/>
  <c r="B576" i="5" a="1"/>
  <c r="B576" i="5" s="1"/>
  <c r="B577" i="5" a="1"/>
  <c r="B577" i="5" s="1"/>
  <c r="B578" i="5" a="1"/>
  <c r="B578" i="5" s="1"/>
  <c r="B579" i="5" a="1"/>
  <c r="B579" i="5" s="1"/>
  <c r="B580" i="5" a="1"/>
  <c r="B580" i="5" s="1"/>
  <c r="B581" i="5" a="1"/>
  <c r="B581" i="5" s="1"/>
  <c r="B582" i="5" a="1"/>
  <c r="B582" i="5" s="1"/>
  <c r="B583" i="5" a="1"/>
  <c r="B583" i="5" s="1"/>
  <c r="B584" i="5" a="1"/>
  <c r="B584" i="5" s="1"/>
  <c r="B585" i="5" a="1"/>
  <c r="B585" i="5" s="1"/>
  <c r="B586" i="5" a="1"/>
  <c r="B586" i="5" s="1"/>
  <c r="B587" i="5" a="1"/>
  <c r="B587" i="5" s="1"/>
  <c r="B588" i="5" a="1"/>
  <c r="B588" i="5" s="1"/>
  <c r="B589" i="5" a="1"/>
  <c r="B589" i="5" s="1"/>
  <c r="B590" i="5" a="1"/>
  <c r="B590" i="5" s="1"/>
  <c r="B591" i="5" a="1"/>
  <c r="B591" i="5" s="1"/>
  <c r="B592" i="5" a="1"/>
  <c r="B592" i="5" s="1"/>
  <c r="B593" i="5" a="1"/>
  <c r="B593" i="5" s="1"/>
  <c r="B594" i="5" a="1"/>
  <c r="B594" i="5" s="1"/>
  <c r="B595" i="5" a="1"/>
  <c r="B595" i="5" s="1"/>
  <c r="B596" i="5" a="1"/>
  <c r="B596" i="5" s="1"/>
  <c r="B597" i="5" a="1"/>
  <c r="B597" i="5" s="1"/>
  <c r="B598" i="5" a="1"/>
  <c r="B598" i="5" s="1"/>
  <c r="B599" i="5" a="1"/>
  <c r="B599" i="5" s="1"/>
  <c r="B600" i="5" a="1"/>
  <c r="B600" i="5" s="1"/>
  <c r="B601" i="5" a="1"/>
  <c r="B601" i="5" s="1"/>
  <c r="B602" i="5" a="1"/>
  <c r="B602" i="5" s="1"/>
  <c r="B603" i="5" a="1"/>
  <c r="B603" i="5" s="1"/>
  <c r="B604" i="5" a="1"/>
  <c r="B604" i="5" s="1"/>
  <c r="B605" i="5" a="1"/>
  <c r="B605" i="5" s="1"/>
  <c r="B606" i="5" a="1"/>
  <c r="B606" i="5" s="1"/>
  <c r="B607" i="5" a="1"/>
  <c r="B607" i="5" s="1"/>
  <c r="B608" i="5" a="1"/>
  <c r="B608" i="5" s="1"/>
  <c r="B609" i="5" a="1"/>
  <c r="B609" i="5" s="1"/>
  <c r="B610" i="5" a="1"/>
  <c r="B610" i="5" s="1"/>
  <c r="B611" i="5" a="1"/>
  <c r="B611" i="5" s="1"/>
  <c r="B612" i="5" a="1"/>
  <c r="B612" i="5" s="1"/>
  <c r="B613" i="5" a="1"/>
  <c r="B613" i="5" s="1"/>
  <c r="B614" i="5" a="1"/>
  <c r="B614" i="5" s="1"/>
  <c r="B615" i="5" a="1"/>
  <c r="B615" i="5" s="1"/>
  <c r="B616" i="5" a="1"/>
  <c r="B616" i="5" s="1"/>
  <c r="B617" i="5" a="1"/>
  <c r="B617" i="5" s="1"/>
  <c r="B618" i="5" a="1"/>
  <c r="B618" i="5" s="1"/>
  <c r="B619" i="5" a="1"/>
  <c r="B619" i="5" s="1"/>
  <c r="B620" i="5" a="1"/>
  <c r="B620" i="5" s="1"/>
  <c r="B621" i="5" a="1"/>
  <c r="B621" i="5" s="1"/>
  <c r="B622" i="5" a="1"/>
  <c r="B622" i="5" s="1"/>
  <c r="B623" i="5" a="1"/>
  <c r="B623" i="5" s="1"/>
  <c r="G623" i="5" s="1"/>
  <c r="B624" i="5" a="1"/>
  <c r="B624" i="5" s="1"/>
  <c r="C624" i="5" s="1"/>
  <c r="B625" i="5" a="1"/>
  <c r="B625" i="5" s="1"/>
  <c r="B626" i="5" a="1"/>
  <c r="B626" i="5" s="1"/>
  <c r="B627" i="5" a="1"/>
  <c r="B627" i="5" s="1"/>
  <c r="B628" i="5" a="1"/>
  <c r="B628" i="5" s="1"/>
  <c r="B629" i="5" a="1"/>
  <c r="B629" i="5" s="1"/>
  <c r="D629" i="5" s="1"/>
  <c r="B630" i="5" a="1"/>
  <c r="B630" i="5" s="1"/>
  <c r="B631" i="5" a="1"/>
  <c r="B631" i="5" s="1"/>
  <c r="D631" i="5" s="1"/>
  <c r="B632" i="5" a="1"/>
  <c r="B632" i="5" s="1"/>
  <c r="B633" i="5" a="1"/>
  <c r="B633" i="5" s="1"/>
  <c r="B634" i="5" a="1"/>
  <c r="B634" i="5" s="1"/>
  <c r="B635" i="5" a="1"/>
  <c r="B635" i="5" s="1"/>
  <c r="G635" i="5" s="1"/>
  <c r="B636" i="5" a="1"/>
  <c r="B636" i="5" s="1"/>
  <c r="B637" i="5" a="1"/>
  <c r="B637" i="5" s="1"/>
  <c r="F637" i="5" s="1"/>
  <c r="B638" i="5" a="1"/>
  <c r="B638" i="5" s="1"/>
  <c r="D638" i="5" s="1"/>
  <c r="B639" i="5" a="1"/>
  <c r="B639" i="5" s="1"/>
  <c r="B640" i="5" a="1"/>
  <c r="B640" i="5" s="1"/>
  <c r="D640" i="5" s="1"/>
  <c r="B641" i="5" a="1"/>
  <c r="B641" i="5" s="1"/>
  <c r="B642" i="5" a="1"/>
  <c r="B642" i="5" s="1"/>
  <c r="F642" i="5" s="1"/>
  <c r="B643" i="5" a="1"/>
  <c r="B643" i="5" s="1"/>
  <c r="C643" i="5" s="1"/>
  <c r="B644" i="5" a="1"/>
  <c r="B644" i="5" s="1"/>
  <c r="D644" i="5" s="1"/>
  <c r="B645" i="5" a="1"/>
  <c r="B645" i="5" s="1"/>
  <c r="G645" i="5" s="1"/>
  <c r="B646" i="5" a="1"/>
  <c r="B646" i="5" s="1"/>
  <c r="C646" i="5" s="1"/>
  <c r="B647" i="5" a="1"/>
  <c r="B647" i="5" s="1"/>
  <c r="G647" i="5" s="1"/>
  <c r="B648" i="5" a="1"/>
  <c r="B648" i="5" s="1"/>
  <c r="F648" i="5" s="1"/>
  <c r="B649" i="5" a="1"/>
  <c r="B649" i="5" s="1"/>
  <c r="F649" i="5" s="1"/>
  <c r="B650" i="5" a="1"/>
  <c r="B650" i="5" s="1"/>
  <c r="D650" i="5" s="1"/>
  <c r="B651" i="5" a="1"/>
  <c r="B651" i="5" s="1"/>
  <c r="E651" i="5" s="1"/>
  <c r="B652" i="5" a="1"/>
  <c r="B652" i="5" s="1"/>
  <c r="C652" i="5" s="1"/>
  <c r="B653" i="5" a="1"/>
  <c r="B653" i="5" s="1"/>
  <c r="B654" i="5" a="1"/>
  <c r="B654" i="5" s="1"/>
  <c r="G654" i="5" s="1"/>
  <c r="B655" i="5" a="1"/>
  <c r="B655" i="5" s="1"/>
  <c r="B656" i="5" a="1"/>
  <c r="B656" i="5" s="1"/>
  <c r="D656" i="5" s="1"/>
  <c r="B657" i="5" a="1"/>
  <c r="B657" i="5" s="1"/>
  <c r="B658" i="5" a="1"/>
  <c r="B658" i="5" s="1"/>
  <c r="C658" i="5" s="1"/>
  <c r="B659" i="5" a="1"/>
  <c r="B659" i="5" s="1"/>
  <c r="B660" i="5" a="1"/>
  <c r="B660" i="5" s="1"/>
  <c r="G660" i="5" s="1"/>
  <c r="B661" i="5" a="1"/>
  <c r="B661" i="5" s="1"/>
  <c r="E661" i="5" s="1"/>
  <c r="B662" i="5" a="1"/>
  <c r="B662" i="5" s="1"/>
  <c r="E662" i="5" s="1"/>
  <c r="B663" i="5" a="1"/>
  <c r="B663" i="5" s="1"/>
  <c r="B664" i="5" a="1"/>
  <c r="B664" i="5" s="1"/>
  <c r="C664" i="5" s="1"/>
  <c r="B665" i="5" a="1"/>
  <c r="B665" i="5" s="1"/>
  <c r="B666" i="5" a="1"/>
  <c r="B666" i="5" s="1"/>
  <c r="B667" i="5" a="1"/>
  <c r="B667" i="5" s="1"/>
  <c r="B668" i="5" a="1"/>
  <c r="B668" i="5" s="1"/>
  <c r="E668" i="5" s="1"/>
  <c r="B669" i="5" a="1"/>
  <c r="B669" i="5" s="1"/>
  <c r="B670" i="5" a="1"/>
  <c r="B670" i="5" s="1"/>
  <c r="C670" i="5" s="1"/>
  <c r="B671" i="5" a="1"/>
  <c r="B671" i="5" s="1"/>
  <c r="B672" i="5" a="1"/>
  <c r="B672" i="5" s="1"/>
  <c r="F672" i="5" s="1"/>
  <c r="B673" i="5" a="1"/>
  <c r="B673" i="5" s="1"/>
  <c r="E673" i="5" s="1"/>
  <c r="B674" i="5" a="1"/>
  <c r="B674" i="5" s="1"/>
  <c r="C674" i="5" s="1"/>
  <c r="B675" i="5" a="1"/>
  <c r="B675" i="5" s="1"/>
  <c r="B676" i="5" a="1"/>
  <c r="B676" i="5" s="1"/>
  <c r="C676" i="5" s="1"/>
  <c r="B677" i="5" a="1"/>
  <c r="B677" i="5" s="1"/>
  <c r="B678" i="5" a="1"/>
  <c r="B678" i="5" s="1"/>
  <c r="B679" i="5" a="1"/>
  <c r="B679" i="5" s="1"/>
  <c r="C679" i="5" s="1"/>
  <c r="B680" i="5" a="1"/>
  <c r="B680" i="5" s="1"/>
  <c r="E680" i="5" s="1"/>
  <c r="B681" i="5" a="1"/>
  <c r="B681" i="5" s="1"/>
  <c r="G681" i="5" s="1"/>
  <c r="B682" i="5" a="1"/>
  <c r="B682" i="5" s="1"/>
  <c r="B683" i="5" a="1"/>
  <c r="B683" i="5" s="1"/>
  <c r="E683" i="5" s="1"/>
  <c r="B684" i="5" a="1"/>
  <c r="B684" i="5" s="1"/>
  <c r="D684" i="5" s="1"/>
  <c r="B685" i="5" a="1"/>
  <c r="B685" i="5" s="1"/>
  <c r="B686" i="5" a="1"/>
  <c r="B686" i="5" s="1"/>
  <c r="F686" i="5" s="1"/>
  <c r="B687" i="5" a="1"/>
  <c r="B687" i="5" s="1"/>
  <c r="B688" i="5" a="1"/>
  <c r="B688" i="5" s="1"/>
  <c r="C688" i="5" s="1"/>
  <c r="B689" i="5" a="1"/>
  <c r="B689" i="5" s="1"/>
  <c r="B690" i="5" a="1"/>
  <c r="B690" i="5" s="1"/>
  <c r="C690" i="5" s="1"/>
  <c r="B691" i="5" a="1"/>
  <c r="B691" i="5" s="1"/>
  <c r="B692" i="5" a="1"/>
  <c r="B692" i="5" s="1"/>
  <c r="B693" i="5" a="1"/>
  <c r="B693" i="5" s="1"/>
  <c r="C693" i="5" s="1"/>
  <c r="B694" i="5" a="1"/>
  <c r="B694" i="5" s="1"/>
  <c r="B695" i="5" a="1"/>
  <c r="B695" i="5" s="1"/>
  <c r="B696" i="5" a="1"/>
  <c r="B696" i="5" s="1"/>
  <c r="B697" i="5" a="1"/>
  <c r="B697" i="5" s="1"/>
  <c r="B698" i="5" a="1"/>
  <c r="B698" i="5" s="1"/>
  <c r="D698" i="5" s="1"/>
  <c r="B699" i="5" a="1"/>
  <c r="B699" i="5" s="1"/>
  <c r="B700" i="5" a="1"/>
  <c r="B700" i="5" s="1"/>
  <c r="C700" i="5" s="1"/>
  <c r="B701" i="5" a="1"/>
  <c r="B701" i="5" s="1"/>
  <c r="B702" i="5" a="1"/>
  <c r="B702" i="5" s="1"/>
  <c r="C702" i="5" s="1"/>
  <c r="B703" i="5" a="1"/>
  <c r="B703" i="5" s="1"/>
  <c r="B704" i="5" a="1"/>
  <c r="B704" i="5" s="1"/>
  <c r="B705" i="5" a="1"/>
  <c r="B705" i="5" s="1"/>
  <c r="B706" i="5" a="1"/>
  <c r="B706" i="5" s="1"/>
  <c r="B707" i="5" a="1"/>
  <c r="B707" i="5" s="1"/>
  <c r="B708" i="5" a="1"/>
  <c r="B708" i="5" s="1"/>
  <c r="B709" i="5" a="1"/>
  <c r="B709" i="5" s="1"/>
  <c r="B710" i="5" a="1"/>
  <c r="B710" i="5" s="1"/>
  <c r="G710" i="5" s="1"/>
  <c r="B711" i="5" a="1"/>
  <c r="B711" i="5" s="1"/>
  <c r="B712" i="5" a="1"/>
  <c r="B712" i="5" s="1"/>
  <c r="F712" i="5" s="1"/>
  <c r="B713" i="5" a="1"/>
  <c r="B713" i="5" s="1"/>
  <c r="B714" i="5" a="1"/>
  <c r="B714" i="5" s="1"/>
  <c r="E714" i="5" s="1"/>
  <c r="B715" i="5" a="1"/>
  <c r="B715" i="5" s="1"/>
  <c r="C715" i="5" s="1"/>
  <c r="B716" i="5" a="1"/>
  <c r="B716" i="5" s="1"/>
  <c r="B717" i="5" a="1"/>
  <c r="B717" i="5" s="1"/>
  <c r="C717" i="5" s="1"/>
  <c r="B718" i="5" a="1"/>
  <c r="B718" i="5" s="1"/>
  <c r="B719" i="5" a="1"/>
  <c r="B719" i="5" s="1"/>
  <c r="C719" i="5" s="1"/>
  <c r="B720" i="5" a="1"/>
  <c r="B720" i="5" s="1"/>
  <c r="B721" i="5" a="1"/>
  <c r="B721" i="5" s="1"/>
  <c r="B722" i="5" a="1"/>
  <c r="B722" i="5" s="1"/>
  <c r="B723" i="5" a="1"/>
  <c r="B723" i="5" s="1"/>
  <c r="G723" i="5" s="1"/>
  <c r="B724" i="5" a="1"/>
  <c r="B724" i="5" s="1"/>
  <c r="B725" i="5" a="1"/>
  <c r="B725" i="5" s="1"/>
  <c r="F725" i="5" s="1"/>
  <c r="B726" i="5" a="1"/>
  <c r="B726" i="5" s="1"/>
  <c r="F726" i="5" s="1"/>
  <c r="B727" i="5" a="1"/>
  <c r="B727" i="5" s="1"/>
  <c r="B728" i="5" a="1"/>
  <c r="B728" i="5" s="1"/>
  <c r="B729" i="5" a="1"/>
  <c r="B729" i="5" s="1"/>
  <c r="B730" i="5" a="1"/>
  <c r="B730" i="5" s="1"/>
  <c r="C730" i="5" s="1"/>
  <c r="B731" i="5" a="1"/>
  <c r="B731" i="5" s="1"/>
  <c r="B732" i="5" a="1"/>
  <c r="B732" i="5" s="1"/>
  <c r="D732" i="5" s="1"/>
  <c r="B733" i="5" a="1"/>
  <c r="B733" i="5" s="1"/>
  <c r="B734" i="5" a="1"/>
  <c r="B734" i="5" s="1"/>
  <c r="G734" i="5" s="1"/>
  <c r="B735" i="5" a="1"/>
  <c r="B735" i="5" s="1"/>
  <c r="E735" i="5" s="1"/>
  <c r="B736" i="5" a="1"/>
  <c r="B736" i="5" s="1"/>
  <c r="F736" i="5" s="1"/>
  <c r="B737" i="5" a="1"/>
  <c r="B737" i="5" s="1"/>
  <c r="G737" i="5" s="1"/>
  <c r="B738" i="5" a="1"/>
  <c r="B738" i="5" s="1"/>
  <c r="E738" i="5" s="1"/>
  <c r="B739" i="5" a="1"/>
  <c r="B739" i="5" s="1"/>
  <c r="G739" i="5" s="1"/>
  <c r="B740" i="5" a="1"/>
  <c r="B740" i="5" s="1"/>
  <c r="B741" i="5" a="1"/>
  <c r="B741" i="5" s="1"/>
  <c r="B742" i="5" a="1"/>
  <c r="B742" i="5" s="1"/>
  <c r="B743" i="5" a="1"/>
  <c r="B743" i="5" s="1"/>
  <c r="C743" i="5" s="1"/>
  <c r="B744" i="5" a="1"/>
  <c r="B744" i="5" s="1"/>
  <c r="G744" i="5" s="1"/>
  <c r="B745" i="5" a="1"/>
  <c r="B745" i="5" s="1"/>
  <c r="B746" i="5" a="1"/>
  <c r="B746" i="5" s="1"/>
  <c r="F746" i="5" s="1"/>
  <c r="B747" i="5" a="1"/>
  <c r="B747" i="5" s="1"/>
  <c r="G747" i="5" s="1"/>
  <c r="B748" i="5" a="1"/>
  <c r="B748" i="5" s="1"/>
  <c r="B749" i="5" a="1"/>
  <c r="B749" i="5" s="1"/>
  <c r="F749" i="5" s="1"/>
  <c r="B750" i="5" a="1"/>
  <c r="B750" i="5" s="1"/>
  <c r="D750" i="5" s="1"/>
  <c r="B751" i="5" a="1"/>
  <c r="B751" i="5" s="1"/>
  <c r="B752" i="5" a="1"/>
  <c r="B752" i="5" s="1"/>
  <c r="D752" i="5" s="1"/>
  <c r="B753" i="5" a="1"/>
  <c r="B753" i="5" s="1"/>
  <c r="D753" i="5" s="1"/>
  <c r="B754" i="5" a="1"/>
  <c r="B754" i="5" s="1"/>
  <c r="C754" i="5" s="1"/>
  <c r="B755" i="5" a="1"/>
  <c r="B755" i="5" s="1"/>
  <c r="G755" i="5" s="1"/>
  <c r="B756" i="5" a="1"/>
  <c r="B756" i="5" s="1"/>
  <c r="D756" i="5" s="1"/>
  <c r="B757" i="5" a="1"/>
  <c r="B757" i="5" s="1"/>
  <c r="C757" i="5" s="1"/>
  <c r="B758" i="5" a="1"/>
  <c r="B758" i="5" s="1"/>
  <c r="B759" i="5" a="1"/>
  <c r="B759" i="5" s="1"/>
  <c r="F759" i="5" s="1"/>
  <c r="B760" i="5" a="1"/>
  <c r="B760" i="5" s="1"/>
  <c r="F760" i="5" s="1"/>
  <c r="B761" i="5" a="1"/>
  <c r="B761" i="5" s="1"/>
  <c r="E761" i="5" s="1"/>
  <c r="B762" i="5" a="1"/>
  <c r="B762" i="5" s="1"/>
  <c r="G762" i="5" s="1"/>
  <c r="B763" i="5" a="1"/>
  <c r="B763" i="5" s="1"/>
  <c r="F763" i="5" s="1"/>
  <c r="B764" i="5" a="1"/>
  <c r="B764" i="5" s="1"/>
  <c r="B765" i="5" a="1"/>
  <c r="B765" i="5" s="1"/>
  <c r="C765" i="5" s="1"/>
  <c r="B766" i="5" a="1"/>
  <c r="B766" i="5" s="1"/>
  <c r="C766" i="5" s="1"/>
  <c r="B767" i="5" a="1"/>
  <c r="B767" i="5" s="1"/>
  <c r="E767" i="5" s="1"/>
  <c r="B768" i="5" a="1"/>
  <c r="B768" i="5" s="1"/>
  <c r="F768" i="5" s="1"/>
  <c r="B769" i="5" a="1"/>
  <c r="B769" i="5" s="1"/>
  <c r="B770" i="5" a="1"/>
  <c r="B770" i="5" s="1"/>
  <c r="D770" i="5" s="1"/>
  <c r="B771" i="5" a="1"/>
  <c r="B771" i="5" s="1"/>
  <c r="B772" i="5" a="1"/>
  <c r="B772" i="5" s="1"/>
  <c r="B773" i="5" a="1"/>
  <c r="B773" i="5" s="1"/>
  <c r="E773" i="5" s="1"/>
  <c r="B774" i="5" a="1"/>
  <c r="B774" i="5" s="1"/>
  <c r="D774" i="5" s="1"/>
  <c r="B775" i="5" a="1"/>
  <c r="B775" i="5" s="1"/>
  <c r="C775" i="5" s="1"/>
  <c r="B776" i="5" a="1"/>
  <c r="B776" i="5" s="1"/>
  <c r="B777" i="5" a="1"/>
  <c r="B777" i="5" s="1"/>
  <c r="C777" i="5" s="1"/>
  <c r="B778" i="5" a="1"/>
  <c r="B778" i="5" s="1"/>
  <c r="C778" i="5" s="1"/>
  <c r="B779" i="5" a="1"/>
  <c r="B779" i="5" s="1"/>
  <c r="E779" i="5" s="1"/>
  <c r="B780" i="5" a="1"/>
  <c r="B780" i="5" s="1"/>
  <c r="F780" i="5" s="1"/>
  <c r="B781" i="5" a="1"/>
  <c r="B781" i="5" s="1"/>
  <c r="B782" i="5" a="1"/>
  <c r="B782" i="5" s="1"/>
  <c r="D782" i="5" s="1"/>
  <c r="B783" i="5" a="1"/>
  <c r="B783" i="5" s="1"/>
  <c r="B784" i="5" a="1"/>
  <c r="B784" i="5" s="1"/>
  <c r="F784" i="5" s="1"/>
  <c r="B785" i="5" a="1"/>
  <c r="B785" i="5" s="1"/>
  <c r="E785" i="5" s="1"/>
  <c r="B786" i="5" a="1"/>
  <c r="B786" i="5" s="1"/>
  <c r="D786" i="5" s="1"/>
  <c r="B787" i="5" a="1"/>
  <c r="B787" i="5" s="1"/>
  <c r="C787" i="5" s="1"/>
  <c r="B788" i="5" a="1"/>
  <c r="B788" i="5" s="1"/>
  <c r="B789" i="5" a="1"/>
  <c r="B789" i="5" s="1"/>
  <c r="C789" i="5" s="1"/>
  <c r="B790" i="5" a="1"/>
  <c r="B790" i="5" s="1"/>
  <c r="F790" i="5" s="1"/>
  <c r="B791" i="5" a="1"/>
  <c r="B791" i="5" s="1"/>
  <c r="E791" i="5" s="1"/>
  <c r="B792" i="5" a="1"/>
  <c r="B792" i="5" s="1"/>
  <c r="D792" i="5" s="1"/>
  <c r="B793" i="5" a="1"/>
  <c r="B793" i="5" s="1"/>
  <c r="B794" i="5" a="1"/>
  <c r="B794" i="5" s="1"/>
  <c r="D794" i="5" s="1"/>
  <c r="B795" i="5" a="1"/>
  <c r="B795" i="5" s="1"/>
  <c r="B796" i="5" a="1"/>
  <c r="B796" i="5" s="1"/>
  <c r="B797" i="5" a="1"/>
  <c r="B797" i="5" s="1"/>
  <c r="B798" i="5" a="1"/>
  <c r="B798" i="5" s="1"/>
  <c r="D798" i="5" s="1"/>
  <c r="B799" i="5" a="1"/>
  <c r="B799" i="5" s="1"/>
  <c r="C799" i="5" s="1"/>
  <c r="B800" i="5" a="1"/>
  <c r="B800" i="5" s="1"/>
  <c r="C800" i="5" s="1"/>
  <c r="B801" i="5" a="1"/>
  <c r="B801" i="5" s="1"/>
  <c r="C801" i="5" s="1"/>
  <c r="B802" i="5" a="1"/>
  <c r="B802" i="5" s="1"/>
  <c r="C802" i="5" s="1"/>
  <c r="B803" i="5" a="1"/>
  <c r="B803" i="5" s="1"/>
  <c r="E803" i="5" s="1"/>
  <c r="B804" i="5" a="1"/>
  <c r="B804" i="5" s="1"/>
  <c r="B805" i="5" a="1"/>
  <c r="B805" i="5" s="1"/>
  <c r="B806" i="5" a="1"/>
  <c r="B806" i="5" s="1"/>
  <c r="D806" i="5" s="1"/>
  <c r="B807" i="5" a="1"/>
  <c r="B807" i="5" s="1"/>
  <c r="B808" i="5" a="1"/>
  <c r="B808" i="5" s="1"/>
  <c r="F808" i="5" s="1"/>
  <c r="B809" i="5" a="1"/>
  <c r="B809" i="5" s="1"/>
  <c r="F809" i="5" s="1"/>
  <c r="B810" i="5" a="1"/>
  <c r="B810" i="5" s="1"/>
  <c r="C810" i="5" s="1"/>
  <c r="B811" i="5" a="1"/>
  <c r="B811" i="5" s="1"/>
  <c r="B812" i="5" a="1"/>
  <c r="B812" i="5" s="1"/>
  <c r="C812" i="5" s="1"/>
  <c r="B813" i="5" a="1"/>
  <c r="B813" i="5" s="1"/>
  <c r="C813" i="5" s="1"/>
  <c r="B814" i="5" a="1"/>
  <c r="B814" i="5" s="1"/>
  <c r="B815" i="5" a="1"/>
  <c r="B815" i="5" s="1"/>
  <c r="E815" i="5" s="1"/>
  <c r="B816" i="5" a="1"/>
  <c r="B816" i="5" s="1"/>
  <c r="B817" i="5" a="1"/>
  <c r="B817" i="5" s="1"/>
  <c r="E817" i="5" s="1"/>
  <c r="B818" i="5" a="1"/>
  <c r="B818" i="5" s="1"/>
  <c r="B819" i="5" a="1"/>
  <c r="B819" i="5" s="1"/>
  <c r="B820" i="5" a="1"/>
  <c r="B820" i="5" s="1"/>
  <c r="F820" i="5" s="1"/>
  <c r="B821" i="5" a="1"/>
  <c r="B821" i="5" s="1"/>
  <c r="B822" i="5" a="1"/>
  <c r="B822" i="5" s="1"/>
  <c r="C822" i="5" s="1"/>
  <c r="B823" i="5" a="1"/>
  <c r="B823" i="5" s="1"/>
  <c r="C823" i="5" s="1"/>
  <c r="B824" i="5" a="1"/>
  <c r="B824" i="5" s="1"/>
  <c r="C824" i="5" s="1"/>
  <c r="B825" i="5" a="1"/>
  <c r="B825" i="5" s="1"/>
  <c r="C825" i="5" s="1"/>
  <c r="B826" i="5" a="1"/>
  <c r="B826" i="5" s="1"/>
  <c r="B827" i="5" a="1"/>
  <c r="B827" i="5" s="1"/>
  <c r="E827" i="5" s="1"/>
  <c r="B828" i="5" a="1"/>
  <c r="B828" i="5" s="1"/>
  <c r="G828" i="5" s="1"/>
  <c r="B829" i="5" a="1"/>
  <c r="B829" i="5" s="1"/>
  <c r="B830" i="5" a="1"/>
  <c r="B830" i="5" s="1"/>
  <c r="C830" i="5" s="1"/>
  <c r="B831" i="5" a="1"/>
  <c r="B831" i="5" s="1"/>
  <c r="B832" i="5" a="1"/>
  <c r="B832" i="5" s="1"/>
  <c r="B833" i="5" a="1"/>
  <c r="B833" i="5" s="1"/>
  <c r="B834" i="5" a="1"/>
  <c r="B834" i="5" s="1"/>
  <c r="C834" i="5" s="1"/>
  <c r="B835" i="5" a="1"/>
  <c r="B835" i="5" s="1"/>
  <c r="B836" i="5" a="1"/>
  <c r="B836" i="5" s="1"/>
  <c r="B837" i="5" a="1"/>
  <c r="B837" i="5" s="1"/>
  <c r="B838" i="5" a="1"/>
  <c r="B838" i="5" s="1"/>
  <c r="D838" i="5" s="1"/>
  <c r="B839" i="5" a="1"/>
  <c r="B839" i="5" s="1"/>
  <c r="E839" i="5" s="1"/>
  <c r="B840" i="5" a="1"/>
  <c r="B840" i="5" s="1"/>
  <c r="B841" i="5" a="1"/>
  <c r="B841" i="5" s="1"/>
  <c r="C841" i="5" s="1"/>
  <c r="B842" i="5" a="1"/>
  <c r="B842" i="5" s="1"/>
  <c r="B843" i="5" a="1"/>
  <c r="B843" i="5" s="1"/>
  <c r="B844" i="5" a="1"/>
  <c r="B844" i="5" s="1"/>
  <c r="B845" i="5" a="1"/>
  <c r="B845" i="5" s="1"/>
  <c r="B846" i="5" a="1"/>
  <c r="B846" i="5" s="1"/>
  <c r="B847" i="5" a="1"/>
  <c r="B847" i="5" s="1"/>
  <c r="C847" i="5" s="1"/>
  <c r="B848" i="5" a="1"/>
  <c r="B848" i="5" s="1"/>
  <c r="F848" i="5" s="1"/>
  <c r="B849" i="5" a="1"/>
  <c r="B849" i="5" s="1"/>
  <c r="C849" i="5" s="1"/>
  <c r="B850" i="5" a="1"/>
  <c r="B850" i="5" s="1"/>
  <c r="B851" i="5" a="1"/>
  <c r="B851" i="5" s="1"/>
  <c r="D851" i="5" s="1"/>
  <c r="B852" i="5" a="1"/>
  <c r="B852" i="5" s="1"/>
  <c r="B853" i="5" a="1"/>
  <c r="B853" i="5" s="1"/>
  <c r="D853" i="5" s="1"/>
  <c r="B854" i="5" a="1"/>
  <c r="B854" i="5" s="1"/>
  <c r="B855" i="5" a="1"/>
  <c r="B855" i="5" s="1"/>
  <c r="D855" i="5" s="1"/>
  <c r="B856" i="5" a="1"/>
  <c r="B856" i="5" s="1"/>
  <c r="G856" i="5" s="1"/>
  <c r="B857" i="5" a="1"/>
  <c r="B857" i="5" s="1"/>
  <c r="C857" i="5" s="1"/>
  <c r="B858" i="5" a="1"/>
  <c r="B858" i="5" s="1"/>
  <c r="B859" i="5" a="1"/>
  <c r="B859" i="5" s="1"/>
  <c r="B860" i="5" a="1"/>
  <c r="B860" i="5" s="1"/>
  <c r="C860" i="5" s="1"/>
  <c r="B861" i="5" a="1"/>
  <c r="B861" i="5" s="1"/>
  <c r="B862" i="5" a="1"/>
  <c r="B862" i="5" s="1"/>
  <c r="E862" i="5" s="1"/>
  <c r="B863" i="5" a="1"/>
  <c r="B863" i="5" s="1"/>
  <c r="G863" i="5" s="1"/>
  <c r="B864" i="5" a="1"/>
  <c r="B864" i="5" s="1"/>
  <c r="C864" i="5" s="1"/>
  <c r="B865" i="5" a="1"/>
  <c r="B865" i="5" s="1"/>
  <c r="B866" i="5" a="1"/>
  <c r="B866" i="5" s="1"/>
  <c r="B867" i="5" a="1"/>
  <c r="B867" i="5" s="1"/>
  <c r="B868" i="5" a="1"/>
  <c r="B868" i="5" s="1"/>
  <c r="D868" i="5" s="1"/>
  <c r="B869" i="5" a="1"/>
  <c r="B869" i="5" s="1"/>
  <c r="B870" i="5" a="1"/>
  <c r="B870" i="5" s="1"/>
  <c r="C870" i="5" s="1"/>
  <c r="B871" i="5" a="1"/>
  <c r="B871" i="5" s="1"/>
  <c r="C871" i="5" s="1"/>
  <c r="B872" i="5" a="1"/>
  <c r="B872" i="5" s="1"/>
  <c r="B873" i="5" a="1"/>
  <c r="B873" i="5" s="1"/>
  <c r="C873" i="5" s="1"/>
  <c r="B874" i="5" a="1"/>
  <c r="B874" i="5" s="1"/>
  <c r="B875" i="5" a="1"/>
  <c r="B875" i="5" s="1"/>
  <c r="C875" i="5" s="1"/>
  <c r="B876" i="5" a="1"/>
  <c r="B876" i="5" s="1"/>
  <c r="C876" i="5" s="1"/>
  <c r="B877" i="5" a="1"/>
  <c r="B877" i="5" s="1"/>
  <c r="B878" i="5" a="1"/>
  <c r="B878" i="5" s="1"/>
  <c r="E878" i="5" s="1"/>
  <c r="B879" i="5" a="1"/>
  <c r="B879" i="5" s="1"/>
  <c r="B880" i="5" a="1"/>
  <c r="B880" i="5" s="1"/>
  <c r="D880" i="5" s="1"/>
  <c r="B881" i="5" a="1"/>
  <c r="B881" i="5" s="1"/>
  <c r="G881" i="5" s="1"/>
  <c r="B882" i="5" a="1"/>
  <c r="B882" i="5" s="1"/>
  <c r="C882" i="5" s="1"/>
  <c r="B883" i="5" a="1"/>
  <c r="B883" i="5" s="1"/>
  <c r="B884" i="5" a="1"/>
  <c r="B884" i="5" s="1"/>
  <c r="B885" i="5" a="1"/>
  <c r="B885" i="5" s="1"/>
  <c r="F885" i="5" s="1"/>
  <c r="B886" i="5" a="1"/>
  <c r="B886" i="5" s="1"/>
  <c r="G886" i="5" s="1"/>
  <c r="B887" i="5" a="1"/>
  <c r="B887" i="5" s="1"/>
  <c r="G887" i="5" s="1"/>
  <c r="B888" i="5" a="1"/>
  <c r="B888" i="5" s="1"/>
  <c r="B889" i="5" a="1"/>
  <c r="B889" i="5" s="1"/>
  <c r="B890" i="5" a="1"/>
  <c r="B890" i="5" s="1"/>
  <c r="B891" i="5" a="1"/>
  <c r="B891" i="5" s="1"/>
  <c r="B892" i="5" a="1"/>
  <c r="B892" i="5" s="1"/>
  <c r="B893" i="5" a="1"/>
  <c r="B893" i="5" s="1"/>
  <c r="F893" i="5" s="1"/>
  <c r="B894" i="5" a="1"/>
  <c r="B894" i="5" s="1"/>
  <c r="G894" i="5" s="1"/>
  <c r="B895" i="5" a="1"/>
  <c r="B895" i="5" s="1"/>
  <c r="E895" i="5" s="1"/>
  <c r="B896" i="5" a="1"/>
  <c r="B896" i="5" s="1"/>
  <c r="B897" i="5" a="1"/>
  <c r="B897" i="5" s="1"/>
  <c r="D897" i="5" s="1"/>
  <c r="B898" i="5" a="1"/>
  <c r="B898" i="5" s="1"/>
  <c r="F898" i="5" s="1"/>
  <c r="B899" i="5" a="1"/>
  <c r="B899" i="5" s="1"/>
  <c r="B900" i="5" a="1"/>
  <c r="B900" i="5" s="1"/>
  <c r="B901" i="5" a="1"/>
  <c r="B901" i="5" s="1"/>
  <c r="B902" i="5" a="1"/>
  <c r="B902" i="5" s="1"/>
  <c r="B903" i="5" a="1"/>
  <c r="B903" i="5" s="1"/>
  <c r="B904" i="5" a="1"/>
  <c r="B904" i="5" s="1"/>
  <c r="B905" i="5" a="1"/>
  <c r="B905" i="5" s="1"/>
  <c r="E905" i="5" s="1"/>
  <c r="B906" i="5" a="1"/>
  <c r="B906" i="5" s="1"/>
  <c r="B907" i="5" a="1"/>
  <c r="B907" i="5" s="1"/>
  <c r="G907" i="5" s="1"/>
  <c r="B908" i="5" a="1"/>
  <c r="B908" i="5" s="1"/>
  <c r="B909" i="5" a="1"/>
  <c r="B909" i="5" s="1"/>
  <c r="B910" i="5" a="1"/>
  <c r="B910" i="5" s="1"/>
  <c r="B911" i="5" a="1"/>
  <c r="B911" i="5" s="1"/>
  <c r="B912" i="5" a="1"/>
  <c r="B912" i="5" s="1"/>
  <c r="B913" i="5" a="1"/>
  <c r="B913" i="5" s="1"/>
  <c r="B914" i="5" a="1"/>
  <c r="B914" i="5" s="1"/>
  <c r="C914" i="5" s="1"/>
  <c r="B915" i="5" a="1"/>
  <c r="B915" i="5" s="1"/>
  <c r="B916" i="5" a="1"/>
  <c r="B916" i="5" s="1"/>
  <c r="G916" i="5" s="1"/>
  <c r="B917" i="5" a="1"/>
  <c r="B917" i="5" s="1"/>
  <c r="F917" i="5" s="1"/>
  <c r="B918" i="5" a="1"/>
  <c r="B918" i="5" s="1"/>
  <c r="B919" i="5" a="1"/>
  <c r="B919" i="5" s="1"/>
  <c r="B920" i="5" a="1"/>
  <c r="B920" i="5" s="1"/>
  <c r="B921" i="5" a="1"/>
  <c r="B921" i="5" s="1"/>
  <c r="D921" i="5" s="1"/>
  <c r="B922" i="5" a="1"/>
  <c r="B922" i="5" s="1"/>
  <c r="B923" i="5" a="1"/>
  <c r="B923" i="5" s="1"/>
  <c r="E923" i="5" s="1"/>
  <c r="B924" i="5" a="1"/>
  <c r="B924" i="5" s="1"/>
  <c r="C924" i="5" s="1"/>
  <c r="B925" i="5" a="1"/>
  <c r="B925" i="5" s="1"/>
  <c r="B926" i="5" a="1"/>
  <c r="B926" i="5" s="1"/>
  <c r="D926" i="5" s="1"/>
  <c r="B927" i="5" a="1"/>
  <c r="B927" i="5" s="1"/>
  <c r="B928" i="5" a="1"/>
  <c r="B928" i="5" s="1"/>
  <c r="D928" i="5" s="1"/>
  <c r="B929" i="5" a="1"/>
  <c r="B929" i="5" s="1"/>
  <c r="D929" i="5" s="1"/>
  <c r="B930" i="5" a="1"/>
  <c r="B930" i="5" s="1"/>
  <c r="G930" i="5" s="1"/>
  <c r="B931" i="5" a="1"/>
  <c r="B931" i="5" s="1"/>
  <c r="C931" i="5" s="1"/>
  <c r="B932" i="5" a="1"/>
  <c r="B932" i="5" s="1"/>
  <c r="B933" i="5" a="1"/>
  <c r="B933" i="5" s="1"/>
  <c r="C933" i="5" s="1"/>
  <c r="B934" i="5" a="1"/>
  <c r="B934" i="5" s="1"/>
  <c r="B935" i="5" a="1"/>
  <c r="B935" i="5" s="1"/>
  <c r="C935" i="5" s="1"/>
  <c r="B936" i="5" a="1"/>
  <c r="B936" i="5" s="1"/>
  <c r="C936" i="5" s="1"/>
  <c r="B937" i="5" a="1"/>
  <c r="B937" i="5" s="1"/>
  <c r="B938" i="5" a="1"/>
  <c r="B938" i="5" s="1"/>
  <c r="G938" i="5" s="1"/>
  <c r="B939" i="5" a="1"/>
  <c r="B939" i="5" s="1"/>
  <c r="B940" i="5" a="1"/>
  <c r="B940" i="5" s="1"/>
  <c r="G940" i="5" s="1"/>
  <c r="B941" i="5" a="1"/>
  <c r="B941" i="5" s="1"/>
  <c r="B942" i="5" a="1"/>
  <c r="B942" i="5" s="1"/>
  <c r="B943" i="5" a="1"/>
  <c r="B943" i="5" s="1"/>
  <c r="G943" i="5" s="1"/>
  <c r="B944" i="5" a="1"/>
  <c r="B944" i="5" s="1"/>
  <c r="G944" i="5" s="1"/>
  <c r="B945" i="5" a="1"/>
  <c r="B945" i="5" s="1"/>
  <c r="F945" i="5" s="1"/>
  <c r="B946" i="5" a="1"/>
  <c r="B946" i="5" s="1"/>
  <c r="B947" i="5" a="1"/>
  <c r="B947" i="5" s="1"/>
  <c r="E947" i="5" s="1"/>
  <c r="B948" i="5" a="1"/>
  <c r="B948" i="5" s="1"/>
  <c r="B949" i="5" a="1"/>
  <c r="B949" i="5" s="1"/>
  <c r="C949" i="5" s="1"/>
  <c r="B950" i="5" a="1"/>
  <c r="B950" i="5" s="1"/>
  <c r="B951" i="5" a="1"/>
  <c r="B951" i="5" s="1"/>
  <c r="B952" i="5" a="1"/>
  <c r="B952" i="5" s="1"/>
  <c r="C952" i="5" s="1"/>
  <c r="B953" i="5" a="1"/>
  <c r="B953" i="5" s="1"/>
  <c r="B954" i="5" a="1"/>
  <c r="B954" i="5" s="1"/>
  <c r="B955" i="5" a="1"/>
  <c r="B955" i="5" s="1"/>
  <c r="G955" i="5" s="1"/>
  <c r="B956" i="5" a="1"/>
  <c r="B956" i="5" s="1"/>
  <c r="G956" i="5" s="1"/>
  <c r="B957" i="5" a="1"/>
  <c r="B957" i="5" s="1"/>
  <c r="F957" i="5" s="1"/>
  <c r="B958" i="5" a="1"/>
  <c r="B958" i="5" s="1"/>
  <c r="F958" i="5" s="1"/>
  <c r="B959" i="5" a="1"/>
  <c r="B959" i="5" s="1"/>
  <c r="E959" i="5" s="1"/>
  <c r="B960" i="5" a="1"/>
  <c r="B960" i="5" s="1"/>
  <c r="B961" i="5" a="1"/>
  <c r="B961" i="5" s="1"/>
  <c r="B962" i="5" a="1"/>
  <c r="B962" i="5" s="1"/>
  <c r="C962" i="5" s="1"/>
  <c r="B963" i="5" a="1"/>
  <c r="B963" i="5" s="1"/>
  <c r="C963" i="5" s="1"/>
  <c r="B964" i="5" a="1"/>
  <c r="B964" i="5" s="1"/>
  <c r="G964" i="5" s="1"/>
  <c r="B965" i="5" a="1"/>
  <c r="B965" i="5" s="1"/>
  <c r="C965" i="5" s="1"/>
  <c r="B966" i="5" a="1"/>
  <c r="B966" i="5" s="1"/>
  <c r="F966" i="5" s="1"/>
  <c r="B967" i="5" a="1"/>
  <c r="B967" i="5" s="1"/>
  <c r="B968" i="5" a="1"/>
  <c r="B968" i="5" s="1"/>
  <c r="G968" i="5" s="1"/>
  <c r="B969" i="5" a="1"/>
  <c r="B969" i="5" s="1"/>
  <c r="F969" i="5" s="1"/>
  <c r="B970" i="5" a="1"/>
  <c r="B970" i="5" s="1"/>
  <c r="F970" i="5" s="1"/>
  <c r="B971" i="5" a="1"/>
  <c r="B971" i="5" s="1"/>
  <c r="E971" i="5" s="1"/>
  <c r="B972" i="5" a="1"/>
  <c r="B972" i="5" s="1"/>
  <c r="F972" i="5" s="1"/>
  <c r="B973" i="5" a="1"/>
  <c r="B973" i="5" s="1"/>
  <c r="C973" i="5" s="1"/>
  <c r="B974" i="5" a="1"/>
  <c r="B974" i="5" s="1"/>
  <c r="B975" i="5" a="1"/>
  <c r="B975" i="5" s="1"/>
  <c r="B976" i="5" a="1"/>
  <c r="B976" i="5" s="1"/>
  <c r="B977" i="5" a="1"/>
  <c r="B977" i="5" s="1"/>
  <c r="F977" i="5" s="1"/>
  <c r="B978" i="5" a="1"/>
  <c r="B978" i="5" s="1"/>
  <c r="F978" i="5" s="1"/>
  <c r="B979" i="5" a="1"/>
  <c r="B979" i="5" s="1"/>
  <c r="E979" i="5" s="1"/>
  <c r="B980" i="5" a="1"/>
  <c r="B980" i="5" s="1"/>
  <c r="B981" i="5" a="1"/>
  <c r="B981" i="5" s="1"/>
  <c r="C981" i="5" s="1"/>
  <c r="B982" i="5" a="1"/>
  <c r="B982" i="5" s="1"/>
  <c r="F982" i="5" s="1"/>
  <c r="B983" i="5" a="1"/>
  <c r="B983" i="5" s="1"/>
  <c r="G983" i="5" s="1"/>
  <c r="B984" i="5" a="1"/>
  <c r="B984" i="5" s="1"/>
  <c r="B985" i="5" a="1"/>
  <c r="B985" i="5" s="1"/>
  <c r="E985" i="5" s="1"/>
  <c r="B986" i="5" a="1"/>
  <c r="B986" i="5" s="1"/>
  <c r="B987" i="5" a="1"/>
  <c r="B987" i="5" s="1"/>
  <c r="C987" i="5" s="1"/>
  <c r="B988" i="5" a="1"/>
  <c r="B988" i="5" s="1"/>
  <c r="B989" i="5" a="1"/>
  <c r="B989" i="5" s="1"/>
  <c r="E989" i="5" s="1"/>
  <c r="B990" i="5" a="1"/>
  <c r="B990" i="5" s="1"/>
  <c r="F990" i="5" s="1"/>
  <c r="B991" i="5" a="1"/>
  <c r="B991" i="5" s="1"/>
  <c r="G991" i="5" s="1"/>
  <c r="B992" i="5" a="1"/>
  <c r="B992" i="5" s="1"/>
  <c r="D992" i="5" s="1"/>
  <c r="B993" i="5" a="1"/>
  <c r="B993" i="5" s="1"/>
  <c r="B994" i="5" a="1"/>
  <c r="B994" i="5" s="1"/>
  <c r="F994" i="5" s="1"/>
  <c r="B995" i="5" a="1"/>
  <c r="B995" i="5" s="1"/>
  <c r="B996" i="5" a="1"/>
  <c r="B996" i="5" s="1"/>
  <c r="B997" i="5" a="1"/>
  <c r="B997" i="5" s="1"/>
  <c r="E997" i="5" s="1"/>
  <c r="B998" i="5" a="1"/>
  <c r="B998" i="5" s="1"/>
  <c r="C998" i="5" s="1"/>
  <c r="B999" i="5" a="1"/>
  <c r="B999" i="5" s="1"/>
  <c r="C999" i="5" s="1"/>
  <c r="B1000" i="5" a="1"/>
  <c r="B1000" i="5" s="1"/>
  <c r="C1000" i="5" s="1"/>
  <c r="B1001" i="5" a="1"/>
  <c r="B1001" i="5" s="1"/>
  <c r="G1001" i="5" s="1"/>
  <c r="B1002" i="5" a="1"/>
  <c r="B1002" i="5" s="1"/>
  <c r="F1002" i="5" s="1"/>
  <c r="B1003" i="5" a="1"/>
  <c r="B1003" i="5" s="1"/>
  <c r="G1003" i="5" s="1"/>
  <c r="B1004" i="5" a="1"/>
  <c r="B1004" i="5" s="1"/>
  <c r="D1004" i="5" s="1"/>
  <c r="B1005" i="5" a="1"/>
  <c r="B1005" i="5" s="1"/>
  <c r="B1006" i="5" a="1"/>
  <c r="B1006" i="5" s="1"/>
  <c r="B1007" i="5" a="1"/>
  <c r="B1007" i="5" s="1"/>
  <c r="B1008" i="5" a="1"/>
  <c r="B1008" i="5" s="1"/>
  <c r="B1009" i="5" a="1"/>
  <c r="B1009" i="5" s="1"/>
  <c r="B1010" i="5" a="1"/>
  <c r="B1010" i="5" s="1"/>
  <c r="B1011" i="5" a="1"/>
  <c r="B1011" i="5" s="1"/>
  <c r="C1011" i="5" s="1"/>
  <c r="B1012" i="5" a="1"/>
  <c r="B1012" i="5" s="1"/>
  <c r="B1013" i="5" a="1"/>
  <c r="B1013" i="5" s="1"/>
  <c r="D1013" i="5" s="1"/>
  <c r="B1014" i="5" a="1"/>
  <c r="B1014" i="5" s="1"/>
  <c r="F1014" i="5" s="1"/>
  <c r="B1015" i="5" a="1"/>
  <c r="B1015" i="5" s="1"/>
  <c r="G1015" i="5" s="1"/>
  <c r="B1016" i="5" a="1"/>
  <c r="B1016" i="5" s="1"/>
  <c r="D1016" i="5" s="1"/>
  <c r="B1017" i="5" a="1"/>
  <c r="B1017" i="5" s="1"/>
  <c r="B1018" i="5" a="1"/>
  <c r="B1018" i="5" s="1"/>
  <c r="B1019" i="5" a="1"/>
  <c r="B1019" i="5" s="1"/>
  <c r="B1020" i="5" a="1"/>
  <c r="B1020" i="5" s="1"/>
  <c r="B1021" i="5" a="1"/>
  <c r="B1021" i="5" s="1"/>
  <c r="B1022" i="5" a="1"/>
  <c r="B1022" i="5" s="1"/>
  <c r="C1022" i="5" s="1"/>
  <c r="B1023" i="5" a="1"/>
  <c r="B1023" i="5" s="1"/>
  <c r="C1023" i="5" s="1"/>
  <c r="B1024" i="5" a="1"/>
  <c r="B1024" i="5" s="1"/>
  <c r="C1024" i="5" s="1"/>
  <c r="B1025" i="5" a="1"/>
  <c r="B1025" i="5" s="1"/>
  <c r="D1025" i="5" s="1"/>
  <c r="B1026" i="5" a="1"/>
  <c r="B1026" i="5" s="1"/>
  <c r="F1026" i="5" s="1"/>
  <c r="B1027" i="5" a="1"/>
  <c r="B1027" i="5" s="1"/>
  <c r="G1027" i="5" s="1"/>
  <c r="B1028" i="5" a="1"/>
  <c r="B1028" i="5" s="1"/>
  <c r="F1028" i="5" s="1"/>
  <c r="B1029" i="5" a="1"/>
  <c r="B1029" i="5" s="1"/>
  <c r="B1030" i="5" a="1"/>
  <c r="B1030" i="5" s="1"/>
  <c r="B1031" i="5" a="1"/>
  <c r="B1031" i="5" s="1"/>
  <c r="B1032" i="5" a="1"/>
  <c r="B1032" i="5" s="1"/>
  <c r="B1033" i="5" a="1"/>
  <c r="B1033" i="5" s="1"/>
  <c r="B1034" i="5" a="1"/>
  <c r="B1034" i="5" s="1"/>
  <c r="F1034" i="5" s="1"/>
  <c r="B1035" i="5" a="1"/>
  <c r="B1035" i="5" s="1"/>
  <c r="D1035" i="5" s="1"/>
  <c r="B1036" i="5" a="1"/>
  <c r="B1036" i="5" s="1"/>
  <c r="C1036" i="5" s="1"/>
  <c r="B1037" i="5" a="1"/>
  <c r="B1037" i="5" s="1"/>
  <c r="C1037" i="5" s="1"/>
  <c r="B1038" i="5" a="1"/>
  <c r="B1038" i="5" s="1"/>
  <c r="F1038" i="5" s="1"/>
  <c r="B1039" i="5" a="1"/>
  <c r="B1039" i="5" s="1"/>
  <c r="B1040" i="5" a="1"/>
  <c r="B1040" i="5" s="1"/>
  <c r="F1040" i="5" s="1"/>
  <c r="B1041" i="5" a="1"/>
  <c r="B1041" i="5" s="1"/>
  <c r="B1042" i="5" a="1"/>
  <c r="B1042" i="5" s="1"/>
  <c r="B1043" i="5" a="1"/>
  <c r="B1043" i="5" s="1"/>
  <c r="D1043" i="5" s="1"/>
  <c r="B1044" i="5" a="1"/>
  <c r="B1044" i="5" s="1"/>
  <c r="B1045" i="5" a="1"/>
  <c r="B1045" i="5" s="1"/>
  <c r="B1046" i="5" a="1"/>
  <c r="B1046" i="5" s="1"/>
  <c r="B1047" i="5" a="1"/>
  <c r="B1047" i="5" s="1"/>
  <c r="C1047" i="5" s="1"/>
  <c r="B1048" i="5" a="1"/>
  <c r="B1048" i="5" s="1"/>
  <c r="C1048" i="5" s="1"/>
  <c r="B1049" i="5" a="1"/>
  <c r="B1049" i="5" s="1"/>
  <c r="C1049" i="5" s="1"/>
  <c r="B1050" i="5" a="1"/>
  <c r="B1050" i="5" s="1"/>
  <c r="F1050" i="5" s="1"/>
  <c r="B1051" i="5" a="1"/>
  <c r="B1051" i="5" s="1"/>
  <c r="B1052" i="5" a="1"/>
  <c r="B1052" i="5" s="1"/>
  <c r="F1052" i="5" s="1"/>
  <c r="B1053" i="5" a="1"/>
  <c r="B1053" i="5" s="1"/>
  <c r="B1054" i="5" a="1"/>
  <c r="B1054" i="5" s="1"/>
  <c r="B1055" i="5" a="1"/>
  <c r="B1055" i="5" s="1"/>
  <c r="D1055" i="5" s="1"/>
  <c r="B1056" i="5" a="1"/>
  <c r="B1056" i="5" s="1"/>
  <c r="B1057" i="5" a="1"/>
  <c r="B1057" i="5" s="1"/>
  <c r="F1057" i="5" s="1"/>
  <c r="B1058" i="5" a="1"/>
  <c r="B1058" i="5" s="1"/>
  <c r="B1059" i="5" a="1"/>
  <c r="B1059" i="5" s="1"/>
  <c r="E1059" i="5" s="1"/>
  <c r="B1060" i="5" a="1"/>
  <c r="B1060" i="5" s="1"/>
  <c r="B1061" i="5" a="1"/>
  <c r="B1061" i="5" s="1"/>
  <c r="B1062" i="5" a="1"/>
  <c r="B1062" i="5" s="1"/>
  <c r="B1063" i="5" a="1"/>
  <c r="B1063" i="5" s="1"/>
  <c r="B1064" i="5" a="1"/>
  <c r="B1064" i="5" s="1"/>
  <c r="C1064" i="5" s="1"/>
  <c r="B1065" i="5" a="1"/>
  <c r="B1065" i="5" s="1"/>
  <c r="B1066" i="5" a="1"/>
  <c r="B1066" i="5" s="1"/>
  <c r="B1067" i="5" a="1"/>
  <c r="B1067" i="5" s="1"/>
  <c r="D1067" i="5" s="1"/>
  <c r="B1068" i="5" a="1"/>
  <c r="B1068" i="5" s="1"/>
  <c r="B1069" i="5" a="1"/>
  <c r="B1069" i="5" s="1"/>
  <c r="B1070" i="5" a="1"/>
  <c r="B1070" i="5" s="1"/>
  <c r="B1071" i="5" a="1"/>
  <c r="B1071" i="5" s="1"/>
  <c r="B1072" i="5" a="1"/>
  <c r="B1072" i="5" s="1"/>
  <c r="B1073" i="5" a="1"/>
  <c r="B1073" i="5" s="1"/>
  <c r="B1074" i="5" a="1"/>
  <c r="B1074" i="5" s="1"/>
  <c r="C1074" i="5" s="1"/>
  <c r="B1075" i="5" a="1"/>
  <c r="B1075" i="5" s="1"/>
  <c r="B1076" i="5" a="1"/>
  <c r="B1076" i="5" s="1"/>
  <c r="C1076" i="5" s="1"/>
  <c r="B1077" i="5" a="1"/>
  <c r="B1077" i="5" s="1"/>
  <c r="C1077" i="5" s="1"/>
  <c r="B1078" i="5" a="1"/>
  <c r="B1078" i="5" s="1"/>
  <c r="F1078" i="5" s="1"/>
  <c r="B1079" i="5" a="1"/>
  <c r="B1079" i="5" s="1"/>
  <c r="D1079" i="5" s="1"/>
  <c r="B1080" i="5" a="1"/>
  <c r="B1080" i="5" s="1"/>
  <c r="B1081" i="5" a="1"/>
  <c r="B1081" i="5" s="1"/>
  <c r="B1082" i="5" a="1"/>
  <c r="B1082" i="5" s="1"/>
  <c r="G1082" i="5" s="1"/>
  <c r="B1083" i="5" a="1"/>
  <c r="B1083" i="5" s="1"/>
  <c r="B1084" i="5" a="1"/>
  <c r="B1084" i="5" s="1"/>
  <c r="B1085" i="5" a="1"/>
  <c r="B1085" i="5" s="1"/>
  <c r="B1086" i="5" a="1"/>
  <c r="B1086" i="5" s="1"/>
  <c r="B1087" i="5" a="1"/>
  <c r="B1087" i="5" s="1"/>
  <c r="B1088" i="5" a="1"/>
  <c r="B1088" i="5" s="1"/>
  <c r="B1089" i="5" a="1"/>
  <c r="B1089" i="5" s="1"/>
  <c r="B1090" i="5" a="1"/>
  <c r="B1090" i="5" s="1"/>
  <c r="B1091" i="5" a="1"/>
  <c r="B1091" i="5" s="1"/>
  <c r="D1091" i="5" s="1"/>
  <c r="B1092" i="5" a="1"/>
  <c r="B1092" i="5" s="1"/>
  <c r="B1093" i="5" a="1"/>
  <c r="B1093" i="5" s="1"/>
  <c r="E1093" i="5" s="1"/>
  <c r="B1094" i="5" a="1"/>
  <c r="B1094" i="5" s="1"/>
  <c r="F1094" i="5" s="1"/>
  <c r="B1095" i="5" a="1"/>
  <c r="B1095" i="5" s="1"/>
  <c r="C1095" i="5" s="1"/>
  <c r="B1096" i="5" a="1"/>
  <c r="B1096" i="5" s="1"/>
  <c r="B1097" i="5" a="1"/>
  <c r="B1097" i="5" s="1"/>
  <c r="B1098" i="5" a="1"/>
  <c r="B1098" i="5" s="1"/>
  <c r="C1098" i="5" s="1"/>
  <c r="B1099" i="5" a="1"/>
  <c r="B1099" i="5" s="1"/>
  <c r="E1099" i="5" s="1"/>
  <c r="B1100" i="5" a="1"/>
  <c r="B1100" i="5" s="1"/>
  <c r="B1101" i="5" a="1"/>
  <c r="B1101" i="5" s="1"/>
  <c r="B1102" i="5" a="1"/>
  <c r="B1102" i="5" s="1"/>
  <c r="B1103" i="5" a="1"/>
  <c r="B1103" i="5" s="1"/>
  <c r="C1103" i="5" s="1"/>
  <c r="B1104" i="5" a="1"/>
  <c r="B1104" i="5" s="1"/>
  <c r="B1105" i="5" a="1"/>
  <c r="B1105" i="5" s="1"/>
  <c r="E1105" i="5" s="1"/>
  <c r="B1106" i="5" a="1"/>
  <c r="B1106" i="5" s="1"/>
  <c r="C1106" i="5" s="1"/>
  <c r="B1107" i="5" a="1"/>
  <c r="B1107" i="5" s="1"/>
  <c r="C1107" i="5" s="1"/>
  <c r="B1108" i="5" a="1"/>
  <c r="B1108" i="5" s="1"/>
  <c r="D1108" i="5" s="1"/>
  <c r="B1109" i="5" a="1"/>
  <c r="B1109" i="5" s="1"/>
  <c r="B1110" i="5" a="1"/>
  <c r="B1110" i="5" s="1"/>
  <c r="F1110" i="5" s="1"/>
  <c r="B1111" i="5" a="1"/>
  <c r="B1111" i="5" s="1"/>
  <c r="C1111" i="5" s="1"/>
  <c r="B1112" i="5" a="1"/>
  <c r="B1112" i="5" s="1"/>
  <c r="B1113" i="5" a="1"/>
  <c r="B1113" i="5" s="1"/>
  <c r="C1113" i="5" s="1"/>
  <c r="B1114" i="5" a="1"/>
  <c r="B1114" i="5" s="1"/>
  <c r="B1115" i="5" a="1"/>
  <c r="B1115" i="5" s="1"/>
  <c r="D1115" i="5" s="1"/>
  <c r="B1116" i="5" a="1"/>
  <c r="B1116" i="5" s="1"/>
  <c r="B1117" i="5" a="1"/>
  <c r="B1117" i="5" s="1"/>
  <c r="E1117" i="5" s="1"/>
  <c r="B1118" i="5" a="1"/>
  <c r="B1118" i="5" s="1"/>
  <c r="C1118" i="5" s="1"/>
  <c r="B1119" i="5" a="1"/>
  <c r="B1119" i="5" s="1"/>
  <c r="C1119" i="5" s="1"/>
  <c r="B1120" i="5" a="1"/>
  <c r="B1120" i="5" s="1"/>
  <c r="D1120" i="5" s="1"/>
  <c r="B1121" i="5" a="1"/>
  <c r="B1121" i="5" s="1"/>
  <c r="B1122" i="5" a="1"/>
  <c r="B1122" i="5" s="1"/>
  <c r="F1122" i="5" s="1"/>
  <c r="B1123" i="5" a="1"/>
  <c r="B1123" i="5" s="1"/>
  <c r="G1123" i="5" s="1"/>
  <c r="B1124" i="5" a="1"/>
  <c r="B1124" i="5" s="1"/>
  <c r="B1125" i="5" a="1"/>
  <c r="B1125" i="5" s="1"/>
  <c r="C1125" i="5" s="1"/>
  <c r="B1126" i="5" a="1"/>
  <c r="B1126" i="5" s="1"/>
  <c r="B1127" i="5" a="1"/>
  <c r="B1127" i="5" s="1"/>
  <c r="B1128" i="5" a="1"/>
  <c r="B1128" i="5" s="1"/>
  <c r="B1129" i="5" a="1"/>
  <c r="B1129" i="5" s="1"/>
  <c r="E1129" i="5" s="1"/>
  <c r="B1130" i="5" a="1"/>
  <c r="B1130" i="5" s="1"/>
  <c r="B1131" i="5" a="1"/>
  <c r="B1131" i="5" s="1"/>
  <c r="C1131" i="5" s="1"/>
  <c r="B1132" i="5" a="1"/>
  <c r="B1132" i="5" s="1"/>
  <c r="D1132" i="5" s="1"/>
  <c r="B1133" i="5" a="1"/>
  <c r="B1133" i="5" s="1"/>
  <c r="F1133" i="5" s="1"/>
  <c r="B1134" i="5" a="1"/>
  <c r="B1134" i="5" s="1"/>
  <c r="F1134" i="5" s="1"/>
  <c r="B1135" i="5" a="1"/>
  <c r="B1135" i="5" s="1"/>
  <c r="G1135" i="5" s="1"/>
  <c r="B1136" i="5" a="1"/>
  <c r="B1136" i="5" s="1"/>
  <c r="E1136" i="5" s="1"/>
  <c r="B1137" i="5" a="1"/>
  <c r="B1137" i="5" s="1"/>
  <c r="B1138" i="5" a="1"/>
  <c r="B1138" i="5" s="1"/>
  <c r="B1139" i="5" a="1"/>
  <c r="B1139" i="5" s="1"/>
  <c r="B1140" i="5" a="1"/>
  <c r="B1140" i="5" s="1"/>
  <c r="E1140" i="5" s="1"/>
  <c r="B1141" i="5" a="1"/>
  <c r="B1141" i="5" s="1"/>
  <c r="D1141" i="5" s="1"/>
  <c r="B1142" i="5" a="1"/>
  <c r="B1142" i="5" s="1"/>
  <c r="B1143" i="5" a="1"/>
  <c r="B1143" i="5" s="1"/>
  <c r="C1143" i="5" s="1"/>
  <c r="B1144" i="5" a="1"/>
  <c r="B1144" i="5" s="1"/>
  <c r="B1145" i="5" a="1"/>
  <c r="B1145" i="5" s="1"/>
  <c r="F1145" i="5" s="1"/>
  <c r="B1146" i="5" a="1"/>
  <c r="B1146" i="5" s="1"/>
  <c r="B1147" i="5" a="1"/>
  <c r="B1147" i="5" s="1"/>
  <c r="C1147" i="5" s="1"/>
  <c r="B1148" i="5" a="1"/>
  <c r="B1148" i="5" s="1"/>
  <c r="B1149" i="5" a="1"/>
  <c r="B1149" i="5" s="1"/>
  <c r="B1150" i="5" a="1"/>
  <c r="B1150" i="5" s="1"/>
  <c r="B1151" i="5" a="1"/>
  <c r="B1151" i="5" s="1"/>
  <c r="B1152" i="5" a="1"/>
  <c r="B1152" i="5" s="1"/>
  <c r="E1152" i="5" s="1"/>
  <c r="B1153" i="5" a="1"/>
  <c r="B1153" i="5" s="1"/>
  <c r="C1153" i="5" s="1"/>
  <c r="B1154" i="5" a="1"/>
  <c r="B1154" i="5" s="1"/>
  <c r="E1154" i="5" s="1"/>
  <c r="B1155" i="5" a="1"/>
  <c r="B1155" i="5" s="1"/>
  <c r="B1156" i="5" a="1"/>
  <c r="B1156" i="5" s="1"/>
  <c r="B1157" i="5" a="1"/>
  <c r="B1157" i="5" s="1"/>
  <c r="F1157" i="5" s="1"/>
  <c r="B1158" i="5" a="1"/>
  <c r="B1158" i="5" s="1"/>
  <c r="B1159" i="5" a="1"/>
  <c r="B1159" i="5" s="1"/>
  <c r="B1160" i="5" a="1"/>
  <c r="B1160" i="5" s="1"/>
  <c r="B1161" i="5" a="1"/>
  <c r="B1161" i="5" s="1"/>
  <c r="F1161" i="5" s="1"/>
  <c r="B1162" i="5" a="1"/>
  <c r="B1162" i="5" s="1"/>
  <c r="G1162" i="5" s="1"/>
  <c r="B1163" i="5" a="1"/>
  <c r="B1163" i="5" s="1"/>
  <c r="D1163" i="5" s="1"/>
  <c r="B1164" i="5" a="1"/>
  <c r="B1164" i="5" s="1"/>
  <c r="G1164" i="5" s="1"/>
  <c r="B1165" i="5" a="1"/>
  <c r="B1165" i="5" s="1"/>
  <c r="C1165" i="5" s="1"/>
  <c r="B1166" i="5" a="1"/>
  <c r="B1166" i="5" s="1"/>
  <c r="B1167" i="5" a="1"/>
  <c r="B1167" i="5" s="1"/>
  <c r="C1167" i="5" s="1"/>
  <c r="B1168" i="5" a="1"/>
  <c r="B1168" i="5" s="1"/>
  <c r="E1168" i="5" s="1"/>
  <c r="B1169" i="5" a="1"/>
  <c r="B1169" i="5" s="1"/>
  <c r="G1169" i="5" s="1"/>
  <c r="B1170" i="5" a="1"/>
  <c r="B1170" i="5" s="1"/>
  <c r="B1171" i="5" a="1"/>
  <c r="B1171" i="5" s="1"/>
  <c r="C1171" i="5" s="1"/>
  <c r="B1172" i="5" a="1"/>
  <c r="B1172" i="5" s="1"/>
  <c r="D1172" i="5" s="1"/>
  <c r="B1173" i="5" a="1"/>
  <c r="B1173" i="5" s="1"/>
  <c r="F1173" i="5" s="1"/>
  <c r="B1174" i="5" a="1"/>
  <c r="B1174" i="5" s="1"/>
  <c r="B1175" i="5" a="1"/>
  <c r="B1175" i="5" s="1"/>
  <c r="B1176" i="5" a="1"/>
  <c r="B1176" i="5" s="1"/>
  <c r="E1176" i="5" s="1"/>
  <c r="B1177" i="5" a="1"/>
  <c r="B1177" i="5" s="1"/>
  <c r="D1177" i="5" s="1"/>
  <c r="B1178" i="5" a="1"/>
  <c r="B1178" i="5" s="1"/>
  <c r="D1178" i="5" s="1"/>
  <c r="B1179" i="5" a="1"/>
  <c r="B1179" i="5" s="1"/>
  <c r="C1179" i="5" s="1"/>
  <c r="B1180" i="5" a="1"/>
  <c r="B1180" i="5" s="1"/>
  <c r="E1180" i="5" s="1"/>
  <c r="B1181" i="5" a="1"/>
  <c r="B1181" i="5" s="1"/>
  <c r="F1181" i="5" s="1"/>
  <c r="B1182" i="5" a="1"/>
  <c r="B1182" i="5" s="1"/>
  <c r="B1183" i="5" a="1"/>
  <c r="B1183" i="5" s="1"/>
  <c r="C1183" i="5" s="1"/>
  <c r="B1184" i="5" a="1"/>
  <c r="B1184" i="5" s="1"/>
  <c r="B1185" i="5" a="1"/>
  <c r="B1185" i="5" s="1"/>
  <c r="F1185" i="5" s="1"/>
  <c r="B1186" i="5" a="1"/>
  <c r="B1186" i="5" s="1"/>
  <c r="G1186" i="5" s="1"/>
  <c r="B1187" i="5" a="1"/>
  <c r="B1187" i="5" s="1"/>
  <c r="B1188" i="5" a="1"/>
  <c r="B1188" i="5" s="1"/>
  <c r="G1188" i="5" s="1"/>
  <c r="B1189" i="5" a="1"/>
  <c r="B1189" i="5" s="1"/>
  <c r="B1190" i="5" a="1"/>
  <c r="B1190" i="5" s="1"/>
  <c r="B1191" i="5" a="1"/>
  <c r="B1191" i="5" s="1"/>
  <c r="B1192" i="5" a="1"/>
  <c r="B1192" i="5" s="1"/>
  <c r="B1193" i="5" a="1"/>
  <c r="B1193" i="5" s="1"/>
  <c r="F1193" i="5" s="1"/>
  <c r="B1194" i="5" a="1"/>
  <c r="B1194" i="5" s="1"/>
  <c r="B1195" i="5" a="1"/>
  <c r="B1195" i="5" s="1"/>
  <c r="C1195" i="5" s="1"/>
  <c r="B1196" i="5" a="1"/>
  <c r="B1196" i="5" s="1"/>
  <c r="B1197" i="5" a="1"/>
  <c r="B1197" i="5" s="1"/>
  <c r="F1197" i="5" s="1"/>
  <c r="B1198" i="5" a="1"/>
  <c r="B1198" i="5" s="1"/>
  <c r="G1198" i="5" s="1"/>
  <c r="B1199" i="5" a="1"/>
  <c r="B1199" i="5" s="1"/>
  <c r="B1200" i="5" a="1"/>
  <c r="B1200" i="5" s="1"/>
  <c r="E1200" i="5" s="1"/>
  <c r="B1201" i="5" a="1"/>
  <c r="B1201" i="5" s="1"/>
  <c r="C1201" i="5" s="1"/>
  <c r="B1202" i="5" a="1"/>
  <c r="B1202" i="5" s="1"/>
  <c r="C1202" i="5" s="1"/>
  <c r="B1203" i="5" a="1"/>
  <c r="B1203" i="5" s="1"/>
  <c r="C1203" i="5" s="1"/>
  <c r="B1204" i="5" a="1"/>
  <c r="B1204" i="5" s="1"/>
  <c r="B1205" i="5" a="1"/>
  <c r="B1205" i="5" s="1"/>
  <c r="B1206" i="5" a="1"/>
  <c r="B1206" i="5" s="1"/>
  <c r="B1207" i="5" a="1"/>
  <c r="B1207" i="5" s="1"/>
  <c r="B1208" i="5" a="1"/>
  <c r="B1208" i="5" s="1"/>
  <c r="B1209" i="5" a="1"/>
  <c r="B1209" i="5" s="1"/>
  <c r="E1209" i="5" s="1"/>
  <c r="B1210" i="5" a="1"/>
  <c r="B1210" i="5" s="1"/>
  <c r="B1211" i="5" a="1"/>
  <c r="B1211" i="5" s="1"/>
  <c r="B1212" i="5" a="1"/>
  <c r="B1212" i="5" s="1"/>
  <c r="F1212" i="5" s="1"/>
  <c r="B1213" i="5" a="1"/>
  <c r="B1213" i="5" s="1"/>
  <c r="B1214" i="5" a="1"/>
  <c r="B1214" i="5" s="1"/>
  <c r="F1214" i="5" s="1"/>
  <c r="B1215" i="5" a="1"/>
  <c r="B1215" i="5" s="1"/>
  <c r="B1216" i="5" a="1"/>
  <c r="B1216" i="5" s="1"/>
  <c r="B1217" i="5" a="1"/>
  <c r="B1217" i="5" s="1"/>
  <c r="F1217" i="5" s="1"/>
  <c r="B1218" i="5" a="1"/>
  <c r="B1218" i="5" s="1"/>
  <c r="D1218" i="5" s="1"/>
  <c r="B1219" i="5" a="1"/>
  <c r="B1219" i="5" s="1"/>
  <c r="F1219" i="5" s="1"/>
  <c r="B1220" i="5" a="1"/>
  <c r="B1220" i="5" s="1"/>
  <c r="C1220" i="5" s="1"/>
  <c r="B1221" i="5" a="1"/>
  <c r="B1221" i="5" s="1"/>
  <c r="B1222" i="5" a="1"/>
  <c r="B1222" i="5" s="1"/>
  <c r="G1222" i="5" s="1"/>
  <c r="B1223" i="5" a="1"/>
  <c r="B1223" i="5" s="1"/>
  <c r="B1224" i="5" a="1"/>
  <c r="B1224" i="5" s="1"/>
  <c r="F1224" i="5" s="1"/>
  <c r="B1225" i="5" a="1"/>
  <c r="B1225" i="5" s="1"/>
  <c r="B1226" i="5" a="1"/>
  <c r="B1226" i="5" s="1"/>
  <c r="B1227" i="5" a="1"/>
  <c r="B1227" i="5" s="1"/>
  <c r="B1228" i="5" a="1"/>
  <c r="B1228" i="5" s="1"/>
  <c r="B1229" i="5" a="1"/>
  <c r="B1229" i="5" s="1"/>
  <c r="G1229" i="5" s="1"/>
  <c r="B1230" i="5" a="1"/>
  <c r="B1230" i="5" s="1"/>
  <c r="B1231" i="5" a="1"/>
  <c r="B1231" i="5" s="1"/>
  <c r="C1231" i="5" s="1"/>
  <c r="B1232" i="5" a="1"/>
  <c r="B1232" i="5" s="1"/>
  <c r="B1233" i="5" a="1"/>
  <c r="B1233" i="5" s="1"/>
  <c r="B1234" i="5" a="1"/>
  <c r="B1234" i="5" s="1"/>
  <c r="B1235" i="5" a="1"/>
  <c r="B1235" i="5" s="1"/>
  <c r="B1236" i="5" a="1"/>
  <c r="B1236" i="5" s="1"/>
  <c r="G1236" i="5" s="1"/>
  <c r="B1237" i="5" a="1"/>
  <c r="B1237" i="5" s="1"/>
  <c r="B1238" i="5" a="1"/>
  <c r="B1238" i="5" s="1"/>
  <c r="B1239" i="5" a="1"/>
  <c r="B1239" i="5" s="1"/>
  <c r="B1240" i="5" a="1"/>
  <c r="B1240" i="5" s="1"/>
  <c r="C1240" i="5" s="1"/>
  <c r="B1241" i="5" a="1"/>
  <c r="B1241" i="5" s="1"/>
  <c r="B1242" i="5" a="1"/>
  <c r="B1242" i="5" s="1"/>
  <c r="B1243" i="5" a="1"/>
  <c r="B1243" i="5" s="1"/>
  <c r="B1244" i="5" a="1"/>
  <c r="B1244" i="5" s="1"/>
  <c r="B1245" i="5" a="1"/>
  <c r="B1245" i="5" s="1"/>
  <c r="B1246" i="5" a="1"/>
  <c r="B1246" i="5" s="1"/>
  <c r="B1247" i="5" a="1"/>
  <c r="B1247" i="5" s="1"/>
  <c r="G1247" i="5" s="1"/>
  <c r="B1248" i="5" a="1"/>
  <c r="B1248" i="5" s="1"/>
  <c r="E1248" i="5" s="1"/>
  <c r="B1249" i="5" a="1"/>
  <c r="B1249" i="5" s="1"/>
  <c r="C1249" i="5" s="1"/>
  <c r="B1250" i="5" a="1"/>
  <c r="B1250" i="5" s="1"/>
  <c r="B1251" i="5" a="1"/>
  <c r="B1251" i="5" s="1"/>
  <c r="C1251" i="5" s="1"/>
  <c r="B1252" i="5" a="1"/>
  <c r="B1252" i="5" s="1"/>
  <c r="E1252" i="5" s="1"/>
  <c r="B1253" i="5" a="1"/>
  <c r="B1253" i="5" s="1"/>
  <c r="F1253" i="5" s="1"/>
  <c r="B1254" i="5" a="1"/>
  <c r="B1254" i="5" s="1"/>
  <c r="B1255" i="5" a="1"/>
  <c r="B1255" i="5" s="1"/>
  <c r="G1255" i="5" s="1"/>
  <c r="B1256" i="5" a="1"/>
  <c r="B1256" i="5" s="1"/>
  <c r="C1256" i="5" s="1"/>
  <c r="B1257" i="5" a="1"/>
  <c r="B1257" i="5" s="1"/>
  <c r="B1258" i="5" a="1"/>
  <c r="B1258" i="5" s="1"/>
  <c r="B1259" i="5" a="1"/>
  <c r="B1259" i="5" s="1"/>
  <c r="D1259" i="5" s="1"/>
  <c r="B1260" i="5" a="1"/>
  <c r="B1260" i="5" s="1"/>
  <c r="E1260" i="5" s="1"/>
  <c r="B1261" i="5" a="1"/>
  <c r="B1261" i="5" s="1"/>
  <c r="E1261" i="5" s="1"/>
  <c r="B1262" i="5" a="1"/>
  <c r="B1262" i="5" s="1"/>
  <c r="B1263" i="5" a="1"/>
  <c r="B1263" i="5" s="1"/>
  <c r="B1264" i="5" a="1"/>
  <c r="B1264" i="5" s="1"/>
  <c r="B1265" i="5" a="1"/>
  <c r="B1265" i="5" s="1"/>
  <c r="B1266" i="5" a="1"/>
  <c r="B1266" i="5" s="1"/>
  <c r="D1266" i="5" s="1"/>
  <c r="B1267" i="5" a="1"/>
  <c r="B1267" i="5" s="1"/>
  <c r="B1268" i="5" a="1"/>
  <c r="B1268" i="5" s="1"/>
  <c r="B1269" i="5" a="1"/>
  <c r="B1269" i="5" s="1"/>
  <c r="C1269" i="5" s="1"/>
  <c r="B1270" i="5" a="1"/>
  <c r="B1270" i="5" s="1"/>
  <c r="B1271" i="5" a="1"/>
  <c r="B1271" i="5" s="1"/>
  <c r="B1272" i="5" a="1"/>
  <c r="B1272" i="5" s="1"/>
  <c r="G1272" i="5" s="1"/>
  <c r="B1273" i="5" a="1"/>
  <c r="B1273" i="5" s="1"/>
  <c r="B1274" i="5" a="1"/>
  <c r="B1274" i="5" s="1"/>
  <c r="F1274" i="5" s="1"/>
  <c r="B1275" i="5" a="1"/>
  <c r="B1275" i="5" s="1"/>
  <c r="B1276" i="5" a="1"/>
  <c r="B1276" i="5" s="1"/>
  <c r="E1276" i="5" s="1"/>
  <c r="B1277" i="5" a="1"/>
  <c r="B1277" i="5" s="1"/>
  <c r="B1278" i="5" a="1"/>
  <c r="B1278" i="5" s="1"/>
  <c r="B1279" i="5" a="1"/>
  <c r="B1279" i="5" s="1"/>
  <c r="G1279" i="5" s="1"/>
  <c r="B1280" i="5" a="1"/>
  <c r="B1280" i="5" s="1"/>
  <c r="B1281" i="5" a="1"/>
  <c r="B1281" i="5" s="1"/>
  <c r="E1281" i="5" s="1"/>
  <c r="B1282" i="5" a="1"/>
  <c r="B1282" i="5" s="1"/>
  <c r="B1283" i="5" a="1"/>
  <c r="B1283" i="5" s="1"/>
  <c r="D1283" i="5" s="1"/>
  <c r="B1284" i="5" a="1"/>
  <c r="B1284" i="5" s="1"/>
  <c r="G1284" i="5" s="1"/>
  <c r="B1285" i="5" a="1"/>
  <c r="B1285" i="5" s="1"/>
  <c r="E1285" i="5" s="1"/>
  <c r="B1286" i="5" a="1"/>
  <c r="B1286" i="5" s="1"/>
  <c r="G1286" i="5" s="1"/>
  <c r="B1287" i="5" a="1"/>
  <c r="B1287" i="5" s="1"/>
  <c r="B1288" i="5" a="1"/>
  <c r="B1288" i="5" s="1"/>
  <c r="E1288" i="5" s="1"/>
  <c r="B1289" i="5" a="1"/>
  <c r="B1289" i="5" s="1"/>
  <c r="B1290" i="5" a="1"/>
  <c r="B1290" i="5" s="1"/>
  <c r="D1290" i="5" s="1"/>
  <c r="B1291" i="5" a="1"/>
  <c r="B1291" i="5" s="1"/>
  <c r="B1292" i="5" a="1"/>
  <c r="B1292" i="5" s="1"/>
  <c r="C1292" i="5" s="1"/>
  <c r="B1293" i="5" a="1"/>
  <c r="B1293" i="5" s="1"/>
  <c r="E1293" i="5" s="1"/>
  <c r="B1294" i="5" a="1"/>
  <c r="B1294" i="5" s="1"/>
  <c r="B1295" i="5" a="1"/>
  <c r="B1295" i="5" s="1"/>
  <c r="D1295" i="5" s="1"/>
  <c r="B1296" i="5" a="1"/>
  <c r="B1296" i="5" s="1"/>
  <c r="E1296" i="5" s="1"/>
  <c r="B1297" i="5" a="1"/>
  <c r="B1297" i="5" s="1"/>
  <c r="E1297" i="5" s="1"/>
  <c r="B1298" i="5" a="1"/>
  <c r="B1298" i="5" s="1"/>
  <c r="B1299" i="5" a="1"/>
  <c r="B1299" i="5" s="1"/>
  <c r="B1300" i="5" a="1"/>
  <c r="B1300" i="5" s="1"/>
  <c r="E1300" i="5" s="1"/>
  <c r="B1301" i="5" a="1"/>
  <c r="B1301" i="5" s="1"/>
  <c r="F1301" i="5" s="1"/>
  <c r="B1302" i="5" a="1"/>
  <c r="B1302" i="5" s="1"/>
  <c r="D1302" i="5" s="1"/>
  <c r="B1303" i="5" a="1"/>
  <c r="B1303" i="5" s="1"/>
  <c r="B1304" i="5" a="1"/>
  <c r="B1304" i="5" s="1"/>
  <c r="B1305" i="5" a="1"/>
  <c r="B1305" i="5" s="1"/>
  <c r="B1306" i="5" a="1"/>
  <c r="B1306" i="5" s="1"/>
  <c r="B1307" i="5" a="1"/>
  <c r="B1307" i="5" s="1"/>
  <c r="D1307" i="5" s="1"/>
  <c r="B1308" i="5" a="1"/>
  <c r="B1308" i="5" s="1"/>
  <c r="E1308" i="5" s="1"/>
  <c r="B1309" i="5" a="1"/>
  <c r="B1309" i="5" s="1"/>
  <c r="E1309" i="5" s="1"/>
  <c r="B1310" i="5" a="1"/>
  <c r="B1310" i="5" s="1"/>
  <c r="B1311" i="5" a="1"/>
  <c r="B1311" i="5" s="1"/>
  <c r="B1312" i="5" a="1"/>
  <c r="B1312" i="5" s="1"/>
  <c r="B1313" i="5" a="1"/>
  <c r="B1313" i="5" s="1"/>
  <c r="B1314" i="5" a="1"/>
  <c r="B1314" i="5" s="1"/>
  <c r="C1314" i="5" s="1"/>
  <c r="B1315" i="5" a="1"/>
  <c r="B1315" i="5" s="1"/>
  <c r="B1316" i="5" a="1"/>
  <c r="B1316" i="5" s="1"/>
  <c r="C1316" i="5" s="1"/>
  <c r="B1317" i="5" a="1"/>
  <c r="B1317" i="5" s="1"/>
  <c r="B1318" i="5" a="1"/>
  <c r="B1318" i="5" s="1"/>
  <c r="F1318" i="5" s="1"/>
  <c r="B1319" i="5" a="1"/>
  <c r="B1319" i="5" s="1"/>
  <c r="C1319" i="5" s="1"/>
  <c r="B1320" i="5" a="1"/>
  <c r="B1320" i="5" s="1"/>
  <c r="C1320" i="5" s="1"/>
  <c r="B1321" i="5" a="1"/>
  <c r="B1321" i="5" s="1"/>
  <c r="B1322" i="5" a="1"/>
  <c r="B1322" i="5" s="1"/>
  <c r="C1322" i="5" s="1"/>
  <c r="B1323" i="5" a="1"/>
  <c r="B1323" i="5" s="1"/>
  <c r="F1323" i="5" s="1"/>
  <c r="B1324" i="5" a="1"/>
  <c r="B1324" i="5" s="1"/>
  <c r="D1324" i="5" s="1"/>
  <c r="B1325" i="5" a="1"/>
  <c r="B1325" i="5" s="1"/>
  <c r="E1325" i="5" s="1"/>
  <c r="B1326" i="5" a="1"/>
  <c r="B1326" i="5" s="1"/>
  <c r="C1326" i="5" s="1"/>
  <c r="B1327" i="5" a="1"/>
  <c r="B1327" i="5" s="1"/>
  <c r="B1328" i="5" a="1"/>
  <c r="B1328" i="5" s="1"/>
  <c r="B1329" i="5" a="1"/>
  <c r="B1329" i="5" s="1"/>
  <c r="E1329" i="5" s="1"/>
  <c r="B1330" i="5" a="1"/>
  <c r="B1330" i="5" s="1"/>
  <c r="B1331" i="5" a="1"/>
  <c r="B1331" i="5" s="1"/>
  <c r="B1332" i="5" a="1"/>
  <c r="B1332" i="5" s="1"/>
  <c r="C1332" i="5" s="1"/>
  <c r="B1333" i="5" a="1"/>
  <c r="B1333" i="5" s="1"/>
  <c r="G1333" i="5" s="1"/>
  <c r="B1334" i="5" a="1"/>
  <c r="B1334" i="5" s="1"/>
  <c r="C1334" i="5" s="1"/>
  <c r="B1335" i="5" a="1"/>
  <c r="B1335" i="5" s="1"/>
  <c r="D1335" i="5" s="1"/>
  <c r="B1336" i="5" a="1"/>
  <c r="B1336" i="5" s="1"/>
  <c r="E1336" i="5" s="1"/>
  <c r="B1337" i="5" a="1"/>
  <c r="B1337" i="5" s="1"/>
  <c r="D1337" i="5" s="1"/>
  <c r="B1338" i="5" a="1"/>
  <c r="B1338" i="5" s="1"/>
  <c r="D1338" i="5" s="1"/>
  <c r="B1339" i="5" a="1"/>
  <c r="B1339" i="5" s="1"/>
  <c r="B1340" i="5" a="1"/>
  <c r="B1340" i="5" s="1"/>
  <c r="E1340" i="5" s="1"/>
  <c r="B1341" i="5" a="1"/>
  <c r="B1341" i="5" s="1"/>
  <c r="C1341" i="5" s="1"/>
  <c r="B1342" i="5" a="1"/>
  <c r="B1342" i="5" s="1"/>
  <c r="D1342" i="5" s="1"/>
  <c r="B1343" i="5" a="1"/>
  <c r="B1343" i="5" s="1"/>
  <c r="E1343" i="5" s="1"/>
  <c r="B1344" i="5" a="1"/>
  <c r="B1344" i="5" s="1"/>
  <c r="C1344" i="5" s="1"/>
  <c r="B1345" i="5" a="1"/>
  <c r="B1345" i="5" s="1"/>
  <c r="F1345" i="5" s="1"/>
  <c r="B1346" i="5" a="1"/>
  <c r="B1346" i="5" s="1"/>
  <c r="B1347" i="5" a="1"/>
  <c r="B1347" i="5" s="1"/>
  <c r="D1347" i="5" s="1"/>
  <c r="B1348" i="5" a="1"/>
  <c r="B1348" i="5" s="1"/>
  <c r="F1348" i="5" s="1"/>
  <c r="B1349" i="5" a="1"/>
  <c r="B1349" i="5" s="1"/>
  <c r="D1349" i="5" s="1"/>
  <c r="B1350" i="5" a="1"/>
  <c r="B1350" i="5" s="1"/>
  <c r="F1350" i="5" s="1"/>
  <c r="B1351" i="5" a="1"/>
  <c r="B1351" i="5" s="1"/>
  <c r="C1351" i="5" s="1"/>
  <c r="B1352" i="5" a="1"/>
  <c r="B1352" i="5" s="1"/>
  <c r="B1353" i="5" a="1"/>
  <c r="B1353" i="5" s="1"/>
  <c r="C1353" i="5" s="1"/>
  <c r="B1354" i="5" a="1"/>
  <c r="B1354" i="5" s="1"/>
  <c r="C1354" i="5" s="1"/>
  <c r="B1355" i="5" a="1"/>
  <c r="B1355" i="5" s="1"/>
  <c r="B1356" i="5" a="1"/>
  <c r="B1356" i="5" s="1"/>
  <c r="C1356" i="5" s="1"/>
  <c r="B1357" i="5" a="1"/>
  <c r="B1357" i="5" s="1"/>
  <c r="G1357" i="5" s="1"/>
  <c r="B1358" i="5" a="1"/>
  <c r="B1358" i="5" s="1"/>
  <c r="B1359" i="5" a="1"/>
  <c r="B1359" i="5" s="1"/>
  <c r="B1360" i="5" a="1"/>
  <c r="B1360" i="5" s="1"/>
  <c r="F1360" i="5" s="1"/>
  <c r="B1361" i="5" a="1"/>
  <c r="B1361" i="5" s="1"/>
  <c r="B1362" i="5" a="1"/>
  <c r="B1362" i="5" s="1"/>
  <c r="C1362" i="5" s="1"/>
  <c r="B1363" i="5" a="1"/>
  <c r="B1363" i="5" s="1"/>
  <c r="B1364" i="5" a="1"/>
  <c r="B1364" i="5" s="1"/>
  <c r="F1364" i="5" s="1"/>
  <c r="B1365" i="5" a="1"/>
  <c r="B1365" i="5" s="1"/>
  <c r="C1365" i="5" s="1"/>
  <c r="B1366" i="5" a="1"/>
  <c r="B1366" i="5" s="1"/>
  <c r="B1367" i="5" a="1"/>
  <c r="B1367" i="5" s="1"/>
  <c r="E1367" i="5" s="1"/>
  <c r="B1368" i="5" a="1"/>
  <c r="B1368" i="5" s="1"/>
  <c r="C1368" i="5" s="1"/>
  <c r="B1369" i="5" a="1"/>
  <c r="B1369" i="5" s="1"/>
  <c r="G1369" i="5" s="1"/>
  <c r="B1370" i="5" a="1"/>
  <c r="B1370" i="5" s="1"/>
  <c r="B1371" i="5" a="1"/>
  <c r="B1371" i="5" s="1"/>
  <c r="B1372" i="5" a="1"/>
  <c r="B1372" i="5" s="1"/>
  <c r="B1373" i="5" a="1"/>
  <c r="B1373" i="5" s="1"/>
  <c r="B1374" i="5" a="1"/>
  <c r="B1374" i="5" s="1"/>
  <c r="C1374" i="5" s="1"/>
  <c r="B1375" i="5" a="1"/>
  <c r="B1375" i="5" s="1"/>
  <c r="B1376" i="5" a="1"/>
  <c r="B1376" i="5" s="1"/>
  <c r="B1377" i="5" a="1"/>
  <c r="B1377" i="5" s="1"/>
  <c r="B1378" i="5" a="1"/>
  <c r="B1378" i="5" s="1"/>
  <c r="B1379" i="5" a="1"/>
  <c r="B1379" i="5" s="1"/>
  <c r="E1379" i="5" s="1"/>
  <c r="B1380" i="5" a="1"/>
  <c r="B1380" i="5" s="1"/>
  <c r="C1380" i="5" s="1"/>
  <c r="B1381" i="5" a="1"/>
  <c r="B1381" i="5" s="1"/>
  <c r="G1381" i="5" s="1"/>
  <c r="B1382" i="5" a="1"/>
  <c r="B1382" i="5" s="1"/>
  <c r="B1383" i="5" a="1"/>
  <c r="B1383" i="5" s="1"/>
  <c r="E1383" i="5" s="1"/>
  <c r="B1384" i="5" a="1"/>
  <c r="B1384" i="5" s="1"/>
  <c r="C1384" i="5" s="1"/>
  <c r="B1385" i="5" a="1"/>
  <c r="B1385" i="5" s="1"/>
  <c r="D1385" i="5" s="1"/>
  <c r="B1386" i="5" a="1"/>
  <c r="B1386" i="5" s="1"/>
  <c r="C1386" i="5" s="1"/>
  <c r="B1387" i="5" a="1"/>
  <c r="B1387" i="5" s="1"/>
  <c r="G1387" i="5" s="1"/>
  <c r="B1388" i="5" a="1"/>
  <c r="B1388" i="5" s="1"/>
  <c r="F1388" i="5" s="1"/>
  <c r="B1389" i="5" a="1"/>
  <c r="B1389" i="5" s="1"/>
  <c r="B1390" i="5" a="1"/>
  <c r="B1390" i="5" s="1"/>
  <c r="B1391" i="5" a="1"/>
  <c r="B1391" i="5" s="1"/>
  <c r="B1392" i="5" a="1"/>
  <c r="B1392" i="5" s="1"/>
  <c r="E1392" i="5" s="1"/>
  <c r="B1393" i="5" a="1"/>
  <c r="B1393" i="5" s="1"/>
  <c r="B1394" i="5" a="1"/>
  <c r="B1394" i="5" s="1"/>
  <c r="B1395" i="5" a="1"/>
  <c r="B1395" i="5" s="1"/>
  <c r="B1396" i="5" a="1"/>
  <c r="B1396" i="5" s="1"/>
  <c r="C1396" i="5" s="1"/>
  <c r="B1397" i="5" a="1"/>
  <c r="B1397" i="5" s="1"/>
  <c r="B1398" i="5" a="1"/>
  <c r="B1398" i="5" s="1"/>
  <c r="C1398" i="5" s="1"/>
  <c r="B1399" i="5" a="1"/>
  <c r="B1399" i="5" s="1"/>
  <c r="B1400" i="5" a="1"/>
  <c r="B1400" i="5" s="1"/>
  <c r="B1401" i="5" a="1"/>
  <c r="B1401" i="5" s="1"/>
  <c r="B1402" i="5" a="1"/>
  <c r="B1402" i="5" s="1"/>
  <c r="B1403" i="5" a="1"/>
  <c r="B1403" i="5" s="1"/>
  <c r="B1404" i="5" a="1"/>
  <c r="B1404" i="5" s="1"/>
  <c r="D1404" i="5" s="1"/>
  <c r="B1405" i="5" a="1"/>
  <c r="B1405" i="5" s="1"/>
  <c r="G1405" i="5" s="1"/>
  <c r="B1406" i="5" a="1"/>
  <c r="B1406" i="5" s="1"/>
  <c r="B1407" i="5" a="1"/>
  <c r="B1407" i="5" s="1"/>
  <c r="B1408" i="5" a="1"/>
  <c r="B1408" i="5" s="1"/>
  <c r="B1409" i="5" a="1"/>
  <c r="B1409" i="5" s="1"/>
  <c r="B1410" i="5" a="1"/>
  <c r="B1410" i="5" s="1"/>
  <c r="B1411" i="5" a="1"/>
  <c r="B1411" i="5" s="1"/>
  <c r="E1411" i="5" s="1"/>
  <c r="B1412" i="5" a="1"/>
  <c r="B1412" i="5" s="1"/>
  <c r="B1413" i="5" a="1"/>
  <c r="B1413" i="5" s="1"/>
  <c r="F1413" i="5" s="1"/>
  <c r="B1414" i="5" a="1"/>
  <c r="B1414" i="5" s="1"/>
  <c r="B1415" i="5" a="1"/>
  <c r="B1415" i="5" s="1"/>
  <c r="B1416" i="5" a="1"/>
  <c r="B1416" i="5" s="1"/>
  <c r="D1416" i="5" s="1"/>
  <c r="B1417" i="5" a="1"/>
  <c r="B1417" i="5" s="1"/>
  <c r="G1417" i="5" s="1"/>
  <c r="B1418" i="5" a="1"/>
  <c r="B1418" i="5" s="1"/>
  <c r="B1419" i="5" a="1"/>
  <c r="B1419" i="5" s="1"/>
  <c r="B1420" i="5" a="1"/>
  <c r="B1420" i="5" s="1"/>
  <c r="B1421" i="5" a="1"/>
  <c r="B1421" i="5" s="1"/>
  <c r="B1422" i="5" a="1"/>
  <c r="B1422" i="5" s="1"/>
  <c r="B1423" i="5" a="1"/>
  <c r="B1423" i="5" s="1"/>
  <c r="C1423" i="5" s="1"/>
  <c r="B1424" i="5" a="1"/>
  <c r="B1424" i="5" s="1"/>
  <c r="B1425" i="5" a="1"/>
  <c r="B1425" i="5" s="1"/>
  <c r="B1426" i="5" a="1"/>
  <c r="B1426" i="5" s="1"/>
  <c r="B1427" i="5" a="1"/>
  <c r="B1427" i="5" s="1"/>
  <c r="B1428" i="5" a="1"/>
  <c r="B1428" i="5" s="1"/>
  <c r="D1428" i="5" s="1"/>
  <c r="B1429" i="5" a="1"/>
  <c r="B1429" i="5" s="1"/>
  <c r="G1429" i="5" s="1"/>
  <c r="B1430" i="5" a="1"/>
  <c r="B1430" i="5" s="1"/>
  <c r="B1431" i="5" a="1"/>
  <c r="B1431" i="5" s="1"/>
  <c r="B1432" i="5" a="1"/>
  <c r="B1432" i="5" s="1"/>
  <c r="B1433" i="5" a="1"/>
  <c r="B1433" i="5" s="1"/>
  <c r="B1434" i="5" a="1"/>
  <c r="B1434" i="5" s="1"/>
  <c r="B1435" i="5" a="1"/>
  <c r="B1435" i="5" s="1"/>
  <c r="C1435" i="5" s="1"/>
  <c r="B1436" i="5" a="1"/>
  <c r="B1436" i="5" s="1"/>
  <c r="B1437" i="5" a="1"/>
  <c r="B1437" i="5" s="1"/>
  <c r="B1438" i="5" a="1"/>
  <c r="B1438" i="5" s="1"/>
  <c r="B1439" i="5" a="1"/>
  <c r="B1439" i="5" s="1"/>
  <c r="B1440" i="5" a="1"/>
  <c r="B1440" i="5" s="1"/>
  <c r="D1440" i="5" s="1"/>
  <c r="B1441" i="5" a="1"/>
  <c r="B1441" i="5" s="1"/>
  <c r="B1442" i="5" a="1"/>
  <c r="B1442" i="5" s="1"/>
  <c r="B1443" i="5" a="1"/>
  <c r="B1443" i="5" s="1"/>
  <c r="B1444" i="5" a="1"/>
  <c r="B1444" i="5" s="1"/>
  <c r="B1445" i="5" a="1"/>
  <c r="B1445" i="5" s="1"/>
  <c r="C1445" i="5" s="1"/>
  <c r="B1446" i="5" a="1"/>
  <c r="B1446" i="5" s="1"/>
  <c r="C1446" i="5" s="1"/>
  <c r="B1447" i="5" a="1"/>
  <c r="B1447" i="5" s="1"/>
  <c r="B1448" i="5" a="1"/>
  <c r="B1448" i="5" s="1"/>
  <c r="B1449" i="5" a="1"/>
  <c r="B1449" i="5" s="1"/>
  <c r="B1450" i="5" a="1"/>
  <c r="B1450" i="5" s="1"/>
  <c r="B1451" i="5" a="1"/>
  <c r="B1451" i="5" s="1"/>
  <c r="B1452" i="5" a="1"/>
  <c r="B1452" i="5" s="1"/>
  <c r="B1453" i="5" a="1"/>
  <c r="B1453" i="5" s="1"/>
  <c r="B1454" i="5" a="1"/>
  <c r="B1454" i="5" s="1"/>
  <c r="B1455" i="5" a="1"/>
  <c r="B1455" i="5" s="1"/>
  <c r="B1456" i="5" a="1"/>
  <c r="B1456" i="5" s="1"/>
  <c r="B1457" i="5" a="1"/>
  <c r="B1457" i="5" s="1"/>
  <c r="C1457" i="5" s="1"/>
  <c r="B1458" i="5" a="1"/>
  <c r="B1458" i="5" s="1"/>
  <c r="E1458" i="5" s="1"/>
  <c r="B1459" i="5" a="1"/>
  <c r="B1459" i="5" s="1"/>
  <c r="C1459" i="5" s="1"/>
  <c r="B1460" i="5" a="1"/>
  <c r="B1460" i="5" s="1"/>
  <c r="B1461" i="5" a="1"/>
  <c r="B1461" i="5" s="1"/>
  <c r="B1462" i="5" a="1"/>
  <c r="B1462" i="5" s="1"/>
  <c r="B1463" i="5" a="1"/>
  <c r="B1463" i="5" s="1"/>
  <c r="C1463" i="5" s="1"/>
  <c r="B1464" i="5" a="1"/>
  <c r="B1464" i="5" s="1"/>
  <c r="C1464" i="5" s="1"/>
  <c r="B1465" i="5" a="1"/>
  <c r="B1465" i="5" s="1"/>
  <c r="B1466" i="5" a="1"/>
  <c r="B1466" i="5" s="1"/>
  <c r="B1467" i="5" a="1"/>
  <c r="B1467" i="5" s="1"/>
  <c r="B1468" i="5" a="1"/>
  <c r="B1468" i="5" s="1"/>
  <c r="B1469" i="5" a="1"/>
  <c r="B1469" i="5" s="1"/>
  <c r="C1469" i="5" s="1"/>
  <c r="B1470" i="5" a="1"/>
  <c r="B1470" i="5" s="1"/>
  <c r="B1471" i="5" a="1"/>
  <c r="B1471" i="5" s="1"/>
  <c r="D1471" i="5" s="1"/>
  <c r="B1472" i="5" a="1"/>
  <c r="B1472" i="5" s="1"/>
  <c r="B1473" i="5" a="1"/>
  <c r="B1473" i="5" s="1"/>
  <c r="B1474" i="5" a="1"/>
  <c r="B1474" i="5" s="1"/>
  <c r="D1474" i="5" s="1"/>
  <c r="B1475" i="5" a="1"/>
  <c r="B1475" i="5" s="1"/>
  <c r="B1476" i="5" a="1"/>
  <c r="B1476" i="5" s="1"/>
  <c r="C1476" i="5" s="1"/>
  <c r="B1477" i="5" a="1"/>
  <c r="B1477" i="5" s="1"/>
  <c r="B1478" i="5" a="1"/>
  <c r="B1478" i="5" s="1"/>
  <c r="B1479" i="5" a="1"/>
  <c r="B1479" i="5" s="1"/>
  <c r="B1480" i="5" a="1"/>
  <c r="B1480" i="5" s="1"/>
  <c r="B1481" i="5" a="1"/>
  <c r="B1481" i="5" s="1"/>
  <c r="B1482" i="5" a="1"/>
  <c r="B1482" i="5" s="1"/>
  <c r="B1483" i="5" a="1"/>
  <c r="B1483" i="5" s="1"/>
  <c r="C1483" i="5" s="1"/>
  <c r="B1484" i="5" a="1"/>
  <c r="B1484" i="5" s="1"/>
  <c r="B1485" i="5" a="1"/>
  <c r="B1485" i="5" s="1"/>
  <c r="B1486" i="5" a="1"/>
  <c r="B1486" i="5" s="1"/>
  <c r="B1487" i="5" a="1"/>
  <c r="B1487" i="5" s="1"/>
  <c r="C1487" i="5" s="1"/>
  <c r="B1488" i="5" a="1"/>
  <c r="B1488" i="5" s="1"/>
  <c r="C1488" i="5" s="1"/>
  <c r="B1489" i="5" a="1"/>
  <c r="B1489" i="5" s="1"/>
  <c r="B1490" i="5" a="1"/>
  <c r="B1490" i="5" s="1"/>
  <c r="B1491" i="5" a="1"/>
  <c r="B1491" i="5" s="1"/>
  <c r="B1492" i="5" a="1"/>
  <c r="B1492" i="5" s="1"/>
  <c r="B1493" i="5" a="1"/>
  <c r="B1493" i="5" s="1"/>
  <c r="B1494" i="5" a="1"/>
  <c r="B1494" i="5" s="1"/>
  <c r="B1495" i="5" a="1"/>
  <c r="B1495" i="5" s="1"/>
  <c r="C1495" i="5" s="1"/>
  <c r="B1496" i="5" a="1"/>
  <c r="B1496" i="5" s="1"/>
  <c r="B1497" i="5" a="1"/>
  <c r="B1497" i="5" s="1"/>
  <c r="B1498" i="5" a="1"/>
  <c r="B1498" i="5" s="1"/>
  <c r="B1499" i="5" a="1"/>
  <c r="B1499" i="5" s="1"/>
  <c r="B1500" i="5" a="1"/>
  <c r="B1500" i="5" s="1"/>
  <c r="E1500" i="5" s="1"/>
  <c r="B1501" i="5" a="1"/>
  <c r="B1501" i="5" s="1"/>
  <c r="C1501" i="5" s="1"/>
  <c r="B1502" i="5" a="1"/>
  <c r="B1502" i="5" s="1"/>
  <c r="B1503" i="5" a="1"/>
  <c r="B1503" i="5" s="1"/>
  <c r="C1503" i="5" s="1"/>
  <c r="B1504" i="5" a="1"/>
  <c r="B1504" i="5" s="1"/>
  <c r="C1504" i="5" s="1"/>
  <c r="B1505" i="5" a="1"/>
  <c r="B1505" i="5" s="1"/>
  <c r="B1506" i="5" a="1"/>
  <c r="B1506" i="5" s="1"/>
  <c r="B1507" i="5" a="1"/>
  <c r="B1507" i="5" s="1"/>
  <c r="B1508" i="5" a="1"/>
  <c r="B1508" i="5" s="1"/>
  <c r="B1509" i="5" a="1"/>
  <c r="B1509" i="5" s="1"/>
  <c r="B1510" i="5" a="1"/>
  <c r="B1510" i="5" s="1"/>
  <c r="B1511" i="5" a="1"/>
  <c r="B1511" i="5" s="1"/>
  <c r="B1512" i="5" a="1"/>
  <c r="B1512" i="5" s="1"/>
  <c r="B1513" i="5" a="1"/>
  <c r="B1513" i="5" s="1"/>
  <c r="B1514" i="5" a="1"/>
  <c r="B1514" i="5" s="1"/>
  <c r="C1514" i="5" s="1"/>
  <c r="B1515" i="5" a="1"/>
  <c r="B1515" i="5" s="1"/>
  <c r="C1515" i="5" s="1"/>
  <c r="B1516" i="5" a="1"/>
  <c r="B1516" i="5" s="1"/>
  <c r="B1517" i="5" a="1"/>
  <c r="B1517" i="5" s="1"/>
  <c r="B1518" i="5" a="1"/>
  <c r="B1518" i="5" s="1"/>
  <c r="B1519" i="5" a="1"/>
  <c r="B1519" i="5" s="1"/>
  <c r="B1520" i="5" a="1"/>
  <c r="B1520" i="5" s="1"/>
  <c r="B1521" i="5" a="1"/>
  <c r="B1521" i="5" s="1"/>
  <c r="B1522" i="5" a="1"/>
  <c r="B1522" i="5" s="1"/>
  <c r="B1523" i="5" a="1"/>
  <c r="B1523" i="5" s="1"/>
  <c r="B1524" i="5" a="1"/>
  <c r="B1524" i="5" s="1"/>
  <c r="B1525" i="5" a="1"/>
  <c r="B1525" i="5" s="1"/>
  <c r="B1526" i="5" a="1"/>
  <c r="B1526" i="5" s="1"/>
  <c r="C1526" i="5" s="1"/>
  <c r="B1527" i="5" a="1"/>
  <c r="B1527" i="5" s="1"/>
  <c r="C1527" i="5" s="1"/>
  <c r="B1528" i="5" a="1"/>
  <c r="B1528" i="5" s="1"/>
  <c r="C1528" i="5" s="1"/>
  <c r="B1529" i="5" a="1"/>
  <c r="B1529" i="5" s="1"/>
  <c r="B1530" i="5" a="1"/>
  <c r="B1530" i="5" s="1"/>
  <c r="B1531" i="5" a="1"/>
  <c r="B1531" i="5" s="1"/>
  <c r="B1532" i="5" a="1"/>
  <c r="B1532" i="5" s="1"/>
  <c r="B1533" i="5" a="1"/>
  <c r="B1533" i="5" s="1"/>
  <c r="B1534" i="5" a="1"/>
  <c r="B1534" i="5" s="1"/>
  <c r="B1535" i="5" a="1"/>
  <c r="B1535" i="5" s="1"/>
  <c r="B1536" i="5" a="1"/>
  <c r="B1536" i="5" s="1"/>
  <c r="B1537" i="5" a="1"/>
  <c r="B1537" i="5" s="1"/>
  <c r="B1538" i="5" a="1"/>
  <c r="B1538" i="5" s="1"/>
  <c r="B1539" i="5" a="1"/>
  <c r="B1539" i="5" s="1"/>
  <c r="C1539" i="5" s="1"/>
  <c r="B1540" i="5" a="1"/>
  <c r="B1540" i="5" s="1"/>
  <c r="B1541" i="5" a="1"/>
  <c r="B1541" i="5" s="1"/>
  <c r="B1542" i="5" a="1"/>
  <c r="B1542" i="5" s="1"/>
  <c r="B1543" i="5" a="1"/>
  <c r="B1543" i="5" s="1"/>
  <c r="B1544" i="5" a="1"/>
  <c r="B1544" i="5" s="1"/>
  <c r="B1545" i="5" a="1"/>
  <c r="B1545" i="5" s="1"/>
  <c r="B1546" i="5" a="1"/>
  <c r="B1546" i="5" s="1"/>
  <c r="B1547" i="5" a="1"/>
  <c r="B1547" i="5" s="1"/>
  <c r="B1548" i="5" a="1"/>
  <c r="B1548" i="5" s="1"/>
  <c r="E1548" i="5" s="1"/>
  <c r="B1549" i="5" a="1"/>
  <c r="B1549" i="5" s="1"/>
  <c r="B1550" i="5" a="1"/>
  <c r="B1550" i="5" s="1"/>
  <c r="B1551" i="5" a="1"/>
  <c r="B1551" i="5" s="1"/>
  <c r="B1552" i="5" a="1"/>
  <c r="B1552" i="5" s="1"/>
  <c r="B1553" i="5" a="1"/>
  <c r="B1553" i="5" s="1"/>
  <c r="B1554" i="5" a="1"/>
  <c r="B1554" i="5" s="1"/>
  <c r="G1554" i="5" s="1"/>
  <c r="B1555" i="5" a="1"/>
  <c r="B1555" i="5" s="1"/>
  <c r="B1556" i="5" a="1"/>
  <c r="B1556" i="5" s="1"/>
  <c r="B1557" i="5" a="1"/>
  <c r="B1557" i="5" s="1"/>
  <c r="B1558" i="5" a="1"/>
  <c r="B1558" i="5" s="1"/>
  <c r="B1559" i="5" a="1"/>
  <c r="B1559" i="5" s="1"/>
  <c r="B1560" i="5" a="1"/>
  <c r="B1560" i="5" s="1"/>
  <c r="B1561" i="5" a="1"/>
  <c r="B1561" i="5" s="1"/>
  <c r="B1562" i="5" a="1"/>
  <c r="B1562" i="5" s="1"/>
  <c r="B1563" i="5" a="1"/>
  <c r="B1563" i="5" s="1"/>
  <c r="B1564" i="5" a="1"/>
  <c r="B1564" i="5" s="1"/>
  <c r="C1564" i="5" s="1"/>
  <c r="B1565" i="5" a="1"/>
  <c r="B1565" i="5" s="1"/>
  <c r="B1566" i="5" a="1"/>
  <c r="B1566" i="5" s="1"/>
  <c r="B1567" i="5" a="1"/>
  <c r="B1567" i="5" s="1"/>
  <c r="B1568" i="5" a="1"/>
  <c r="B1568" i="5" s="1"/>
  <c r="B1569" i="5" a="1"/>
  <c r="B1569" i="5" s="1"/>
  <c r="B1570" i="5" a="1"/>
  <c r="B1570" i="5" s="1"/>
  <c r="B1571" i="5" a="1"/>
  <c r="B1571" i="5" s="1"/>
  <c r="B1572" i="5" a="1"/>
  <c r="B1572" i="5" s="1"/>
  <c r="B1573" i="5" a="1"/>
  <c r="B1573" i="5" s="1"/>
  <c r="B1574" i="5" a="1"/>
  <c r="B1574" i="5" s="1"/>
  <c r="B1575" i="5" a="1"/>
  <c r="B1575" i="5" s="1"/>
  <c r="B1576" i="5" a="1"/>
  <c r="B1576" i="5" s="1"/>
  <c r="B1577" i="5" a="1"/>
  <c r="B1577" i="5" s="1"/>
  <c r="B1578" i="5" a="1"/>
  <c r="B1578" i="5" s="1"/>
  <c r="G1578" i="5" s="1"/>
  <c r="B1579" i="5" a="1"/>
  <c r="B1579" i="5" s="1"/>
  <c r="K5" i="7"/>
  <c r="H5" i="7"/>
  <c r="E5" i="7"/>
  <c r="B5" i="7"/>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c r="C71" i="5" s="1"/>
  <c r="E71" i="5"/>
  <c r="B72" i="5" a="1"/>
  <c r="B72" i="5"/>
  <c r="C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C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C96" i="5" s="1"/>
  <c r="B97" i="5" a="1"/>
  <c r="B97" i="5" s="1"/>
  <c r="B98" i="5" a="1"/>
  <c r="B98" i="5" s="1"/>
  <c r="B99" i="5" a="1"/>
  <c r="B99" i="5" s="1"/>
  <c r="B100" i="5" a="1"/>
  <c r="B100" i="5" s="1"/>
  <c r="B101" i="5" a="1"/>
  <c r="B101" i="5" s="1"/>
  <c r="B102" i="5" a="1"/>
  <c r="B102" i="5" s="1"/>
  <c r="B103" i="5" a="1"/>
  <c r="B103" i="5" s="1"/>
  <c r="B104" i="5" a="1"/>
  <c r="B104" i="5"/>
  <c r="E104" i="5" s="1"/>
  <c r="F104" i="5"/>
  <c r="G104" i="5"/>
  <c r="B105" i="5" a="1"/>
  <c r="B105" i="5" s="1"/>
  <c r="B106" i="5" a="1"/>
  <c r="B106" i="5" s="1"/>
  <c r="B107" i="5" a="1"/>
  <c r="B107" i="5" s="1"/>
  <c r="B108" i="5" a="1"/>
  <c r="B108" i="5" s="1"/>
  <c r="C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C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C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C144" i="5" s="1"/>
  <c r="B145" i="5" a="1"/>
  <c r="B145" i="5" s="1"/>
  <c r="B146" i="5" a="1"/>
  <c r="B146" i="5" s="1"/>
  <c r="B147" i="5" a="1"/>
  <c r="B147" i="5" s="1"/>
  <c r="B148" i="5" a="1"/>
  <c r="B148" i="5" s="1"/>
  <c r="B149" i="5" a="1"/>
  <c r="B149" i="5" s="1"/>
  <c r="B150" i="5" a="1"/>
  <c r="B150" i="5" s="1"/>
  <c r="G59" i="5"/>
  <c r="F59" i="5"/>
  <c r="E59" i="5"/>
  <c r="D59" i="5"/>
  <c r="C59" i="5"/>
  <c r="B59" i="5" a="1"/>
  <c r="B59" i="5"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D768" i="5" l="1"/>
  <c r="G535" i="5"/>
  <c r="F1231" i="5"/>
  <c r="D1392" i="5"/>
  <c r="D1274" i="5"/>
  <c r="C698" i="5"/>
  <c r="D1350" i="5"/>
  <c r="F1135" i="5"/>
  <c r="D1320" i="5"/>
  <c r="F626" i="5"/>
  <c r="D626" i="5"/>
  <c r="E626" i="5"/>
  <c r="G1464" i="5"/>
  <c r="D1059" i="5"/>
  <c r="G1037" i="5"/>
  <c r="C366" i="5"/>
  <c r="D1464" i="5"/>
  <c r="F654" i="5"/>
  <c r="F458" i="5"/>
  <c r="C684" i="5"/>
  <c r="G1320" i="5"/>
  <c r="E1274" i="5"/>
  <c r="C401" i="5"/>
  <c r="C190" i="5"/>
  <c r="G190" i="5"/>
  <c r="F188" i="5"/>
  <c r="C188" i="5"/>
  <c r="C247" i="5"/>
  <c r="E247" i="5"/>
  <c r="D246" i="5"/>
  <c r="C246" i="5"/>
  <c r="G1207" i="5"/>
  <c r="C1207" i="5"/>
  <c r="E1207" i="5"/>
  <c r="F1207" i="5"/>
  <c r="E628" i="5"/>
  <c r="F628" i="5"/>
  <c r="C1552" i="5"/>
  <c r="F1552" i="5"/>
  <c r="C1032" i="5"/>
  <c r="E1032" i="5"/>
  <c r="D858" i="5"/>
  <c r="C858" i="5"/>
  <c r="E858" i="5"/>
  <c r="C1042" i="5"/>
  <c r="E1042" i="5"/>
  <c r="F1042" i="5"/>
  <c r="C691" i="5"/>
  <c r="D691" i="5"/>
  <c r="E691" i="5"/>
  <c r="G980" i="5"/>
  <c r="C980" i="5"/>
  <c r="C1381" i="5"/>
  <c r="F1319" i="5"/>
  <c r="G1178" i="5"/>
  <c r="G320" i="5"/>
  <c r="G303" i="5"/>
  <c r="F1178" i="5"/>
  <c r="F1037" i="5"/>
  <c r="E320" i="5"/>
  <c r="C303" i="5"/>
  <c r="F1526" i="5"/>
  <c r="D1504" i="5"/>
  <c r="E1178" i="5"/>
  <c r="C320" i="5"/>
  <c r="E280" i="5"/>
  <c r="F1236" i="5"/>
  <c r="E1001" i="5"/>
  <c r="F1578" i="5"/>
  <c r="G1059" i="5"/>
  <c r="F511" i="5"/>
  <c r="G288" i="5"/>
  <c r="F1059" i="5"/>
  <c r="G698" i="5"/>
  <c r="D307" i="5"/>
  <c r="C1059" i="5"/>
  <c r="D275" i="5"/>
  <c r="F405" i="5"/>
  <c r="G405" i="5"/>
  <c r="E753" i="5"/>
  <c r="C631" i="5"/>
  <c r="D409" i="5"/>
  <c r="G1219" i="5"/>
  <c r="F1279" i="5"/>
  <c r="F1272" i="5"/>
  <c r="E1219" i="5"/>
  <c r="F750" i="5"/>
  <c r="D1279" i="5"/>
  <c r="E1272" i="5"/>
  <c r="D1219" i="5"/>
  <c r="D1040" i="5"/>
  <c r="G756" i="5"/>
  <c r="D863" i="5"/>
  <c r="D755" i="5"/>
  <c r="E167" i="5"/>
  <c r="G924" i="5"/>
  <c r="F924" i="5"/>
  <c r="G292" i="5"/>
  <c r="C174" i="5"/>
  <c r="C862" i="5"/>
  <c r="E685" i="5"/>
  <c r="D685" i="5"/>
  <c r="G205" i="5"/>
  <c r="F205" i="5"/>
  <c r="G772" i="5"/>
  <c r="F772" i="5"/>
  <c r="D1447" i="5"/>
  <c r="C1447" i="5"/>
  <c r="G1447" i="5"/>
  <c r="G507" i="5"/>
  <c r="D507" i="5"/>
  <c r="F507" i="5"/>
  <c r="C1327" i="5"/>
  <c r="D1327" i="5"/>
  <c r="F1327" i="5"/>
  <c r="D805" i="5"/>
  <c r="C805" i="5"/>
  <c r="G805" i="5"/>
  <c r="D279" i="5"/>
  <c r="G279" i="5"/>
  <c r="E867" i="5"/>
  <c r="G867" i="5"/>
  <c r="F278" i="5"/>
  <c r="C278" i="5"/>
  <c r="C682" i="5"/>
  <c r="E682" i="5"/>
  <c r="E1211" i="5"/>
  <c r="F1211" i="5"/>
  <c r="G1211" i="5"/>
  <c r="D1211" i="5"/>
  <c r="C1160" i="5"/>
  <c r="D1160" i="5"/>
  <c r="C1148" i="5"/>
  <c r="D1148" i="5"/>
  <c r="G265" i="5"/>
  <c r="C265" i="5"/>
  <c r="D265" i="5"/>
  <c r="C946" i="5"/>
  <c r="D946" i="5"/>
  <c r="E946" i="5"/>
  <c r="C523" i="5"/>
  <c r="F523" i="5"/>
  <c r="D346" i="5"/>
  <c r="C346" i="5"/>
  <c r="C399" i="5"/>
  <c r="E399" i="5"/>
  <c r="C655" i="5"/>
  <c r="D655" i="5"/>
  <c r="E655" i="5"/>
  <c r="C1087" i="5"/>
  <c r="D1087" i="5"/>
  <c r="E1087" i="5"/>
  <c r="F1087" i="5"/>
  <c r="G1087" i="5"/>
  <c r="D187" i="5"/>
  <c r="E187" i="5"/>
  <c r="C187" i="5"/>
  <c r="E797" i="5"/>
  <c r="G797" i="5"/>
  <c r="G1440" i="5"/>
  <c r="C686" i="5"/>
  <c r="D628" i="5"/>
  <c r="G407" i="5"/>
  <c r="G350" i="5"/>
  <c r="D247" i="5"/>
  <c r="E192" i="5"/>
  <c r="G162" i="5"/>
  <c r="F1440" i="5"/>
  <c r="E914" i="5"/>
  <c r="C350" i="5"/>
  <c r="C192" i="5"/>
  <c r="F162" i="5"/>
  <c r="E1440" i="5"/>
  <c r="G1032" i="5"/>
  <c r="G344" i="5"/>
  <c r="G334" i="5"/>
  <c r="G167" i="5"/>
  <c r="G1552" i="5"/>
  <c r="D1500" i="5"/>
  <c r="C1440" i="5"/>
  <c r="D1405" i="5"/>
  <c r="F1320" i="5"/>
  <c r="E1279" i="5"/>
  <c r="F1032" i="5"/>
  <c r="C921" i="5"/>
  <c r="F858" i="5"/>
  <c r="E810" i="5"/>
  <c r="F691" i="5"/>
  <c r="C640" i="5"/>
  <c r="G449" i="5"/>
  <c r="F378" i="5"/>
  <c r="E344" i="5"/>
  <c r="E334" i="5"/>
  <c r="F307" i="5"/>
  <c r="G280" i="5"/>
  <c r="D228" i="5"/>
  <c r="C1279" i="5"/>
  <c r="D1231" i="5"/>
  <c r="G827" i="5"/>
  <c r="F739" i="5"/>
  <c r="G421" i="5"/>
  <c r="F217" i="5"/>
  <c r="E1037" i="5"/>
  <c r="E924" i="5"/>
  <c r="F827" i="5"/>
  <c r="E739" i="5"/>
  <c r="F421" i="5"/>
  <c r="F263" i="5"/>
  <c r="E217" i="5"/>
  <c r="C1178" i="5"/>
  <c r="D1037" i="5"/>
  <c r="D979" i="5"/>
  <c r="D924" i="5"/>
  <c r="D862" i="5"/>
  <c r="D739" i="5"/>
  <c r="G683" i="5"/>
  <c r="C638" i="5"/>
  <c r="D509" i="5"/>
  <c r="E421" i="5"/>
  <c r="E364" i="5"/>
  <c r="D217" i="5"/>
  <c r="C753" i="5"/>
  <c r="D540" i="5"/>
  <c r="F515" i="5"/>
  <c r="G463" i="5"/>
  <c r="G1380" i="5"/>
  <c r="D1135" i="5"/>
  <c r="F1016" i="5"/>
  <c r="D923" i="5"/>
  <c r="D515" i="5"/>
  <c r="C284" i="5"/>
  <c r="C1554" i="5"/>
  <c r="C1218" i="5"/>
  <c r="E1057" i="5"/>
  <c r="C923" i="5"/>
  <c r="D860" i="5"/>
  <c r="E1395" i="5"/>
  <c r="D1395" i="5"/>
  <c r="C1101" i="5"/>
  <c r="E1101" i="5"/>
  <c r="C1562" i="5"/>
  <c r="D1562" i="5"/>
  <c r="E1562" i="5"/>
  <c r="F1562" i="5"/>
  <c r="G1562" i="5"/>
  <c r="E1524" i="5"/>
  <c r="D1524" i="5"/>
  <c r="F1524" i="5"/>
  <c r="G1524" i="5"/>
  <c r="C1502" i="5"/>
  <c r="F1502" i="5"/>
  <c r="G1502" i="5"/>
  <c r="D1494" i="5"/>
  <c r="C1494" i="5"/>
  <c r="E1494" i="5"/>
  <c r="C1493" i="5"/>
  <c r="E1493" i="5"/>
  <c r="C1481" i="5"/>
  <c r="D1481" i="5"/>
  <c r="F1481" i="5"/>
  <c r="C1291" i="5"/>
  <c r="E1291" i="5"/>
  <c r="D1291" i="5"/>
  <c r="F1291" i="5"/>
  <c r="G1291" i="5"/>
  <c r="D1221" i="5"/>
  <c r="C1221" i="5"/>
  <c r="E1221" i="5"/>
  <c r="F1221" i="5"/>
  <c r="G1221" i="5"/>
  <c r="C1560" i="5"/>
  <c r="F1560" i="5"/>
  <c r="G1560" i="5"/>
  <c r="E1560" i="5"/>
  <c r="D1560" i="5"/>
  <c r="C1262" i="5"/>
  <c r="E1262" i="5"/>
  <c r="D1262" i="5"/>
  <c r="F1262" i="5"/>
  <c r="G1262" i="5"/>
  <c r="F1149" i="5"/>
  <c r="D1149" i="5"/>
  <c r="C1089" i="5"/>
  <c r="E1089" i="5"/>
  <c r="D1506" i="5"/>
  <c r="C1506" i="5"/>
  <c r="E1506" i="5"/>
  <c r="F1436" i="5"/>
  <c r="G1436" i="5"/>
  <c r="E128" i="5"/>
  <c r="F128" i="5"/>
  <c r="G128" i="5"/>
  <c r="E116" i="5"/>
  <c r="G116" i="5"/>
  <c r="F116" i="5"/>
  <c r="C1525" i="5"/>
  <c r="D1525" i="5"/>
  <c r="C1449" i="5"/>
  <c r="F1449" i="5"/>
  <c r="G1449" i="5"/>
  <c r="D1175" i="5"/>
  <c r="G1175" i="5"/>
  <c r="C1175" i="5"/>
  <c r="G1393" i="5"/>
  <c r="F1393" i="5"/>
  <c r="C1387" i="5"/>
  <c r="E1269" i="5"/>
  <c r="C1159" i="5"/>
  <c r="E1159" i="5"/>
  <c r="F1159" i="5"/>
  <c r="G1159" i="5"/>
  <c r="C1115" i="5"/>
  <c r="F1098" i="5"/>
  <c r="C1091" i="5"/>
  <c r="D1047" i="5"/>
  <c r="E1047" i="5"/>
  <c r="F1047" i="5"/>
  <c r="G1047" i="5"/>
  <c r="E769" i="5"/>
  <c r="C769" i="5"/>
  <c r="D769" i="5"/>
  <c r="F769" i="5"/>
  <c r="G769" i="5"/>
  <c r="D336" i="5"/>
  <c r="E336" i="5"/>
  <c r="F336" i="5"/>
  <c r="G336" i="5"/>
  <c r="C336" i="5"/>
  <c r="C283" i="5"/>
  <c r="D283" i="5"/>
  <c r="E283" i="5"/>
  <c r="F283" i="5"/>
  <c r="G283" i="5"/>
  <c r="D277" i="5"/>
  <c r="E277" i="5"/>
  <c r="F277" i="5"/>
  <c r="D230" i="5"/>
  <c r="G230" i="5"/>
  <c r="C230" i="5"/>
  <c r="D1322" i="5"/>
  <c r="E1322" i="5"/>
  <c r="C1214" i="5"/>
  <c r="D1214" i="5"/>
  <c r="E1214" i="5"/>
  <c r="G1033" i="5"/>
  <c r="E1033" i="5"/>
  <c r="C883" i="5"/>
  <c r="D883" i="5"/>
  <c r="E883" i="5"/>
  <c r="F883" i="5"/>
  <c r="G883" i="5"/>
  <c r="C751" i="5"/>
  <c r="D751" i="5"/>
  <c r="E751" i="5"/>
  <c r="F751" i="5"/>
  <c r="G751" i="5"/>
  <c r="C713" i="5"/>
  <c r="G713" i="5"/>
  <c r="D400" i="5"/>
  <c r="C400" i="5"/>
  <c r="E1578" i="5"/>
  <c r="C1405" i="5"/>
  <c r="C1392" i="5"/>
  <c r="D1381" i="5"/>
  <c r="G1332" i="5"/>
  <c r="C1274" i="5"/>
  <c r="G1231" i="5"/>
  <c r="C1219" i="5"/>
  <c r="C1173" i="5"/>
  <c r="D1103" i="5"/>
  <c r="G1103" i="5"/>
  <c r="F1056" i="5"/>
  <c r="G1056" i="5"/>
  <c r="G1045" i="5"/>
  <c r="E1045" i="5"/>
  <c r="C974" i="5"/>
  <c r="D974" i="5"/>
  <c r="G829" i="5"/>
  <c r="F829" i="5"/>
  <c r="C811" i="5"/>
  <c r="E811" i="5"/>
  <c r="C360" i="5"/>
  <c r="D360" i="5"/>
  <c r="G290" i="5"/>
  <c r="F290" i="5"/>
  <c r="D290" i="5"/>
  <c r="F176" i="5"/>
  <c r="G176" i="5"/>
  <c r="C176" i="5"/>
  <c r="D176" i="5"/>
  <c r="E176" i="5"/>
  <c r="D1578" i="5"/>
  <c r="G1386" i="5"/>
  <c r="G1347" i="5"/>
  <c r="D1332" i="5"/>
  <c r="G1327" i="5"/>
  <c r="E1327" i="5"/>
  <c r="G1321" i="5"/>
  <c r="F1321" i="5"/>
  <c r="F1044" i="5"/>
  <c r="G1044" i="5"/>
  <c r="C741" i="5"/>
  <c r="D741" i="5"/>
  <c r="E711" i="5"/>
  <c r="C711" i="5"/>
  <c r="F711" i="5"/>
  <c r="F627" i="5"/>
  <c r="C627" i="5"/>
  <c r="D627" i="5"/>
  <c r="E627" i="5"/>
  <c r="G627" i="5"/>
  <c r="C175" i="5"/>
  <c r="E175" i="5"/>
  <c r="C1578" i="5"/>
  <c r="G1404" i="5"/>
  <c r="F1347" i="5"/>
  <c r="E1231" i="5"/>
  <c r="D1207" i="5"/>
  <c r="C1172" i="5"/>
  <c r="C913" i="5"/>
  <c r="D913" i="5"/>
  <c r="F740" i="5"/>
  <c r="C740" i="5"/>
  <c r="E740" i="5"/>
  <c r="G740" i="5"/>
  <c r="F1404" i="5"/>
  <c r="G1385" i="5"/>
  <c r="E1332" i="5"/>
  <c r="F1332" i="5"/>
  <c r="E1212" i="5"/>
  <c r="G1212" i="5"/>
  <c r="G1154" i="5"/>
  <c r="E1118" i="5"/>
  <c r="C888" i="5"/>
  <c r="D888" i="5"/>
  <c r="E888" i="5"/>
  <c r="F888" i="5"/>
  <c r="G888" i="5"/>
  <c r="C748" i="5"/>
  <c r="E748" i="5"/>
  <c r="G748" i="5"/>
  <c r="E1552" i="5"/>
  <c r="F1464" i="5"/>
  <c r="E1404" i="5"/>
  <c r="F1385" i="5"/>
  <c r="G1350" i="5"/>
  <c r="F1331" i="5"/>
  <c r="D1331" i="5"/>
  <c r="E1236" i="5"/>
  <c r="G1218" i="5"/>
  <c r="F1218" i="5"/>
  <c r="F1154" i="5"/>
  <c r="D1118" i="5"/>
  <c r="G1094" i="5"/>
  <c r="C1088" i="5"/>
  <c r="D1088" i="5"/>
  <c r="E639" i="5"/>
  <c r="C639" i="5"/>
  <c r="D639" i="5"/>
  <c r="E348" i="5"/>
  <c r="C348" i="5"/>
  <c r="D348" i="5"/>
  <c r="F348" i="5"/>
  <c r="D1552" i="5"/>
  <c r="G1495" i="5"/>
  <c r="E1464" i="5"/>
  <c r="C1404" i="5"/>
  <c r="G1388" i="5"/>
  <c r="D1380" i="5"/>
  <c r="F1380" i="5"/>
  <c r="F1334" i="5"/>
  <c r="D986" i="5"/>
  <c r="C986" i="5"/>
  <c r="E986" i="5"/>
  <c r="C477" i="5"/>
  <c r="D477" i="5"/>
  <c r="E477" i="5"/>
  <c r="F477" i="5"/>
  <c r="G477" i="5"/>
  <c r="G465" i="5"/>
  <c r="C465" i="5"/>
  <c r="D465" i="5"/>
  <c r="E465" i="5"/>
  <c r="F465" i="5"/>
  <c r="F1495" i="5"/>
  <c r="C1385" i="5"/>
  <c r="E1385" i="5"/>
  <c r="C1177" i="5"/>
  <c r="E1177" i="5"/>
  <c r="C1154" i="5"/>
  <c r="D1154" i="5"/>
  <c r="F1118" i="5"/>
  <c r="G1118" i="5"/>
  <c r="C1100" i="5"/>
  <c r="D1100" i="5"/>
  <c r="D1030" i="5"/>
  <c r="F1030" i="5"/>
  <c r="G1030" i="5"/>
  <c r="F869" i="5"/>
  <c r="G869" i="5"/>
  <c r="C625" i="5"/>
  <c r="E625" i="5"/>
  <c r="F625" i="5"/>
  <c r="G625" i="5"/>
  <c r="E305" i="5"/>
  <c r="F305" i="5"/>
  <c r="G305" i="5"/>
  <c r="F164" i="5"/>
  <c r="E164" i="5"/>
  <c r="G164" i="5"/>
  <c r="C164" i="5"/>
  <c r="D164" i="5"/>
  <c r="F1564" i="5"/>
  <c r="F1554" i="5"/>
  <c r="G1504" i="5"/>
  <c r="D1501" i="5"/>
  <c r="E1495" i="5"/>
  <c r="E1393" i="5"/>
  <c r="F1387" i="5"/>
  <c r="F1333" i="5"/>
  <c r="G1205" i="5"/>
  <c r="F1205" i="5"/>
  <c r="F1099" i="5"/>
  <c r="C984" i="5"/>
  <c r="D984" i="5"/>
  <c r="E984" i="5"/>
  <c r="F984" i="5"/>
  <c r="G984" i="5"/>
  <c r="D508" i="5"/>
  <c r="C508" i="5"/>
  <c r="C285" i="5"/>
  <c r="G285" i="5"/>
  <c r="F285" i="5"/>
  <c r="C233" i="5"/>
  <c r="F233" i="5"/>
  <c r="G233" i="5"/>
  <c r="G1564" i="5"/>
  <c r="F1504" i="5"/>
  <c r="D1495" i="5"/>
  <c r="D1393" i="5"/>
  <c r="E1387" i="5"/>
  <c r="E1333" i="5"/>
  <c r="G1274" i="5"/>
  <c r="G1269" i="5"/>
  <c r="C1233" i="5"/>
  <c r="G1233" i="5"/>
  <c r="G814" i="5"/>
  <c r="E814" i="5"/>
  <c r="F814" i="5"/>
  <c r="F338" i="5"/>
  <c r="C338" i="5"/>
  <c r="D338" i="5"/>
  <c r="G338" i="5"/>
  <c r="C222" i="5"/>
  <c r="D222" i="5"/>
  <c r="E222" i="5"/>
  <c r="F222" i="5"/>
  <c r="G222" i="5"/>
  <c r="E1564" i="5"/>
  <c r="E1554" i="5"/>
  <c r="D1564" i="5"/>
  <c r="D1554" i="5"/>
  <c r="G1526" i="5"/>
  <c r="E1504" i="5"/>
  <c r="C1452" i="5"/>
  <c r="E1452" i="5"/>
  <c r="C1393" i="5"/>
  <c r="D1387" i="5"/>
  <c r="G1365" i="5"/>
  <c r="C1333" i="5"/>
  <c r="F1322" i="5"/>
  <c r="F1269" i="5"/>
  <c r="G1214" i="5"/>
  <c r="D1159" i="5"/>
  <c r="G1115" i="5"/>
  <c r="C1099" i="5"/>
  <c r="D1099" i="5"/>
  <c r="G1099" i="5"/>
  <c r="G1091" i="5"/>
  <c r="C636" i="5"/>
  <c r="F636" i="5"/>
  <c r="G636" i="5"/>
  <c r="C453" i="5"/>
  <c r="D453" i="5"/>
  <c r="E453" i="5"/>
  <c r="F453" i="5"/>
  <c r="G453" i="5"/>
  <c r="C408" i="5"/>
  <c r="E408" i="5"/>
  <c r="C449" i="5"/>
  <c r="C409" i="5"/>
  <c r="G395" i="5"/>
  <c r="E378" i="5"/>
  <c r="F344" i="5"/>
  <c r="E307" i="5"/>
  <c r="E205" i="5"/>
  <c r="G812" i="5"/>
  <c r="G693" i="5"/>
  <c r="F539" i="5"/>
  <c r="G521" i="5"/>
  <c r="E235" i="5"/>
  <c r="D205" i="5"/>
  <c r="C168" i="5"/>
  <c r="G871" i="5"/>
  <c r="F812" i="5"/>
  <c r="G809" i="5"/>
  <c r="F693" i="5"/>
  <c r="E539" i="5"/>
  <c r="C535" i="5"/>
  <c r="D521" i="5"/>
  <c r="F422" i="5"/>
  <c r="D344" i="5"/>
  <c r="C307" i="5"/>
  <c r="D235" i="5"/>
  <c r="D229" i="5"/>
  <c r="C205" i="5"/>
  <c r="E191" i="5"/>
  <c r="C1211" i="5"/>
  <c r="D1032" i="5"/>
  <c r="E972" i="5"/>
  <c r="F871" i="5"/>
  <c r="G860" i="5"/>
  <c r="E812" i="5"/>
  <c r="E809" i="5"/>
  <c r="F805" i="5"/>
  <c r="E799" i="5"/>
  <c r="F766" i="5"/>
  <c r="C756" i="5"/>
  <c r="C739" i="5"/>
  <c r="E693" i="5"/>
  <c r="F681" i="5"/>
  <c r="D539" i="5"/>
  <c r="C404" i="5"/>
  <c r="G1040" i="5"/>
  <c r="D981" i="5"/>
  <c r="D972" i="5"/>
  <c r="E871" i="5"/>
  <c r="F860" i="5"/>
  <c r="D812" i="5"/>
  <c r="D809" i="5"/>
  <c r="E805" i="5"/>
  <c r="D693" i="5"/>
  <c r="G684" i="5"/>
  <c r="E681" i="5"/>
  <c r="G624" i="5"/>
  <c r="G1057" i="5"/>
  <c r="F1001" i="5"/>
  <c r="C972" i="5"/>
  <c r="E917" i="5"/>
  <c r="D871" i="5"/>
  <c r="E860" i="5"/>
  <c r="C809" i="5"/>
  <c r="G798" i="5"/>
  <c r="F684" i="5"/>
  <c r="C681" i="5"/>
  <c r="G626" i="5"/>
  <c r="F624" i="5"/>
  <c r="G523" i="5"/>
  <c r="E507" i="5"/>
  <c r="G458" i="5"/>
  <c r="G364" i="5"/>
  <c r="D350" i="5"/>
  <c r="F334" i="5"/>
  <c r="D320" i="5"/>
  <c r="F292" i="5"/>
  <c r="E263" i="5"/>
  <c r="G232" i="5"/>
  <c r="F228" i="5"/>
  <c r="D204" i="5"/>
  <c r="G234" i="5"/>
  <c r="E228" i="5"/>
  <c r="G186" i="5"/>
  <c r="G638" i="5"/>
  <c r="E523" i="5"/>
  <c r="D334" i="5"/>
  <c r="G262" i="5"/>
  <c r="G246" i="5"/>
  <c r="F234" i="5"/>
  <c r="F186" i="5"/>
  <c r="G174" i="5"/>
  <c r="F169" i="5"/>
  <c r="F980" i="5"/>
  <c r="G686" i="5"/>
  <c r="F638" i="5"/>
  <c r="C628" i="5"/>
  <c r="C626" i="5"/>
  <c r="G537" i="5"/>
  <c r="D523" i="5"/>
  <c r="G451" i="5"/>
  <c r="G409" i="5"/>
  <c r="F279" i="5"/>
  <c r="G275" i="5"/>
  <c r="F262" i="5"/>
  <c r="F246" i="5"/>
  <c r="E234" i="5"/>
  <c r="C228" i="5"/>
  <c r="C217" i="5"/>
  <c r="G203" i="5"/>
  <c r="E186" i="5"/>
  <c r="F174" i="5"/>
  <c r="E169" i="5"/>
  <c r="D162" i="5"/>
  <c r="G439" i="5"/>
  <c r="C1038" i="5"/>
  <c r="E980" i="5"/>
  <c r="G946" i="5"/>
  <c r="E686" i="5"/>
  <c r="G655" i="5"/>
  <c r="D651" i="5"/>
  <c r="E638" i="5"/>
  <c r="G461" i="5"/>
  <c r="F409" i="5"/>
  <c r="F275" i="5"/>
  <c r="E246" i="5"/>
  <c r="D234" i="5"/>
  <c r="F203" i="5"/>
  <c r="D186" i="5"/>
  <c r="E174" i="5"/>
  <c r="D169" i="5"/>
  <c r="F439" i="5"/>
  <c r="G1042" i="5"/>
  <c r="D980" i="5"/>
  <c r="F946" i="5"/>
  <c r="F914" i="5"/>
  <c r="F862" i="5"/>
  <c r="G858" i="5"/>
  <c r="F753" i="5"/>
  <c r="G691" i="5"/>
  <c r="D686" i="5"/>
  <c r="F655" i="5"/>
  <c r="C651" i="5"/>
  <c r="G396" i="5"/>
  <c r="E275" i="5"/>
  <c r="F265" i="5"/>
  <c r="F192" i="5"/>
  <c r="D188" i="5"/>
  <c r="C169" i="5"/>
  <c r="D439" i="5"/>
  <c r="F224" i="5"/>
  <c r="C224" i="5"/>
  <c r="D224" i="5"/>
  <c r="E224" i="5"/>
  <c r="G224" i="5"/>
  <c r="F281" i="5"/>
  <c r="E281" i="5"/>
  <c r="G281" i="5"/>
  <c r="C223" i="5"/>
  <c r="E223" i="5"/>
  <c r="C513" i="5"/>
  <c r="D513" i="5"/>
  <c r="E513" i="5"/>
  <c r="F513" i="5"/>
  <c r="G513" i="5"/>
  <c r="D1268" i="5"/>
  <c r="C1268" i="5"/>
  <c r="C1267" i="5"/>
  <c r="D1267" i="5"/>
  <c r="E1267" i="5"/>
  <c r="G1267" i="5"/>
  <c r="F1267" i="5"/>
  <c r="F687" i="5"/>
  <c r="D687" i="5"/>
  <c r="C687" i="5"/>
  <c r="F398" i="5"/>
  <c r="C398" i="5"/>
  <c r="D398" i="5"/>
  <c r="E398" i="5"/>
  <c r="G398" i="5"/>
  <c r="E919" i="5"/>
  <c r="F919" i="5"/>
  <c r="G919" i="5"/>
  <c r="D919" i="5"/>
  <c r="C919" i="5"/>
  <c r="D630" i="5"/>
  <c r="C630" i="5"/>
  <c r="D804" i="5"/>
  <c r="F804" i="5"/>
  <c r="E397" i="5"/>
  <c r="C397" i="5"/>
  <c r="G455" i="5"/>
  <c r="C455" i="5"/>
  <c r="E1094" i="5"/>
  <c r="D1094" i="5"/>
  <c r="E282" i="5"/>
  <c r="F1384" i="5"/>
  <c r="C1094" i="5"/>
  <c r="D282" i="5"/>
  <c r="G1035" i="5"/>
  <c r="F1035" i="5"/>
  <c r="E1035" i="5"/>
  <c r="C1035" i="5"/>
  <c r="G977" i="5"/>
  <c r="G862" i="5"/>
  <c r="C629" i="5"/>
  <c r="C1540" i="5"/>
  <c r="E1540" i="5"/>
  <c r="D1540" i="5"/>
  <c r="F1250" i="5"/>
  <c r="C1250" i="5"/>
  <c r="D1250" i="5"/>
  <c r="E1250" i="5"/>
  <c r="G1250" i="5"/>
  <c r="D902" i="5"/>
  <c r="C902" i="5"/>
  <c r="C206" i="5"/>
  <c r="D206" i="5"/>
  <c r="G322" i="5"/>
  <c r="F322" i="5"/>
  <c r="E322" i="5"/>
  <c r="F264" i="5"/>
  <c r="D322" i="5"/>
  <c r="E264" i="5"/>
  <c r="C264" i="5"/>
  <c r="D1052" i="5"/>
  <c r="C1345" i="5"/>
  <c r="C1516" i="5"/>
  <c r="E1516" i="5"/>
  <c r="F1516" i="5"/>
  <c r="G1399" i="5"/>
  <c r="F1399" i="5"/>
  <c r="F1200" i="5"/>
  <c r="F778" i="5"/>
  <c r="D715" i="5"/>
  <c r="E776" i="5"/>
  <c r="C776" i="5"/>
  <c r="C793" i="5"/>
  <c r="D793" i="5"/>
  <c r="E874" i="5"/>
  <c r="G874" i="5"/>
  <c r="F1398" i="5"/>
  <c r="D1398" i="5"/>
  <c r="E1369" i="5"/>
  <c r="E411" i="5"/>
  <c r="C390" i="5"/>
  <c r="G356" i="5"/>
  <c r="E762" i="5"/>
  <c r="F1357" i="5"/>
  <c r="D762" i="5"/>
  <c r="F715" i="5"/>
  <c r="D198" i="5"/>
  <c r="G1416" i="5"/>
  <c r="D332" i="5"/>
  <c r="G547" i="5"/>
  <c r="F1169" i="5"/>
  <c r="G765" i="5"/>
  <c r="G1398" i="5"/>
  <c r="E270" i="5"/>
  <c r="D270" i="5"/>
  <c r="G193" i="5"/>
  <c r="D193" i="5"/>
  <c r="F193" i="5"/>
  <c r="F152" i="5"/>
  <c r="D152" i="5"/>
  <c r="E1238" i="5"/>
  <c r="C1238" i="5"/>
  <c r="D1238" i="5"/>
  <c r="C1298" i="5"/>
  <c r="D1298" i="5"/>
  <c r="F1298" i="5"/>
  <c r="G890" i="5"/>
  <c r="F890" i="5"/>
  <c r="F326" i="5"/>
  <c r="D326" i="5"/>
  <c r="F530" i="5"/>
  <c r="G530" i="5"/>
  <c r="G256" i="5"/>
  <c r="F256" i="5"/>
  <c r="F1400" i="5"/>
  <c r="D1400" i="5"/>
  <c r="G1400" i="5"/>
  <c r="G157" i="5"/>
  <c r="D157" i="5"/>
  <c r="C1315" i="5"/>
  <c r="F1315" i="5"/>
  <c r="D1243" i="5"/>
  <c r="C1243" i="5"/>
  <c r="G1243" i="5"/>
  <c r="F758" i="5"/>
  <c r="G758" i="5"/>
  <c r="C429" i="5"/>
  <c r="E429" i="5"/>
  <c r="D194" i="5"/>
  <c r="C194" i="5"/>
  <c r="E643" i="5"/>
  <c r="G1296" i="5"/>
  <c r="F1296" i="5"/>
  <c r="E1224" i="5"/>
  <c r="F895" i="5"/>
  <c r="F817" i="5"/>
  <c r="F660" i="5"/>
  <c r="F936" i="5"/>
  <c r="D895" i="5"/>
  <c r="D817" i="5"/>
  <c r="D252" i="5"/>
  <c r="F1284" i="5"/>
  <c r="E1125" i="5"/>
  <c r="G1052" i="5"/>
  <c r="D936" i="5"/>
  <c r="C895" i="5"/>
  <c r="C817" i="5"/>
  <c r="E760" i="5"/>
  <c r="F332" i="5"/>
  <c r="F198" i="5"/>
  <c r="F179" i="5"/>
  <c r="D356" i="5"/>
  <c r="F1229" i="5"/>
  <c r="G970" i="5"/>
  <c r="G893" i="5"/>
  <c r="E644" i="5"/>
  <c r="E1398" i="5"/>
  <c r="F1286" i="5"/>
  <c r="F1164" i="5"/>
  <c r="G905" i="5"/>
  <c r="D662" i="5"/>
  <c r="G643" i="5"/>
  <c r="F354" i="5"/>
  <c r="C385" i="5"/>
  <c r="D385" i="5"/>
  <c r="E385" i="5"/>
  <c r="F385" i="5"/>
  <c r="G385" i="5"/>
  <c r="E309" i="5"/>
  <c r="F309" i="5"/>
  <c r="G309" i="5"/>
  <c r="C309" i="5"/>
  <c r="D309" i="5"/>
  <c r="F200" i="5"/>
  <c r="C200" i="5"/>
  <c r="E200" i="5"/>
  <c r="G200" i="5"/>
  <c r="D1170" i="5"/>
  <c r="F1170" i="5"/>
  <c r="C705" i="5"/>
  <c r="D705" i="5"/>
  <c r="E705" i="5"/>
  <c r="F705" i="5"/>
  <c r="G705" i="5"/>
  <c r="F375" i="5"/>
  <c r="G375" i="5"/>
  <c r="E271" i="5"/>
  <c r="C271" i="5"/>
  <c r="D271" i="5"/>
  <c r="C254" i="5"/>
  <c r="G254" i="5"/>
  <c r="D254" i="5"/>
  <c r="C324" i="5"/>
  <c r="D324" i="5"/>
  <c r="E324" i="5"/>
  <c r="F324" i="5"/>
  <c r="G324" i="5"/>
  <c r="C1226" i="5"/>
  <c r="D1226" i="5"/>
  <c r="E1226" i="5"/>
  <c r="F1226" i="5"/>
  <c r="G1226" i="5"/>
  <c r="G542" i="5"/>
  <c r="E542" i="5"/>
  <c r="F542" i="5"/>
  <c r="C1473" i="5"/>
  <c r="F1473" i="5"/>
  <c r="G1473" i="5"/>
  <c r="G1303" i="5"/>
  <c r="C1303" i="5"/>
  <c r="F1576" i="5"/>
  <c r="G1576" i="5"/>
  <c r="E1576" i="5"/>
  <c r="C1576" i="5"/>
  <c r="D1576" i="5"/>
  <c r="F1542" i="5"/>
  <c r="C1542" i="5"/>
  <c r="D1542" i="5"/>
  <c r="E1542" i="5"/>
  <c r="E1512" i="5"/>
  <c r="D1512" i="5"/>
  <c r="F1512" i="5"/>
  <c r="D1127" i="5"/>
  <c r="C1127" i="5"/>
  <c r="F1127" i="5"/>
  <c r="G1127" i="5"/>
  <c r="C1054" i="5"/>
  <c r="E1054" i="5"/>
  <c r="F1054" i="5"/>
  <c r="G1054" i="5"/>
  <c r="F832" i="5"/>
  <c r="G832" i="5"/>
  <c r="E428" i="5"/>
  <c r="D428" i="5"/>
  <c r="G428" i="5"/>
  <c r="C428" i="5"/>
  <c r="C318" i="5"/>
  <c r="E318" i="5"/>
  <c r="G181" i="5"/>
  <c r="C181" i="5"/>
  <c r="D181" i="5"/>
  <c r="E181" i="5"/>
  <c r="F181" i="5"/>
  <c r="C1572" i="5"/>
  <c r="D1572" i="5"/>
  <c r="F1572" i="5"/>
  <c r="E1572" i="5"/>
  <c r="G1572" i="5"/>
  <c r="G1375" i="5"/>
  <c r="D1375" i="5"/>
  <c r="C1008" i="5"/>
  <c r="D1008" i="5"/>
  <c r="E1008" i="5"/>
  <c r="F1008" i="5"/>
  <c r="G1008" i="5"/>
  <c r="C370" i="5"/>
  <c r="D370" i="5"/>
  <c r="E370" i="5"/>
  <c r="F370" i="5"/>
  <c r="G370" i="5"/>
  <c r="D1518" i="5"/>
  <c r="C1518" i="5"/>
  <c r="E1518" i="5"/>
  <c r="C703" i="5"/>
  <c r="D703" i="5"/>
  <c r="E703" i="5"/>
  <c r="F703" i="5"/>
  <c r="G703" i="5"/>
  <c r="C489" i="5"/>
  <c r="D489" i="5"/>
  <c r="E489" i="5"/>
  <c r="F489" i="5"/>
  <c r="G489" i="5"/>
  <c r="F296" i="5"/>
  <c r="E296" i="5"/>
  <c r="G296" i="5"/>
  <c r="C1574" i="5"/>
  <c r="D1574" i="5"/>
  <c r="E1574" i="5"/>
  <c r="G1574" i="5"/>
  <c r="F1574" i="5"/>
  <c r="D1414" i="5"/>
  <c r="G1414" i="5"/>
  <c r="C1184" i="5"/>
  <c r="D1184" i="5"/>
  <c r="F1066" i="5"/>
  <c r="G1066" i="5"/>
  <c r="D1010" i="5"/>
  <c r="C1010" i="5"/>
  <c r="E1010" i="5"/>
  <c r="F716" i="5"/>
  <c r="C716" i="5"/>
  <c r="E716" i="5"/>
  <c r="G716" i="5"/>
  <c r="C358" i="5"/>
  <c r="F358" i="5"/>
  <c r="G358" i="5"/>
  <c r="E358" i="5"/>
  <c r="E295" i="5"/>
  <c r="C295" i="5"/>
  <c r="F1573" i="5"/>
  <c r="E1573" i="5"/>
  <c r="C1573" i="5"/>
  <c r="D1573" i="5"/>
  <c r="F1530" i="5"/>
  <c r="C1530" i="5"/>
  <c r="D1530" i="5"/>
  <c r="E1530" i="5"/>
  <c r="D1470" i="5"/>
  <c r="C1470" i="5"/>
  <c r="F1376" i="5"/>
  <c r="D1376" i="5"/>
  <c r="C1376" i="5"/>
  <c r="D1310" i="5"/>
  <c r="C1310" i="5"/>
  <c r="E1310" i="5"/>
  <c r="F1310" i="5"/>
  <c r="G1310" i="5"/>
  <c r="G1194" i="5"/>
  <c r="D1194" i="5"/>
  <c r="C1009" i="5"/>
  <c r="E1009" i="5"/>
  <c r="G1009" i="5"/>
  <c r="E950" i="5"/>
  <c r="D950" i="5"/>
  <c r="C950" i="5"/>
  <c r="C294" i="5"/>
  <c r="F294" i="5"/>
  <c r="G294" i="5"/>
  <c r="D178" i="5"/>
  <c r="C178" i="5"/>
  <c r="F178" i="5"/>
  <c r="G178" i="5"/>
  <c r="D443" i="5"/>
  <c r="C443" i="5"/>
  <c r="F258" i="5"/>
  <c r="G258" i="5"/>
  <c r="C258" i="5"/>
  <c r="D258" i="5"/>
  <c r="E258" i="5"/>
  <c r="D214" i="5"/>
  <c r="F214" i="5"/>
  <c r="G214" i="5"/>
  <c r="C1112" i="5"/>
  <c r="D1112" i="5"/>
  <c r="D1006" i="5"/>
  <c r="F1006" i="5"/>
  <c r="G1006" i="5"/>
  <c r="E764" i="5"/>
  <c r="C764" i="5"/>
  <c r="F389" i="5"/>
  <c r="G389" i="5"/>
  <c r="C389" i="5"/>
  <c r="D389" i="5"/>
  <c r="E389" i="5"/>
  <c r="G237" i="5"/>
  <c r="C237" i="5"/>
  <c r="F237" i="5"/>
  <c r="G657" i="5"/>
  <c r="F657" i="5"/>
  <c r="C657" i="5"/>
  <c r="D657" i="5"/>
  <c r="E657" i="5"/>
  <c r="F425" i="5"/>
  <c r="G425" i="5"/>
  <c r="C425" i="5"/>
  <c r="D425" i="5"/>
  <c r="E425" i="5"/>
  <c r="F1460" i="5"/>
  <c r="G1460" i="5"/>
  <c r="C1166" i="5"/>
  <c r="D1166" i="5"/>
  <c r="E1166" i="5"/>
  <c r="F1166" i="5"/>
  <c r="G1166" i="5"/>
  <c r="C836" i="5"/>
  <c r="E836" i="5"/>
  <c r="G836" i="5"/>
  <c r="F212" i="5"/>
  <c r="C212" i="5"/>
  <c r="D212" i="5"/>
  <c r="E212" i="5"/>
  <c r="G212" i="5"/>
  <c r="C185" i="5"/>
  <c r="D185" i="5"/>
  <c r="E185" i="5"/>
  <c r="F185" i="5"/>
  <c r="G185" i="5"/>
  <c r="C387" i="5"/>
  <c r="D387" i="5"/>
  <c r="E387" i="5"/>
  <c r="F387" i="5"/>
  <c r="G387" i="5"/>
  <c r="F1412" i="5"/>
  <c r="G1412" i="5"/>
  <c r="C1124" i="5"/>
  <c r="D1124" i="5"/>
  <c r="F948" i="5"/>
  <c r="C948" i="5"/>
  <c r="D948" i="5"/>
  <c r="E948" i="5"/>
  <c r="C821" i="5"/>
  <c r="E821" i="5"/>
  <c r="G821" i="5"/>
  <c r="E663" i="5"/>
  <c r="C663" i="5"/>
  <c r="D663" i="5"/>
  <c r="F663" i="5"/>
  <c r="C544" i="5"/>
  <c r="D544" i="5"/>
  <c r="E544" i="5"/>
  <c r="F544" i="5"/>
  <c r="G544" i="5"/>
  <c r="C996" i="5"/>
  <c r="D996" i="5"/>
  <c r="E996" i="5"/>
  <c r="F996" i="5"/>
  <c r="G996" i="5"/>
  <c r="C532" i="5"/>
  <c r="D532" i="5"/>
  <c r="E532" i="5"/>
  <c r="F532" i="5"/>
  <c r="G532" i="5"/>
  <c r="D416" i="5"/>
  <c r="G416" i="5"/>
  <c r="C273" i="5"/>
  <c r="F273" i="5"/>
  <c r="E210" i="5"/>
  <c r="F210" i="5"/>
  <c r="G210" i="5"/>
  <c r="C210" i="5"/>
  <c r="D210" i="5"/>
  <c r="D183" i="5"/>
  <c r="F183" i="5"/>
  <c r="G1471" i="5"/>
  <c r="F1342" i="5"/>
  <c r="E1286" i="5"/>
  <c r="G1183" i="5"/>
  <c r="E1164" i="5"/>
  <c r="G1111" i="5"/>
  <c r="G1106" i="5"/>
  <c r="F968" i="5"/>
  <c r="E890" i="5"/>
  <c r="G876" i="5"/>
  <c r="G312" i="5"/>
  <c r="C270" i="5"/>
  <c r="G1516" i="5"/>
  <c r="F1471" i="5"/>
  <c r="E1342" i="5"/>
  <c r="D1286" i="5"/>
  <c r="F1183" i="5"/>
  <c r="F1111" i="5"/>
  <c r="F1106" i="5"/>
  <c r="D890" i="5"/>
  <c r="F876" i="5"/>
  <c r="G834" i="5"/>
  <c r="G674" i="5"/>
  <c r="F661" i="5"/>
  <c r="G260" i="5"/>
  <c r="F157" i="5"/>
  <c r="G152" i="5"/>
  <c r="C1471" i="5"/>
  <c r="C1342" i="5"/>
  <c r="G1298" i="5"/>
  <c r="C1286" i="5"/>
  <c r="F1202" i="5"/>
  <c r="E1183" i="5"/>
  <c r="D1129" i="5"/>
  <c r="E1111" i="5"/>
  <c r="E1106" i="5"/>
  <c r="C890" i="5"/>
  <c r="E876" i="5"/>
  <c r="F834" i="5"/>
  <c r="F792" i="5"/>
  <c r="F674" i="5"/>
  <c r="G427" i="5"/>
  <c r="G332" i="5"/>
  <c r="G311" i="5"/>
  <c r="E260" i="5"/>
  <c r="G215" i="5"/>
  <c r="G198" i="5"/>
  <c r="E157" i="5"/>
  <c r="E152" i="5"/>
  <c r="D1183" i="5"/>
  <c r="D1111" i="5"/>
  <c r="D1106" i="5"/>
  <c r="E1067" i="5"/>
  <c r="D876" i="5"/>
  <c r="E834" i="5"/>
  <c r="E775" i="5"/>
  <c r="E427" i="5"/>
  <c r="F311" i="5"/>
  <c r="D260" i="5"/>
  <c r="G236" i="5"/>
  <c r="F215" i="5"/>
  <c r="G201" i="5"/>
  <c r="D1516" i="5"/>
  <c r="E1298" i="5"/>
  <c r="G1240" i="5"/>
  <c r="F1195" i="5"/>
  <c r="C1067" i="5"/>
  <c r="G936" i="5"/>
  <c r="F881" i="5"/>
  <c r="E848" i="5"/>
  <c r="F838" i="5"/>
  <c r="D834" i="5"/>
  <c r="E823" i="5"/>
  <c r="G817" i="5"/>
  <c r="G715" i="5"/>
  <c r="F643" i="5"/>
  <c r="E356" i="5"/>
  <c r="E332" i="5"/>
  <c r="G326" i="5"/>
  <c r="E311" i="5"/>
  <c r="C260" i="5"/>
  <c r="E252" i="5"/>
  <c r="E236" i="5"/>
  <c r="E198" i="5"/>
  <c r="E193" i="5"/>
  <c r="C157" i="5"/>
  <c r="C152" i="5"/>
  <c r="F442" i="5"/>
  <c r="C1428" i="5"/>
  <c r="E1400" i="5"/>
  <c r="F1374" i="5"/>
  <c r="G1200" i="5"/>
  <c r="E1185" i="5"/>
  <c r="E1113" i="5"/>
  <c r="C1050" i="5"/>
  <c r="E936" i="5"/>
  <c r="F880" i="5"/>
  <c r="E715" i="5"/>
  <c r="C672" i="5"/>
  <c r="D643" i="5"/>
  <c r="C547" i="5"/>
  <c r="C326" i="5"/>
  <c r="C316" i="5"/>
  <c r="E256" i="5"/>
  <c r="C252" i="5"/>
  <c r="C193" i="5"/>
  <c r="F645" i="5"/>
  <c r="G243" i="5"/>
  <c r="G1528" i="5"/>
  <c r="F1528" i="5"/>
  <c r="G1488" i="5"/>
  <c r="F1416" i="5"/>
  <c r="G1411" i="5"/>
  <c r="C1400" i="5"/>
  <c r="E1315" i="5"/>
  <c r="E1284" i="5"/>
  <c r="F1243" i="5"/>
  <c r="G1238" i="5"/>
  <c r="E1165" i="5"/>
  <c r="G1049" i="5"/>
  <c r="G895" i="5"/>
  <c r="E763" i="5"/>
  <c r="D717" i="5"/>
  <c r="E645" i="5"/>
  <c r="E533" i="5"/>
  <c r="E530" i="5"/>
  <c r="G270" i="5"/>
  <c r="G251" i="5"/>
  <c r="F243" i="5"/>
  <c r="F180" i="5"/>
  <c r="G155" i="5"/>
  <c r="E1528" i="5"/>
  <c r="G1514" i="5"/>
  <c r="F1488" i="5"/>
  <c r="C1416" i="5"/>
  <c r="D1411" i="5"/>
  <c r="E1243" i="5"/>
  <c r="F1238" i="5"/>
  <c r="G1180" i="5"/>
  <c r="F1049" i="5"/>
  <c r="D763" i="5"/>
  <c r="D645" i="5"/>
  <c r="F270" i="5"/>
  <c r="F251" i="5"/>
  <c r="D243" i="5"/>
  <c r="E180" i="5"/>
  <c r="F155" i="5"/>
  <c r="G1548" i="5"/>
  <c r="D1528" i="5"/>
  <c r="F1514" i="5"/>
  <c r="D1488" i="5"/>
  <c r="C1411" i="5"/>
  <c r="G1283" i="5"/>
  <c r="C1255" i="5"/>
  <c r="C1180" i="5"/>
  <c r="G1140" i="5"/>
  <c r="E1049" i="5"/>
  <c r="G793" i="5"/>
  <c r="C763" i="5"/>
  <c r="E649" i="5"/>
  <c r="C645" i="5"/>
  <c r="D251" i="5"/>
  <c r="C243" i="5"/>
  <c r="G1139" i="5"/>
  <c r="C1139" i="5"/>
  <c r="F1139" i="5"/>
  <c r="C1070" i="5"/>
  <c r="D1070" i="5"/>
  <c r="E1070" i="5"/>
  <c r="G1070" i="5"/>
  <c r="F1070" i="5"/>
  <c r="D1017" i="5"/>
  <c r="C1017" i="5"/>
  <c r="E675" i="5"/>
  <c r="C675" i="5"/>
  <c r="D675" i="5"/>
  <c r="F675" i="5"/>
  <c r="C501" i="5"/>
  <c r="D501" i="5"/>
  <c r="E501" i="5"/>
  <c r="F501" i="5"/>
  <c r="G501" i="5"/>
  <c r="C444" i="5"/>
  <c r="D444" i="5"/>
  <c r="E444" i="5"/>
  <c r="F444" i="5"/>
  <c r="G444" i="5"/>
  <c r="D1190" i="5"/>
  <c r="C1190" i="5"/>
  <c r="F1190" i="5"/>
  <c r="E1190" i="5"/>
  <c r="G1190" i="5"/>
  <c r="E1130" i="5"/>
  <c r="F1130" i="5"/>
  <c r="G1130" i="5"/>
  <c r="C1130" i="5"/>
  <c r="D1130" i="5"/>
  <c r="C908" i="5"/>
  <c r="D908" i="5"/>
  <c r="D900" i="5"/>
  <c r="E900" i="5"/>
  <c r="F900" i="5"/>
  <c r="G900" i="5"/>
  <c r="C900" i="5"/>
  <c r="F667" i="5"/>
  <c r="E667" i="5"/>
  <c r="F1424" i="5"/>
  <c r="G1424" i="5"/>
  <c r="G1361" i="5"/>
  <c r="D1361" i="5"/>
  <c r="E1361" i="5"/>
  <c r="E1192" i="5"/>
  <c r="C1192" i="5"/>
  <c r="D1192" i="5"/>
  <c r="G1192" i="5"/>
  <c r="D1018" i="5"/>
  <c r="F1018" i="5"/>
  <c r="G1018" i="5"/>
  <c r="D724" i="5"/>
  <c r="C724" i="5"/>
  <c r="E724" i="5"/>
  <c r="G724" i="5"/>
  <c r="G669" i="5"/>
  <c r="C669" i="5"/>
  <c r="D669" i="5"/>
  <c r="F669" i="5"/>
  <c r="E669" i="5"/>
  <c r="F445" i="5"/>
  <c r="G445" i="5"/>
  <c r="C445" i="5"/>
  <c r="D445" i="5"/>
  <c r="E445" i="5"/>
  <c r="D1137" i="5"/>
  <c r="E1137" i="5"/>
  <c r="C550" i="5"/>
  <c r="F550" i="5"/>
  <c r="F1484" i="5"/>
  <c r="G1484" i="5"/>
  <c r="C1317" i="5"/>
  <c r="E1317" i="5"/>
  <c r="G1317" i="5"/>
  <c r="C1086" i="5"/>
  <c r="F1086" i="5"/>
  <c r="D1304" i="5"/>
  <c r="C1304" i="5"/>
  <c r="E781" i="5"/>
  <c r="D781" i="5"/>
  <c r="F781" i="5"/>
  <c r="G781" i="5"/>
  <c r="C781" i="5"/>
  <c r="D560" i="5"/>
  <c r="C560" i="5"/>
  <c r="E560" i="5"/>
  <c r="C1538" i="5"/>
  <c r="F1538" i="5"/>
  <c r="G1538" i="5"/>
  <c r="F1245" i="5"/>
  <c r="C1245" i="5"/>
  <c r="D1245" i="5"/>
  <c r="E1245" i="5"/>
  <c r="G1245" i="5"/>
  <c r="D729" i="5"/>
  <c r="C729" i="5"/>
  <c r="E729" i="5"/>
  <c r="F729" i="5"/>
  <c r="C497" i="5"/>
  <c r="D497" i="5"/>
  <c r="G497" i="5"/>
  <c r="C437" i="5"/>
  <c r="D437" i="5"/>
  <c r="E437" i="5"/>
  <c r="F437" i="5"/>
  <c r="G437" i="5"/>
  <c r="C1537" i="5"/>
  <c r="D1537" i="5"/>
  <c r="E1482" i="5"/>
  <c r="D1482" i="5"/>
  <c r="F728" i="5"/>
  <c r="D728" i="5"/>
  <c r="E558" i="5"/>
  <c r="C558" i="5"/>
  <c r="D558" i="5"/>
  <c r="F558" i="5"/>
  <c r="C436" i="5"/>
  <c r="D436" i="5"/>
  <c r="E436" i="5"/>
  <c r="F436" i="5"/>
  <c r="G436" i="5"/>
  <c r="E1536" i="5"/>
  <c r="D1536" i="5"/>
  <c r="F1536" i="5"/>
  <c r="G1536" i="5"/>
  <c r="E904" i="5"/>
  <c r="D904" i="5"/>
  <c r="C904" i="5"/>
  <c r="G796" i="5"/>
  <c r="F796" i="5"/>
  <c r="C788" i="5"/>
  <c r="E788" i="5"/>
  <c r="D727" i="5"/>
  <c r="E727" i="5"/>
  <c r="F727" i="5"/>
  <c r="G727" i="5"/>
  <c r="C727" i="5"/>
  <c r="C441" i="5"/>
  <c r="D441" i="5"/>
  <c r="E441" i="5"/>
  <c r="F441" i="5"/>
  <c r="G441" i="5"/>
  <c r="D435" i="5"/>
  <c r="E435" i="5"/>
  <c r="F435" i="5"/>
  <c r="G435" i="5"/>
  <c r="C435" i="5"/>
  <c r="C1550" i="5"/>
  <c r="D1550" i="5"/>
  <c r="F1550" i="5"/>
  <c r="G1550" i="5"/>
  <c r="D1142" i="5"/>
  <c r="E1142" i="5"/>
  <c r="F1142" i="5"/>
  <c r="G1142" i="5"/>
  <c r="C1142" i="5"/>
  <c r="C1021" i="5"/>
  <c r="E1021" i="5"/>
  <c r="G1021" i="5"/>
  <c r="C846" i="5"/>
  <c r="D846" i="5"/>
  <c r="E846" i="5"/>
  <c r="F846" i="5"/>
  <c r="G846" i="5"/>
  <c r="D671" i="5"/>
  <c r="G671" i="5"/>
  <c r="E556" i="5"/>
  <c r="C556" i="5"/>
  <c r="D556" i="5"/>
  <c r="F556" i="5"/>
  <c r="C448" i="5"/>
  <c r="D448" i="5"/>
  <c r="E448" i="5"/>
  <c r="F448" i="5"/>
  <c r="G448" i="5"/>
  <c r="C434" i="5"/>
  <c r="D434" i="5"/>
  <c r="E434" i="5"/>
  <c r="F434" i="5"/>
  <c r="G434" i="5"/>
  <c r="C843" i="5"/>
  <c r="D843" i="5"/>
  <c r="E843" i="5"/>
  <c r="E1549" i="5"/>
  <c r="C1549" i="5"/>
  <c r="D1549" i="5"/>
  <c r="D1426" i="5"/>
  <c r="G1426" i="5"/>
  <c r="F1372" i="5"/>
  <c r="G1372" i="5"/>
  <c r="C1363" i="5"/>
  <c r="E1363" i="5"/>
  <c r="C1020" i="5"/>
  <c r="D1020" i="5"/>
  <c r="F961" i="5"/>
  <c r="C961" i="5"/>
  <c r="D961" i="5"/>
  <c r="E912" i="5"/>
  <c r="F912" i="5"/>
  <c r="G912" i="5"/>
  <c r="C912" i="5"/>
  <c r="D912" i="5"/>
  <c r="C845" i="5"/>
  <c r="E845" i="5"/>
  <c r="D845" i="5"/>
  <c r="C503" i="5"/>
  <c r="D503" i="5"/>
  <c r="E503" i="5"/>
  <c r="F503" i="5"/>
  <c r="G503" i="5"/>
  <c r="D447" i="5"/>
  <c r="E447" i="5"/>
  <c r="F447" i="5"/>
  <c r="G447" i="5"/>
  <c r="C447" i="5"/>
  <c r="F433" i="5"/>
  <c r="G433" i="5"/>
  <c r="C433" i="5"/>
  <c r="D433" i="5"/>
  <c r="E433" i="5"/>
  <c r="C960" i="5"/>
  <c r="G960" i="5"/>
  <c r="D960" i="5"/>
  <c r="E960" i="5"/>
  <c r="F960" i="5"/>
  <c r="C554" i="5"/>
  <c r="D554" i="5"/>
  <c r="F554" i="5"/>
  <c r="C446" i="5"/>
  <c r="D446" i="5"/>
  <c r="E446" i="5"/>
  <c r="F446" i="5"/>
  <c r="G446" i="5"/>
  <c r="C432" i="5"/>
  <c r="D432" i="5"/>
  <c r="E432" i="5"/>
  <c r="F432" i="5"/>
  <c r="G432" i="5"/>
  <c r="G1308" i="5"/>
  <c r="F1303" i="5"/>
  <c r="F1255" i="5"/>
  <c r="E1197" i="5"/>
  <c r="F1082" i="5"/>
  <c r="F1027" i="5"/>
  <c r="G957" i="5"/>
  <c r="F907" i="5"/>
  <c r="D848" i="5"/>
  <c r="D674" i="5"/>
  <c r="E670" i="5"/>
  <c r="G505" i="5"/>
  <c r="G499" i="5"/>
  <c r="G443" i="5"/>
  <c r="D440" i="5"/>
  <c r="F438" i="5"/>
  <c r="F1308" i="5"/>
  <c r="E1303" i="5"/>
  <c r="G1260" i="5"/>
  <c r="E1255" i="5"/>
  <c r="D1197" i="5"/>
  <c r="F1194" i="5"/>
  <c r="E1082" i="5"/>
  <c r="E1027" i="5"/>
  <c r="G1013" i="5"/>
  <c r="E907" i="5"/>
  <c r="C848" i="5"/>
  <c r="F505" i="5"/>
  <c r="F499" i="5"/>
  <c r="F443" i="5"/>
  <c r="C440" i="5"/>
  <c r="E438" i="5"/>
  <c r="F1375" i="5"/>
  <c r="G1315" i="5"/>
  <c r="D1303" i="5"/>
  <c r="F1260" i="5"/>
  <c r="D1255" i="5"/>
  <c r="C1197" i="5"/>
  <c r="E1194" i="5"/>
  <c r="D1082" i="5"/>
  <c r="D1027" i="5"/>
  <c r="E1013" i="5"/>
  <c r="D907" i="5"/>
  <c r="E851" i="5"/>
  <c r="F673" i="5"/>
  <c r="E505" i="5"/>
  <c r="E443" i="5"/>
  <c r="D438" i="5"/>
  <c r="C1082" i="5"/>
  <c r="E1077" i="5"/>
  <c r="C907" i="5"/>
  <c r="C851" i="5"/>
  <c r="G838" i="5"/>
  <c r="C790" i="5"/>
  <c r="D780" i="5"/>
  <c r="D505" i="5"/>
  <c r="G491" i="5"/>
  <c r="C438" i="5"/>
  <c r="F1548" i="5"/>
  <c r="F1140" i="5"/>
  <c r="D1136" i="5"/>
  <c r="G1025" i="5"/>
  <c r="E838" i="5"/>
  <c r="F793" i="5"/>
  <c r="G789" i="5"/>
  <c r="G732" i="5"/>
  <c r="G680" i="5"/>
  <c r="G549" i="5"/>
  <c r="D1315" i="5"/>
  <c r="D1548" i="5"/>
  <c r="E1488" i="5"/>
  <c r="G1374" i="5"/>
  <c r="F1369" i="5"/>
  <c r="G1202" i="5"/>
  <c r="G1195" i="5"/>
  <c r="C1136" i="5"/>
  <c r="D1076" i="5"/>
  <c r="C1025" i="5"/>
  <c r="G897" i="5"/>
  <c r="C838" i="5"/>
  <c r="E793" i="5"/>
  <c r="C732" i="5"/>
  <c r="D680" i="5"/>
  <c r="G672" i="5"/>
  <c r="F549" i="5"/>
  <c r="E439" i="5"/>
  <c r="F1015" i="5"/>
  <c r="G442" i="5"/>
  <c r="G1540" i="5"/>
  <c r="G1376" i="5"/>
  <c r="E1374" i="5"/>
  <c r="D1369" i="5"/>
  <c r="E1202" i="5"/>
  <c r="E1195" i="5"/>
  <c r="G1079" i="5"/>
  <c r="E1015" i="5"/>
  <c r="E970" i="5"/>
  <c r="F905" i="5"/>
  <c r="F679" i="5"/>
  <c r="F1540" i="5"/>
  <c r="G1428" i="5"/>
  <c r="E1376" i="5"/>
  <c r="D1374" i="5"/>
  <c r="C1369" i="5"/>
  <c r="G1248" i="5"/>
  <c r="D1202" i="5"/>
  <c r="D1195" i="5"/>
  <c r="F1188" i="5"/>
  <c r="E1079" i="5"/>
  <c r="D1015" i="5"/>
  <c r="G848" i="5"/>
  <c r="E841" i="5"/>
  <c r="E679" i="5"/>
  <c r="E442" i="5"/>
  <c r="G440" i="5"/>
  <c r="F1248" i="5"/>
  <c r="G1197" i="5"/>
  <c r="E1188" i="5"/>
  <c r="C1079" i="5"/>
  <c r="F1074" i="5"/>
  <c r="D1028" i="5"/>
  <c r="C1015" i="5"/>
  <c r="D841" i="5"/>
  <c r="F735" i="5"/>
  <c r="D679" i="5"/>
  <c r="D668" i="5"/>
  <c r="D506" i="5"/>
  <c r="D442" i="5"/>
  <c r="F440" i="5"/>
  <c r="D1368" i="5"/>
  <c r="C1575" i="5"/>
  <c r="D1575" i="5"/>
  <c r="F1575" i="5"/>
  <c r="E1575" i="5"/>
  <c r="G1575" i="5"/>
  <c r="F1565" i="5"/>
  <c r="C1565" i="5"/>
  <c r="D1565" i="5"/>
  <c r="G1565" i="5"/>
  <c r="E1565" i="5"/>
  <c r="D1556" i="5"/>
  <c r="E1556" i="5"/>
  <c r="F1556" i="5"/>
  <c r="C1556" i="5"/>
  <c r="G1556" i="5"/>
  <c r="D1519" i="5"/>
  <c r="E1519" i="5"/>
  <c r="F1519" i="5"/>
  <c r="G1519" i="5"/>
  <c r="C1519" i="5"/>
  <c r="G1510" i="5"/>
  <c r="C1510" i="5"/>
  <c r="D1510" i="5"/>
  <c r="E1510" i="5"/>
  <c r="F1510" i="5"/>
  <c r="G1489" i="5"/>
  <c r="C1489" i="5"/>
  <c r="D1489" i="5"/>
  <c r="E1489" i="5"/>
  <c r="F1489" i="5"/>
  <c r="E1479" i="5"/>
  <c r="C1479" i="5"/>
  <c r="F1479" i="5"/>
  <c r="G1479" i="5"/>
  <c r="D1479" i="5"/>
  <c r="C1466" i="5"/>
  <c r="D1466" i="5"/>
  <c r="E1466" i="5"/>
  <c r="F1466" i="5"/>
  <c r="G1466" i="5"/>
  <c r="G1453" i="5"/>
  <c r="C1453" i="5"/>
  <c r="D1453" i="5"/>
  <c r="E1453" i="5"/>
  <c r="F1453" i="5"/>
  <c r="C1434" i="5"/>
  <c r="E1434" i="5"/>
  <c r="F1434" i="5"/>
  <c r="G1434" i="5"/>
  <c r="D1434" i="5"/>
  <c r="D1555" i="5"/>
  <c r="E1555" i="5"/>
  <c r="F1555" i="5"/>
  <c r="C1555" i="5"/>
  <c r="G1555" i="5"/>
  <c r="D1535" i="5"/>
  <c r="F1535" i="5"/>
  <c r="E1535" i="5"/>
  <c r="G1535" i="5"/>
  <c r="C1535" i="5"/>
  <c r="F1509" i="5"/>
  <c r="C1509" i="5"/>
  <c r="D1509" i="5"/>
  <c r="E1509" i="5"/>
  <c r="G1509" i="5"/>
  <c r="G1478" i="5"/>
  <c r="C1478" i="5"/>
  <c r="D1478" i="5"/>
  <c r="E1478" i="5"/>
  <c r="F1478" i="5"/>
  <c r="G1465" i="5"/>
  <c r="C1465" i="5"/>
  <c r="D1465" i="5"/>
  <c r="E1465" i="5"/>
  <c r="F1465" i="5"/>
  <c r="C1433" i="5"/>
  <c r="D1433" i="5"/>
  <c r="E1433" i="5"/>
  <c r="F1433" i="5"/>
  <c r="G1433" i="5"/>
  <c r="F1425" i="5"/>
  <c r="C1425" i="5"/>
  <c r="D1425" i="5"/>
  <c r="E1425" i="5"/>
  <c r="G1425" i="5"/>
  <c r="C1397" i="5"/>
  <c r="G1397" i="5"/>
  <c r="D1397" i="5"/>
  <c r="E1397" i="5"/>
  <c r="F1397" i="5"/>
  <c r="E1371" i="5"/>
  <c r="D1371" i="5"/>
  <c r="F1371" i="5"/>
  <c r="G1371" i="5"/>
  <c r="C1371" i="5"/>
  <c r="D1561" i="5"/>
  <c r="C1561" i="5"/>
  <c r="E1561" i="5"/>
  <c r="F1561" i="5"/>
  <c r="G1561" i="5"/>
  <c r="G1534" i="5"/>
  <c r="C1534" i="5"/>
  <c r="D1534" i="5"/>
  <c r="F1534" i="5"/>
  <c r="E1534" i="5"/>
  <c r="C1508" i="5"/>
  <c r="D1508" i="5"/>
  <c r="E1508" i="5"/>
  <c r="F1508" i="5"/>
  <c r="G1508" i="5"/>
  <c r="G1477" i="5"/>
  <c r="C1477" i="5"/>
  <c r="D1477" i="5"/>
  <c r="F1477" i="5"/>
  <c r="E1477" i="5"/>
  <c r="E1432" i="5"/>
  <c r="D1432" i="5"/>
  <c r="F1432" i="5"/>
  <c r="G1432" i="5"/>
  <c r="C1432" i="5"/>
  <c r="E1370" i="5"/>
  <c r="F1370" i="5"/>
  <c r="G1370" i="5"/>
  <c r="C1370" i="5"/>
  <c r="D1370" i="5"/>
  <c r="C1551" i="5"/>
  <c r="D1551" i="5"/>
  <c r="G1551" i="5"/>
  <c r="E1551" i="5"/>
  <c r="F1551" i="5"/>
  <c r="C1533" i="5"/>
  <c r="F1533" i="5"/>
  <c r="D1533" i="5"/>
  <c r="G1533" i="5"/>
  <c r="E1533" i="5"/>
  <c r="D1507" i="5"/>
  <c r="E1507" i="5"/>
  <c r="F1507" i="5"/>
  <c r="G1507" i="5"/>
  <c r="C1507" i="5"/>
  <c r="C1499" i="5"/>
  <c r="E1499" i="5"/>
  <c r="F1499" i="5"/>
  <c r="G1499" i="5"/>
  <c r="D1499" i="5"/>
  <c r="C1451" i="5"/>
  <c r="D1451" i="5"/>
  <c r="E1451" i="5"/>
  <c r="F1451" i="5"/>
  <c r="G1451" i="5"/>
  <c r="E1431" i="5"/>
  <c r="C1431" i="5"/>
  <c r="D1431" i="5"/>
  <c r="F1431" i="5"/>
  <c r="G1431" i="5"/>
  <c r="D1378" i="5"/>
  <c r="C1378" i="5"/>
  <c r="E1378" i="5"/>
  <c r="F1378" i="5"/>
  <c r="G1378" i="5"/>
  <c r="F1577" i="5"/>
  <c r="G1577" i="5"/>
  <c r="D1577" i="5"/>
  <c r="C1577" i="5"/>
  <c r="E1577" i="5"/>
  <c r="F1541" i="5"/>
  <c r="G1541" i="5"/>
  <c r="C1541" i="5"/>
  <c r="E1541" i="5"/>
  <c r="D1541" i="5"/>
  <c r="C1532" i="5"/>
  <c r="D1532" i="5"/>
  <c r="E1532" i="5"/>
  <c r="F1532" i="5"/>
  <c r="G1532" i="5"/>
  <c r="G1498" i="5"/>
  <c r="C1498" i="5"/>
  <c r="F1498" i="5"/>
  <c r="D1498" i="5"/>
  <c r="E1498" i="5"/>
  <c r="C1475" i="5"/>
  <c r="D1475" i="5"/>
  <c r="E1475" i="5"/>
  <c r="G1475" i="5"/>
  <c r="F1475" i="5"/>
  <c r="D1450" i="5"/>
  <c r="C1450" i="5"/>
  <c r="E1450" i="5"/>
  <c r="F1450" i="5"/>
  <c r="G1450" i="5"/>
  <c r="C1439" i="5"/>
  <c r="D1439" i="5"/>
  <c r="E1439" i="5"/>
  <c r="F1439" i="5"/>
  <c r="G1439" i="5"/>
  <c r="G1430" i="5"/>
  <c r="D1430" i="5"/>
  <c r="E1430" i="5"/>
  <c r="F1430" i="5"/>
  <c r="C1430" i="5"/>
  <c r="C1391" i="5"/>
  <c r="D1391" i="5"/>
  <c r="E1391" i="5"/>
  <c r="F1391" i="5"/>
  <c r="G1391" i="5"/>
  <c r="E1377" i="5"/>
  <c r="F1377" i="5"/>
  <c r="C1377" i="5"/>
  <c r="D1377" i="5"/>
  <c r="G1377" i="5"/>
  <c r="E1359" i="5"/>
  <c r="C1359" i="5"/>
  <c r="D1359" i="5"/>
  <c r="F1359" i="5"/>
  <c r="G1359" i="5"/>
  <c r="D1531" i="5"/>
  <c r="E1531" i="5"/>
  <c r="F1531" i="5"/>
  <c r="G1531" i="5"/>
  <c r="C1531" i="5"/>
  <c r="F1517" i="5"/>
  <c r="G1517" i="5"/>
  <c r="C1517" i="5"/>
  <c r="D1517" i="5"/>
  <c r="E1517" i="5"/>
  <c r="C1497" i="5"/>
  <c r="D1497" i="5"/>
  <c r="E1497" i="5"/>
  <c r="G1497" i="5"/>
  <c r="F1497" i="5"/>
  <c r="D1438" i="5"/>
  <c r="C1438" i="5"/>
  <c r="E1438" i="5"/>
  <c r="F1438" i="5"/>
  <c r="G1438" i="5"/>
  <c r="D1415" i="5"/>
  <c r="C1415" i="5"/>
  <c r="E1415" i="5"/>
  <c r="F1415" i="5"/>
  <c r="G1415" i="5"/>
  <c r="D1390" i="5"/>
  <c r="C1390" i="5"/>
  <c r="E1390" i="5"/>
  <c r="F1390" i="5"/>
  <c r="G1390" i="5"/>
  <c r="F1382" i="5"/>
  <c r="G1382" i="5"/>
  <c r="D1382" i="5"/>
  <c r="E1382" i="5"/>
  <c r="C1382" i="5"/>
  <c r="E1358" i="5"/>
  <c r="F1358" i="5"/>
  <c r="G1358" i="5"/>
  <c r="C1358" i="5"/>
  <c r="D1358" i="5"/>
  <c r="F1571" i="5"/>
  <c r="G1571" i="5"/>
  <c r="D1571" i="5"/>
  <c r="C1571" i="5"/>
  <c r="E1571" i="5"/>
  <c r="C1547" i="5"/>
  <c r="G1547" i="5"/>
  <c r="F1547" i="5"/>
  <c r="E1547" i="5"/>
  <c r="D1547" i="5"/>
  <c r="D1513" i="5"/>
  <c r="C1513" i="5"/>
  <c r="E1513" i="5"/>
  <c r="F1513" i="5"/>
  <c r="G1513" i="5"/>
  <c r="C1496" i="5"/>
  <c r="D1496" i="5"/>
  <c r="E1496" i="5"/>
  <c r="F1496" i="5"/>
  <c r="G1496" i="5"/>
  <c r="C1444" i="5"/>
  <c r="D1444" i="5"/>
  <c r="E1444" i="5"/>
  <c r="F1444" i="5"/>
  <c r="G1444" i="5"/>
  <c r="C1437" i="5"/>
  <c r="D1437" i="5"/>
  <c r="E1437" i="5"/>
  <c r="F1437" i="5"/>
  <c r="G1437" i="5"/>
  <c r="E1389" i="5"/>
  <c r="F1389" i="5"/>
  <c r="C1389" i="5"/>
  <c r="D1389" i="5"/>
  <c r="G1389" i="5"/>
  <c r="E1346" i="5"/>
  <c r="F1346" i="5"/>
  <c r="G1346" i="5"/>
  <c r="C1346" i="5"/>
  <c r="D1346" i="5"/>
  <c r="G1570" i="5"/>
  <c r="C1570" i="5"/>
  <c r="D1570" i="5"/>
  <c r="E1570" i="5"/>
  <c r="F1570" i="5"/>
  <c r="C1563" i="5"/>
  <c r="D1563" i="5"/>
  <c r="E1563" i="5"/>
  <c r="F1563" i="5"/>
  <c r="G1563" i="5"/>
  <c r="G1546" i="5"/>
  <c r="C1546" i="5"/>
  <c r="F1546" i="5"/>
  <c r="D1546" i="5"/>
  <c r="E1546" i="5"/>
  <c r="E1443" i="5"/>
  <c r="G1443" i="5"/>
  <c r="C1443" i="5"/>
  <c r="D1443" i="5"/>
  <c r="F1443" i="5"/>
  <c r="C1422" i="5"/>
  <c r="E1422" i="5"/>
  <c r="F1422" i="5"/>
  <c r="G1422" i="5"/>
  <c r="D1422" i="5"/>
  <c r="C1410" i="5"/>
  <c r="E1410" i="5"/>
  <c r="F1410" i="5"/>
  <c r="G1410" i="5"/>
  <c r="D1410" i="5"/>
  <c r="F1394" i="5"/>
  <c r="G1394" i="5"/>
  <c r="C1394" i="5"/>
  <c r="D1394" i="5"/>
  <c r="E1394" i="5"/>
  <c r="D1569" i="5"/>
  <c r="F1569" i="5"/>
  <c r="C1569" i="5"/>
  <c r="E1569" i="5"/>
  <c r="G1569" i="5"/>
  <c r="F1553" i="5"/>
  <c r="G1553" i="5"/>
  <c r="E1553" i="5"/>
  <c r="C1553" i="5"/>
  <c r="D1553" i="5"/>
  <c r="C1545" i="5"/>
  <c r="E1545" i="5"/>
  <c r="D1545" i="5"/>
  <c r="G1545" i="5"/>
  <c r="F1545" i="5"/>
  <c r="D1523" i="5"/>
  <c r="F1523" i="5"/>
  <c r="E1523" i="5"/>
  <c r="G1523" i="5"/>
  <c r="C1523" i="5"/>
  <c r="F1505" i="5"/>
  <c r="G1505" i="5"/>
  <c r="E1505" i="5"/>
  <c r="C1505" i="5"/>
  <c r="D1505" i="5"/>
  <c r="C1442" i="5"/>
  <c r="D1442" i="5"/>
  <c r="E1442" i="5"/>
  <c r="F1442" i="5"/>
  <c r="G1442" i="5"/>
  <c r="C1421" i="5"/>
  <c r="D1421" i="5"/>
  <c r="E1421" i="5"/>
  <c r="F1421" i="5"/>
  <c r="G1421" i="5"/>
  <c r="C1409" i="5"/>
  <c r="D1409" i="5"/>
  <c r="E1409" i="5"/>
  <c r="F1409" i="5"/>
  <c r="G1409" i="5"/>
  <c r="C1403" i="5"/>
  <c r="D1403" i="5"/>
  <c r="E1403" i="5"/>
  <c r="F1403" i="5"/>
  <c r="G1403" i="5"/>
  <c r="C1373" i="5"/>
  <c r="G1373" i="5"/>
  <c r="D1373" i="5"/>
  <c r="E1373" i="5"/>
  <c r="F1373" i="5"/>
  <c r="D1579" i="5"/>
  <c r="E1579" i="5"/>
  <c r="F1579" i="5"/>
  <c r="G1579" i="5"/>
  <c r="C1579" i="5"/>
  <c r="D1568" i="5"/>
  <c r="E1568" i="5"/>
  <c r="F1568" i="5"/>
  <c r="G1568" i="5"/>
  <c r="C1568" i="5"/>
  <c r="E1559" i="5"/>
  <c r="G1559" i="5"/>
  <c r="D1559" i="5"/>
  <c r="F1559" i="5"/>
  <c r="C1559" i="5"/>
  <c r="C1544" i="5"/>
  <c r="D1544" i="5"/>
  <c r="E1544" i="5"/>
  <c r="F1544" i="5"/>
  <c r="G1544" i="5"/>
  <c r="G1522" i="5"/>
  <c r="C1522" i="5"/>
  <c r="D1522" i="5"/>
  <c r="E1522" i="5"/>
  <c r="F1522" i="5"/>
  <c r="C1492" i="5"/>
  <c r="D1492" i="5"/>
  <c r="E1492" i="5"/>
  <c r="F1492" i="5"/>
  <c r="G1492" i="5"/>
  <c r="D1486" i="5"/>
  <c r="C1486" i="5"/>
  <c r="E1486" i="5"/>
  <c r="G1486" i="5"/>
  <c r="F1486" i="5"/>
  <c r="F1456" i="5"/>
  <c r="G1456" i="5"/>
  <c r="C1456" i="5"/>
  <c r="D1456" i="5"/>
  <c r="E1456" i="5"/>
  <c r="F1448" i="5"/>
  <c r="C1448" i="5"/>
  <c r="D1448" i="5"/>
  <c r="E1448" i="5"/>
  <c r="G1448" i="5"/>
  <c r="G1441" i="5"/>
  <c r="C1441" i="5"/>
  <c r="D1441" i="5"/>
  <c r="E1441" i="5"/>
  <c r="F1441" i="5"/>
  <c r="D1427" i="5"/>
  <c r="C1427" i="5"/>
  <c r="E1427" i="5"/>
  <c r="F1427" i="5"/>
  <c r="G1427" i="5"/>
  <c r="E1420" i="5"/>
  <c r="D1420" i="5"/>
  <c r="F1420" i="5"/>
  <c r="G1420" i="5"/>
  <c r="C1420" i="5"/>
  <c r="E1408" i="5"/>
  <c r="D1408" i="5"/>
  <c r="F1408" i="5"/>
  <c r="G1408" i="5"/>
  <c r="C1408" i="5"/>
  <c r="D1402" i="5"/>
  <c r="C1402" i="5"/>
  <c r="E1402" i="5"/>
  <c r="F1402" i="5"/>
  <c r="G1402" i="5"/>
  <c r="D1567" i="5"/>
  <c r="F1567" i="5"/>
  <c r="E1567" i="5"/>
  <c r="G1567" i="5"/>
  <c r="C1567" i="5"/>
  <c r="G1558" i="5"/>
  <c r="C1558" i="5"/>
  <c r="D1558" i="5"/>
  <c r="E1558" i="5"/>
  <c r="F1558" i="5"/>
  <c r="D1543" i="5"/>
  <c r="E1543" i="5"/>
  <c r="G1543" i="5"/>
  <c r="F1543" i="5"/>
  <c r="C1543" i="5"/>
  <c r="E1521" i="5"/>
  <c r="F1521" i="5"/>
  <c r="C1521" i="5"/>
  <c r="D1521" i="5"/>
  <c r="G1521" i="5"/>
  <c r="E1491" i="5"/>
  <c r="G1491" i="5"/>
  <c r="C1491" i="5"/>
  <c r="D1491" i="5"/>
  <c r="F1491" i="5"/>
  <c r="C1485" i="5"/>
  <c r="D1485" i="5"/>
  <c r="E1485" i="5"/>
  <c r="F1485" i="5"/>
  <c r="G1485" i="5"/>
  <c r="C1468" i="5"/>
  <c r="D1468" i="5"/>
  <c r="E1468" i="5"/>
  <c r="F1468" i="5"/>
  <c r="G1468" i="5"/>
  <c r="D1462" i="5"/>
  <c r="C1462" i="5"/>
  <c r="E1462" i="5"/>
  <c r="F1462" i="5"/>
  <c r="G1462" i="5"/>
  <c r="E1455" i="5"/>
  <c r="C1455" i="5"/>
  <c r="D1455" i="5"/>
  <c r="F1455" i="5"/>
  <c r="G1455" i="5"/>
  <c r="E1419" i="5"/>
  <c r="C1419" i="5"/>
  <c r="D1419" i="5"/>
  <c r="F1419" i="5"/>
  <c r="G1419" i="5"/>
  <c r="E1407" i="5"/>
  <c r="C1407" i="5"/>
  <c r="D1407" i="5"/>
  <c r="F1407" i="5"/>
  <c r="G1407" i="5"/>
  <c r="E1401" i="5"/>
  <c r="F1401" i="5"/>
  <c r="C1401" i="5"/>
  <c r="D1401" i="5"/>
  <c r="G1401" i="5"/>
  <c r="F1566" i="5"/>
  <c r="G1566" i="5"/>
  <c r="C1566" i="5"/>
  <c r="E1566" i="5"/>
  <c r="D1566" i="5"/>
  <c r="C1557" i="5"/>
  <c r="D1557" i="5"/>
  <c r="G1557" i="5"/>
  <c r="F1557" i="5"/>
  <c r="E1557" i="5"/>
  <c r="F1529" i="5"/>
  <c r="G1529" i="5"/>
  <c r="C1529" i="5"/>
  <c r="D1529" i="5"/>
  <c r="E1529" i="5"/>
  <c r="C1520" i="5"/>
  <c r="D1520" i="5"/>
  <c r="E1520" i="5"/>
  <c r="F1520" i="5"/>
  <c r="G1520" i="5"/>
  <c r="D1511" i="5"/>
  <c r="C1511" i="5"/>
  <c r="F1511" i="5"/>
  <c r="E1511" i="5"/>
  <c r="G1511" i="5"/>
  <c r="C1490" i="5"/>
  <c r="D1490" i="5"/>
  <c r="E1490" i="5"/>
  <c r="F1490" i="5"/>
  <c r="G1490" i="5"/>
  <c r="F1480" i="5"/>
  <c r="G1480" i="5"/>
  <c r="C1480" i="5"/>
  <c r="D1480" i="5"/>
  <c r="E1480" i="5"/>
  <c r="F1472" i="5"/>
  <c r="C1472" i="5"/>
  <c r="D1472" i="5"/>
  <c r="E1472" i="5"/>
  <c r="G1472" i="5"/>
  <c r="E1467" i="5"/>
  <c r="G1467" i="5"/>
  <c r="C1467" i="5"/>
  <c r="D1467" i="5"/>
  <c r="F1467" i="5"/>
  <c r="C1461" i="5"/>
  <c r="D1461" i="5"/>
  <c r="E1461" i="5"/>
  <c r="F1461" i="5"/>
  <c r="G1461" i="5"/>
  <c r="G1454" i="5"/>
  <c r="C1454" i="5"/>
  <c r="D1454" i="5"/>
  <c r="E1454" i="5"/>
  <c r="F1454" i="5"/>
  <c r="G1418" i="5"/>
  <c r="D1418" i="5"/>
  <c r="E1418" i="5"/>
  <c r="F1418" i="5"/>
  <c r="C1418" i="5"/>
  <c r="G1406" i="5"/>
  <c r="D1406" i="5"/>
  <c r="E1406" i="5"/>
  <c r="F1406" i="5"/>
  <c r="C1406" i="5"/>
  <c r="D1366" i="5"/>
  <c r="G1366" i="5"/>
  <c r="C1366" i="5"/>
  <c r="E1366" i="5"/>
  <c r="F1366" i="5"/>
  <c r="G1515" i="5"/>
  <c r="G1487" i="5"/>
  <c r="G1476" i="5"/>
  <c r="E1469" i="5"/>
  <c r="G1463" i="5"/>
  <c r="D1458" i="5"/>
  <c r="G1452" i="5"/>
  <c r="E1445" i="5"/>
  <c r="C1355" i="5"/>
  <c r="D1355" i="5"/>
  <c r="C1352" i="5"/>
  <c r="F1352" i="5"/>
  <c r="F1339" i="5"/>
  <c r="G1339" i="5"/>
  <c r="D1339" i="5"/>
  <c r="G1287" i="5"/>
  <c r="D1287" i="5"/>
  <c r="E1287" i="5"/>
  <c r="F1287" i="5"/>
  <c r="C1287" i="5"/>
  <c r="D1271" i="5"/>
  <c r="E1271" i="5"/>
  <c r="F1271" i="5"/>
  <c r="C1271" i="5"/>
  <c r="F1246" i="5"/>
  <c r="C1246" i="5"/>
  <c r="D1246" i="5"/>
  <c r="E1246" i="5"/>
  <c r="G1246" i="5"/>
  <c r="F1213" i="5"/>
  <c r="G1213" i="5"/>
  <c r="C1213" i="5"/>
  <c r="D1213" i="5"/>
  <c r="E1213" i="5"/>
  <c r="C1204" i="5"/>
  <c r="D1204" i="5"/>
  <c r="E1204" i="5"/>
  <c r="F1204" i="5"/>
  <c r="G1204" i="5"/>
  <c r="C1158" i="5"/>
  <c r="G1158" i="5"/>
  <c r="F1158" i="5"/>
  <c r="D1158" i="5"/>
  <c r="E1158" i="5"/>
  <c r="G1527" i="5"/>
  <c r="C1548" i="5"/>
  <c r="F1539" i="5"/>
  <c r="C1536" i="5"/>
  <c r="F1527" i="5"/>
  <c r="C1524" i="5"/>
  <c r="F1515" i="5"/>
  <c r="C1512" i="5"/>
  <c r="F1503" i="5"/>
  <c r="C1500" i="5"/>
  <c r="D1493" i="5"/>
  <c r="F1487" i="5"/>
  <c r="C1482" i="5"/>
  <c r="F1476" i="5"/>
  <c r="G1474" i="5"/>
  <c r="D1469" i="5"/>
  <c r="F1463" i="5"/>
  <c r="C1458" i="5"/>
  <c r="F1452" i="5"/>
  <c r="D1445" i="5"/>
  <c r="E1399" i="5"/>
  <c r="C1395" i="5"/>
  <c r="E1388" i="5"/>
  <c r="F1386" i="5"/>
  <c r="E1375" i="5"/>
  <c r="G1362" i="5"/>
  <c r="C1360" i="5"/>
  <c r="D1360" i="5"/>
  <c r="E1360" i="5"/>
  <c r="E1357" i="5"/>
  <c r="F1354" i="5"/>
  <c r="C1349" i="5"/>
  <c r="F1349" i="5"/>
  <c r="E1335" i="5"/>
  <c r="C1335" i="5"/>
  <c r="G1335" i="5"/>
  <c r="F1328" i="5"/>
  <c r="E1328" i="5"/>
  <c r="G1328" i="5"/>
  <c r="C1328" i="5"/>
  <c r="D1328" i="5"/>
  <c r="C1325" i="5"/>
  <c r="D1325" i="5"/>
  <c r="F1325" i="5"/>
  <c r="G1325" i="5"/>
  <c r="C1318" i="5"/>
  <c r="D1318" i="5"/>
  <c r="E1318" i="5"/>
  <c r="F1270" i="5"/>
  <c r="C1270" i="5"/>
  <c r="D1270" i="5"/>
  <c r="E1270" i="5"/>
  <c r="G1270" i="5"/>
  <c r="E1208" i="5"/>
  <c r="F1208" i="5"/>
  <c r="G1208" i="5"/>
  <c r="C1208" i="5"/>
  <c r="D1208" i="5"/>
  <c r="F1174" i="5"/>
  <c r="C1174" i="5"/>
  <c r="D1174" i="5"/>
  <c r="E1174" i="5"/>
  <c r="G1174" i="5"/>
  <c r="D1151" i="5"/>
  <c r="C1151" i="5"/>
  <c r="E1151" i="5"/>
  <c r="F1151" i="5"/>
  <c r="G1151" i="5"/>
  <c r="E1144" i="5"/>
  <c r="C1144" i="5"/>
  <c r="D1144" i="5"/>
  <c r="F1144" i="5"/>
  <c r="G1144" i="5"/>
  <c r="G1539" i="5"/>
  <c r="G1573" i="5"/>
  <c r="G1549" i="5"/>
  <c r="E1527" i="5"/>
  <c r="G1525" i="5"/>
  <c r="E1503" i="5"/>
  <c r="G1501" i="5"/>
  <c r="E1487" i="5"/>
  <c r="G1483" i="5"/>
  <c r="E1476" i="5"/>
  <c r="F1474" i="5"/>
  <c r="E1463" i="5"/>
  <c r="G1459" i="5"/>
  <c r="G1435" i="5"/>
  <c r="G1423" i="5"/>
  <c r="G1413" i="5"/>
  <c r="D1399" i="5"/>
  <c r="G1392" i="5"/>
  <c r="D1388" i="5"/>
  <c r="E1386" i="5"/>
  <c r="D1384" i="5"/>
  <c r="E1384" i="5"/>
  <c r="G1379" i="5"/>
  <c r="G1368" i="5"/>
  <c r="E1368" i="5"/>
  <c r="D1365" i="5"/>
  <c r="E1365" i="5"/>
  <c r="F1365" i="5"/>
  <c r="F1362" i="5"/>
  <c r="D1357" i="5"/>
  <c r="E1354" i="5"/>
  <c r="E1351" i="5"/>
  <c r="G1338" i="5"/>
  <c r="E1324" i="5"/>
  <c r="G1307" i="5"/>
  <c r="C1307" i="5"/>
  <c r="E1307" i="5"/>
  <c r="F1307" i="5"/>
  <c r="G1295" i="5"/>
  <c r="G1259" i="5"/>
  <c r="C1259" i="5"/>
  <c r="E1259" i="5"/>
  <c r="F1259" i="5"/>
  <c r="C1228" i="5"/>
  <c r="D1228" i="5"/>
  <c r="E1228" i="5"/>
  <c r="F1228" i="5"/>
  <c r="G1228" i="5"/>
  <c r="D1223" i="5"/>
  <c r="E1223" i="5"/>
  <c r="F1223" i="5"/>
  <c r="G1223" i="5"/>
  <c r="C1223" i="5"/>
  <c r="E1196" i="5"/>
  <c r="F1196" i="5"/>
  <c r="G1196" i="5"/>
  <c r="C1196" i="5"/>
  <c r="D1196" i="5"/>
  <c r="C1182" i="5"/>
  <c r="G1182" i="5"/>
  <c r="D1182" i="5"/>
  <c r="E1182" i="5"/>
  <c r="F1182" i="5"/>
  <c r="E1156" i="5"/>
  <c r="C1156" i="5"/>
  <c r="D1156" i="5"/>
  <c r="F1156" i="5"/>
  <c r="G1156" i="5"/>
  <c r="F1150" i="5"/>
  <c r="C1150" i="5"/>
  <c r="D1150" i="5"/>
  <c r="E1150" i="5"/>
  <c r="G1150" i="5"/>
  <c r="G1503" i="5"/>
  <c r="E1539" i="5"/>
  <c r="G1537" i="5"/>
  <c r="E1515" i="5"/>
  <c r="F1549" i="5"/>
  <c r="G1542" i="5"/>
  <c r="D1539" i="5"/>
  <c r="F1537" i="5"/>
  <c r="G1530" i="5"/>
  <c r="D1527" i="5"/>
  <c r="F1525" i="5"/>
  <c r="G1518" i="5"/>
  <c r="D1515" i="5"/>
  <c r="G1506" i="5"/>
  <c r="D1503" i="5"/>
  <c r="F1501" i="5"/>
  <c r="G1494" i="5"/>
  <c r="D1487" i="5"/>
  <c r="F1483" i="5"/>
  <c r="D1476" i="5"/>
  <c r="E1474" i="5"/>
  <c r="G1470" i="5"/>
  <c r="D1463" i="5"/>
  <c r="F1459" i="5"/>
  <c r="D1452" i="5"/>
  <c r="G1446" i="5"/>
  <c r="F1435" i="5"/>
  <c r="F1429" i="5"/>
  <c r="F1423" i="5"/>
  <c r="F1417" i="5"/>
  <c r="E1413" i="5"/>
  <c r="F1411" i="5"/>
  <c r="F1405" i="5"/>
  <c r="C1399" i="5"/>
  <c r="F1392" i="5"/>
  <c r="C1388" i="5"/>
  <c r="D1386" i="5"/>
  <c r="F1381" i="5"/>
  <c r="F1379" i="5"/>
  <c r="C1375" i="5"/>
  <c r="G1367" i="5"/>
  <c r="G1364" i="5"/>
  <c r="E1362" i="5"/>
  <c r="C1357" i="5"/>
  <c r="D1345" i="5"/>
  <c r="E1345" i="5"/>
  <c r="G1345" i="5"/>
  <c r="G1341" i="5"/>
  <c r="F1306" i="5"/>
  <c r="C1306" i="5"/>
  <c r="D1306" i="5"/>
  <c r="E1306" i="5"/>
  <c r="G1306" i="5"/>
  <c r="C1283" i="5"/>
  <c r="E1283" i="5"/>
  <c r="F1283" i="5"/>
  <c r="F1258" i="5"/>
  <c r="C1258" i="5"/>
  <c r="D1258" i="5"/>
  <c r="E1258" i="5"/>
  <c r="G1258" i="5"/>
  <c r="G1254" i="5"/>
  <c r="C1254" i="5"/>
  <c r="D1254" i="5"/>
  <c r="E1254" i="5"/>
  <c r="F1254" i="5"/>
  <c r="G1242" i="5"/>
  <c r="C1242" i="5"/>
  <c r="D1242" i="5"/>
  <c r="E1242" i="5"/>
  <c r="F1242" i="5"/>
  <c r="G1227" i="5"/>
  <c r="D1227" i="5"/>
  <c r="E1227" i="5"/>
  <c r="F1227" i="5"/>
  <c r="C1227" i="5"/>
  <c r="E1216" i="5"/>
  <c r="F1216" i="5"/>
  <c r="G1216" i="5"/>
  <c r="C1216" i="5"/>
  <c r="D1216" i="5"/>
  <c r="G1155" i="5"/>
  <c r="D1155" i="5"/>
  <c r="E1155" i="5"/>
  <c r="F1155" i="5"/>
  <c r="C1155" i="5"/>
  <c r="E1537" i="5"/>
  <c r="E1525" i="5"/>
  <c r="F1518" i="5"/>
  <c r="F1506" i="5"/>
  <c r="E1501" i="5"/>
  <c r="F1494" i="5"/>
  <c r="E1483" i="5"/>
  <c r="G1481" i="5"/>
  <c r="C1474" i="5"/>
  <c r="F1470" i="5"/>
  <c r="E1459" i="5"/>
  <c r="G1457" i="5"/>
  <c r="F1446" i="5"/>
  <c r="E1435" i="5"/>
  <c r="E1429" i="5"/>
  <c r="E1423" i="5"/>
  <c r="E1417" i="5"/>
  <c r="D1413" i="5"/>
  <c r="E1405" i="5"/>
  <c r="G1383" i="5"/>
  <c r="E1381" i="5"/>
  <c r="F1367" i="5"/>
  <c r="E1364" i="5"/>
  <c r="D1362" i="5"/>
  <c r="D1354" i="5"/>
  <c r="G1354" i="5"/>
  <c r="F1351" i="5"/>
  <c r="G1351" i="5"/>
  <c r="D1351" i="5"/>
  <c r="C1348" i="5"/>
  <c r="D1348" i="5"/>
  <c r="E1348" i="5"/>
  <c r="G1348" i="5"/>
  <c r="F1344" i="5"/>
  <c r="C1338" i="5"/>
  <c r="E1338" i="5"/>
  <c r="F1338" i="5"/>
  <c r="G1331" i="5"/>
  <c r="C1324" i="5"/>
  <c r="F1324" i="5"/>
  <c r="G1324" i="5"/>
  <c r="D1314" i="5"/>
  <c r="E1305" i="5"/>
  <c r="F1305" i="5"/>
  <c r="G1305" i="5"/>
  <c r="C1305" i="5"/>
  <c r="D1305" i="5"/>
  <c r="C1295" i="5"/>
  <c r="E1295" i="5"/>
  <c r="F1295" i="5"/>
  <c r="F1282" i="5"/>
  <c r="C1282" i="5"/>
  <c r="D1282" i="5"/>
  <c r="E1282" i="5"/>
  <c r="G1282" i="5"/>
  <c r="E1257" i="5"/>
  <c r="F1257" i="5"/>
  <c r="G1257" i="5"/>
  <c r="C1257" i="5"/>
  <c r="D1257" i="5"/>
  <c r="E1241" i="5"/>
  <c r="C1241" i="5"/>
  <c r="D1241" i="5"/>
  <c r="F1241" i="5"/>
  <c r="G1241" i="5"/>
  <c r="F1237" i="5"/>
  <c r="G1237" i="5"/>
  <c r="C1237" i="5"/>
  <c r="D1237" i="5"/>
  <c r="E1237" i="5"/>
  <c r="G1215" i="5"/>
  <c r="D1215" i="5"/>
  <c r="E1215" i="5"/>
  <c r="F1215" i="5"/>
  <c r="C1215" i="5"/>
  <c r="C1199" i="5"/>
  <c r="D1199" i="5"/>
  <c r="E1199" i="5"/>
  <c r="F1199" i="5"/>
  <c r="G1199" i="5"/>
  <c r="D1483" i="5"/>
  <c r="E1470" i="5"/>
  <c r="D1459" i="5"/>
  <c r="F1457" i="5"/>
  <c r="E1446" i="5"/>
  <c r="D1435" i="5"/>
  <c r="D1429" i="5"/>
  <c r="D1423" i="5"/>
  <c r="D1417" i="5"/>
  <c r="C1413" i="5"/>
  <c r="G1396" i="5"/>
  <c r="F1383" i="5"/>
  <c r="C1379" i="5"/>
  <c r="D1379" i="5"/>
  <c r="D1364" i="5"/>
  <c r="F1356" i="5"/>
  <c r="D1344" i="5"/>
  <c r="D1341" i="5"/>
  <c r="E1341" i="5"/>
  <c r="F1341" i="5"/>
  <c r="G1337" i="5"/>
  <c r="G1302" i="5"/>
  <c r="C1302" i="5"/>
  <c r="E1302" i="5"/>
  <c r="F1302" i="5"/>
  <c r="F1294" i="5"/>
  <c r="C1294" i="5"/>
  <c r="D1294" i="5"/>
  <c r="E1294" i="5"/>
  <c r="G1294" i="5"/>
  <c r="G1278" i="5"/>
  <c r="D1278" i="5"/>
  <c r="E1278" i="5"/>
  <c r="F1278" i="5"/>
  <c r="C1278" i="5"/>
  <c r="F1189" i="5"/>
  <c r="G1189" i="5"/>
  <c r="C1189" i="5"/>
  <c r="D1189" i="5"/>
  <c r="E1189" i="5"/>
  <c r="E1481" i="5"/>
  <c r="E1457" i="5"/>
  <c r="D1446" i="5"/>
  <c r="C1429" i="5"/>
  <c r="C1417" i="5"/>
  <c r="F1396" i="5"/>
  <c r="D1383" i="5"/>
  <c r="C1367" i="5"/>
  <c r="D1367" i="5"/>
  <c r="C1364" i="5"/>
  <c r="D1356" i="5"/>
  <c r="G1353" i="5"/>
  <c r="G1340" i="5"/>
  <c r="E1337" i="5"/>
  <c r="G1314" i="5"/>
  <c r="E1314" i="5"/>
  <c r="F1314" i="5"/>
  <c r="C1281" i="5"/>
  <c r="D1281" i="5"/>
  <c r="F1281" i="5"/>
  <c r="G1281" i="5"/>
  <c r="E1277" i="5"/>
  <c r="C1277" i="5"/>
  <c r="D1277" i="5"/>
  <c r="F1277" i="5"/>
  <c r="G1277" i="5"/>
  <c r="F1273" i="5"/>
  <c r="G1273" i="5"/>
  <c r="E1273" i="5"/>
  <c r="C1273" i="5"/>
  <c r="D1273" i="5"/>
  <c r="G1266" i="5"/>
  <c r="C1266" i="5"/>
  <c r="E1266" i="5"/>
  <c r="F1266" i="5"/>
  <c r="C1252" i="5"/>
  <c r="D1252" i="5"/>
  <c r="F1252" i="5"/>
  <c r="G1252" i="5"/>
  <c r="D1457" i="5"/>
  <c r="C1383" i="5"/>
  <c r="C1372" i="5"/>
  <c r="D1372" i="5"/>
  <c r="E1372" i="5"/>
  <c r="G1344" i="5"/>
  <c r="E1344" i="5"/>
  <c r="C1331" i="5"/>
  <c r="E1331" i="5"/>
  <c r="E1323" i="5"/>
  <c r="C1323" i="5"/>
  <c r="D1323" i="5"/>
  <c r="G1323" i="5"/>
  <c r="E1316" i="5"/>
  <c r="F1316" i="5"/>
  <c r="G1316" i="5"/>
  <c r="D1316" i="5"/>
  <c r="E1313" i="5"/>
  <c r="C1313" i="5"/>
  <c r="D1313" i="5"/>
  <c r="F1313" i="5"/>
  <c r="G1313" i="5"/>
  <c r="C1293" i="5"/>
  <c r="D1293" i="5"/>
  <c r="F1293" i="5"/>
  <c r="G1293" i="5"/>
  <c r="G1290" i="5"/>
  <c r="C1290" i="5"/>
  <c r="E1290" i="5"/>
  <c r="F1290" i="5"/>
  <c r="E1265" i="5"/>
  <c r="C1265" i="5"/>
  <c r="D1265" i="5"/>
  <c r="F1265" i="5"/>
  <c r="G1265" i="5"/>
  <c r="E1244" i="5"/>
  <c r="F1244" i="5"/>
  <c r="G1244" i="5"/>
  <c r="C1244" i="5"/>
  <c r="D1244" i="5"/>
  <c r="D1396" i="5"/>
  <c r="E1396" i="5"/>
  <c r="G1356" i="5"/>
  <c r="E1356" i="5"/>
  <c r="D1353" i="5"/>
  <c r="E1353" i="5"/>
  <c r="F1353" i="5"/>
  <c r="C1340" i="5"/>
  <c r="D1340" i="5"/>
  <c r="F1340" i="5"/>
  <c r="C1337" i="5"/>
  <c r="F1337" i="5"/>
  <c r="D1330" i="5"/>
  <c r="E1330" i="5"/>
  <c r="F1330" i="5"/>
  <c r="G1330" i="5"/>
  <c r="C1330" i="5"/>
  <c r="E1312" i="5"/>
  <c r="F1312" i="5"/>
  <c r="G1312" i="5"/>
  <c r="C1312" i="5"/>
  <c r="D1312" i="5"/>
  <c r="F1309" i="5"/>
  <c r="G1309" i="5"/>
  <c r="C1309" i="5"/>
  <c r="D1309" i="5"/>
  <c r="C1300" i="5"/>
  <c r="D1300" i="5"/>
  <c r="F1300" i="5"/>
  <c r="G1300" i="5"/>
  <c r="F1297" i="5"/>
  <c r="G1297" i="5"/>
  <c r="C1297" i="5"/>
  <c r="D1297" i="5"/>
  <c r="E1289" i="5"/>
  <c r="C1289" i="5"/>
  <c r="D1289" i="5"/>
  <c r="F1289" i="5"/>
  <c r="G1289" i="5"/>
  <c r="C1276" i="5"/>
  <c r="D1276" i="5"/>
  <c r="F1276" i="5"/>
  <c r="G1276" i="5"/>
  <c r="E1264" i="5"/>
  <c r="F1264" i="5"/>
  <c r="G1264" i="5"/>
  <c r="C1264" i="5"/>
  <c r="D1264" i="5"/>
  <c r="F1261" i="5"/>
  <c r="G1261" i="5"/>
  <c r="C1261" i="5"/>
  <c r="D1261" i="5"/>
  <c r="G1239" i="5"/>
  <c r="D1239" i="5"/>
  <c r="E1239" i="5"/>
  <c r="F1239" i="5"/>
  <c r="C1239" i="5"/>
  <c r="C1235" i="5"/>
  <c r="D1235" i="5"/>
  <c r="E1235" i="5"/>
  <c r="F1235" i="5"/>
  <c r="G1235" i="5"/>
  <c r="E1550" i="5"/>
  <c r="E1538" i="5"/>
  <c r="E1526" i="5"/>
  <c r="E1514" i="5"/>
  <c r="G1512" i="5"/>
  <c r="E1502" i="5"/>
  <c r="G1500" i="5"/>
  <c r="E1484" i="5"/>
  <c r="G1482" i="5"/>
  <c r="E1473" i="5"/>
  <c r="E1460" i="5"/>
  <c r="G1458" i="5"/>
  <c r="E1449" i="5"/>
  <c r="F1447" i="5"/>
  <c r="E1436" i="5"/>
  <c r="F1428" i="5"/>
  <c r="F1426" i="5"/>
  <c r="E1424" i="5"/>
  <c r="F1414" i="5"/>
  <c r="E1412" i="5"/>
  <c r="C1361" i="5"/>
  <c r="F1361" i="5"/>
  <c r="G1355" i="5"/>
  <c r="G1352" i="5"/>
  <c r="C1350" i="5"/>
  <c r="E1350" i="5"/>
  <c r="C1347" i="5"/>
  <c r="E1347" i="5"/>
  <c r="C1343" i="5"/>
  <c r="D1343" i="5"/>
  <c r="F1343" i="5"/>
  <c r="G1343" i="5"/>
  <c r="G1329" i="5"/>
  <c r="D1326" i="5"/>
  <c r="F1285" i="5"/>
  <c r="G1285" i="5"/>
  <c r="C1285" i="5"/>
  <c r="D1285" i="5"/>
  <c r="G1275" i="5"/>
  <c r="D1275" i="5"/>
  <c r="E1275" i="5"/>
  <c r="F1275" i="5"/>
  <c r="C1275" i="5"/>
  <c r="F1234" i="5"/>
  <c r="C1234" i="5"/>
  <c r="D1234" i="5"/>
  <c r="E1234" i="5"/>
  <c r="G1234" i="5"/>
  <c r="G1206" i="5"/>
  <c r="C1206" i="5"/>
  <c r="D1206" i="5"/>
  <c r="E1206" i="5"/>
  <c r="F1206" i="5"/>
  <c r="G1191" i="5"/>
  <c r="D1191" i="5"/>
  <c r="E1191" i="5"/>
  <c r="F1191" i="5"/>
  <c r="C1191" i="5"/>
  <c r="D1187" i="5"/>
  <c r="C1187" i="5"/>
  <c r="E1187" i="5"/>
  <c r="F1187" i="5"/>
  <c r="G1187" i="5"/>
  <c r="F1138" i="5"/>
  <c r="C1138" i="5"/>
  <c r="D1138" i="5"/>
  <c r="E1138" i="5"/>
  <c r="G1138" i="5"/>
  <c r="D1538" i="5"/>
  <c r="D1526" i="5"/>
  <c r="D1514" i="5"/>
  <c r="D1502" i="5"/>
  <c r="F1500" i="5"/>
  <c r="G1493" i="5"/>
  <c r="D1484" i="5"/>
  <c r="F1482" i="5"/>
  <c r="D1473" i="5"/>
  <c r="E1471" i="5"/>
  <c r="G1469" i="5"/>
  <c r="D1460" i="5"/>
  <c r="F1458" i="5"/>
  <c r="D1449" i="5"/>
  <c r="E1447" i="5"/>
  <c r="G1445" i="5"/>
  <c r="D1436" i="5"/>
  <c r="E1428" i="5"/>
  <c r="E1426" i="5"/>
  <c r="D1424" i="5"/>
  <c r="E1416" i="5"/>
  <c r="E1414" i="5"/>
  <c r="D1412" i="5"/>
  <c r="G1395" i="5"/>
  <c r="E1380" i="5"/>
  <c r="F1355" i="5"/>
  <c r="E1352" i="5"/>
  <c r="G1349" i="5"/>
  <c r="E1339" i="5"/>
  <c r="C1336" i="5"/>
  <c r="D1336" i="5"/>
  <c r="F1336" i="5"/>
  <c r="G1336" i="5"/>
  <c r="G1311" i="5"/>
  <c r="D1311" i="5"/>
  <c r="E1311" i="5"/>
  <c r="F1311" i="5"/>
  <c r="C1311" i="5"/>
  <c r="G1299" i="5"/>
  <c r="D1299" i="5"/>
  <c r="E1299" i="5"/>
  <c r="F1299" i="5"/>
  <c r="C1299" i="5"/>
  <c r="E1292" i="5"/>
  <c r="F1292" i="5"/>
  <c r="G1292" i="5"/>
  <c r="D1292" i="5"/>
  <c r="C1288" i="5"/>
  <c r="D1288" i="5"/>
  <c r="F1288" i="5"/>
  <c r="G1288" i="5"/>
  <c r="G1263" i="5"/>
  <c r="D1263" i="5"/>
  <c r="E1263" i="5"/>
  <c r="F1263" i="5"/>
  <c r="C1263" i="5"/>
  <c r="G1230" i="5"/>
  <c r="D1230" i="5"/>
  <c r="E1230" i="5"/>
  <c r="F1230" i="5"/>
  <c r="C1230" i="5"/>
  <c r="F1210" i="5"/>
  <c r="C1210" i="5"/>
  <c r="D1210" i="5"/>
  <c r="E1210" i="5"/>
  <c r="G1210" i="5"/>
  <c r="F1493" i="5"/>
  <c r="C1484" i="5"/>
  <c r="F1469" i="5"/>
  <c r="C1460" i="5"/>
  <c r="F1445" i="5"/>
  <c r="C1436" i="5"/>
  <c r="C1426" i="5"/>
  <c r="C1424" i="5"/>
  <c r="C1414" i="5"/>
  <c r="C1412" i="5"/>
  <c r="F1395" i="5"/>
  <c r="G1384" i="5"/>
  <c r="F1368" i="5"/>
  <c r="F1363" i="5"/>
  <c r="G1363" i="5"/>
  <c r="D1363" i="5"/>
  <c r="G1360" i="5"/>
  <c r="E1355" i="5"/>
  <c r="D1352" i="5"/>
  <c r="E1349" i="5"/>
  <c r="C1339" i="5"/>
  <c r="F1335" i="5"/>
  <c r="C1329" i="5"/>
  <c r="D1329" i="5"/>
  <c r="F1329" i="5"/>
  <c r="G1326" i="5"/>
  <c r="E1326" i="5"/>
  <c r="F1326" i="5"/>
  <c r="G1318" i="5"/>
  <c r="G1271" i="5"/>
  <c r="C1247" i="5"/>
  <c r="D1247" i="5"/>
  <c r="E1247" i="5"/>
  <c r="F1247" i="5"/>
  <c r="F1225" i="5"/>
  <c r="G1225" i="5"/>
  <c r="E1225" i="5"/>
  <c r="C1225" i="5"/>
  <c r="D1225" i="5"/>
  <c r="C1146" i="5"/>
  <c r="G1146" i="5"/>
  <c r="D1146" i="5"/>
  <c r="E1146" i="5"/>
  <c r="F1146" i="5"/>
  <c r="E1280" i="5"/>
  <c r="F1280" i="5"/>
  <c r="G1280" i="5"/>
  <c r="E1232" i="5"/>
  <c r="F1232" i="5"/>
  <c r="G1232" i="5"/>
  <c r="D1209" i="5"/>
  <c r="G1193" i="5"/>
  <c r="F1186" i="5"/>
  <c r="C1186" i="5"/>
  <c r="D1186" i="5"/>
  <c r="E1186" i="5"/>
  <c r="G1181" i="5"/>
  <c r="F1176" i="5"/>
  <c r="G1173" i="5"/>
  <c r="E1171" i="5"/>
  <c r="F1168" i="5"/>
  <c r="F1163" i="5"/>
  <c r="D1153" i="5"/>
  <c r="E1148" i="5"/>
  <c r="F1148" i="5"/>
  <c r="G1148" i="5"/>
  <c r="G1145" i="5"/>
  <c r="C1137" i="5"/>
  <c r="F1137" i="5"/>
  <c r="G1137" i="5"/>
  <c r="C1134" i="5"/>
  <c r="D1134" i="5"/>
  <c r="G1134" i="5"/>
  <c r="G1071" i="5"/>
  <c r="C1071" i="5"/>
  <c r="D1071" i="5"/>
  <c r="E1071" i="5"/>
  <c r="F1071" i="5"/>
  <c r="G1051" i="5"/>
  <c r="C1051" i="5"/>
  <c r="D1051" i="5"/>
  <c r="E1051" i="5"/>
  <c r="F1051" i="5"/>
  <c r="C1031" i="5"/>
  <c r="E1031" i="5"/>
  <c r="F1031" i="5"/>
  <c r="D1031" i="5"/>
  <c r="G1031" i="5"/>
  <c r="G1342" i="5"/>
  <c r="G1322" i="5"/>
  <c r="D1296" i="5"/>
  <c r="C1296" i="5"/>
  <c r="D1248" i="5"/>
  <c r="C1248" i="5"/>
  <c r="D1220" i="5"/>
  <c r="E1218" i="5"/>
  <c r="C1209" i="5"/>
  <c r="D1200" i="5"/>
  <c r="C1200" i="5"/>
  <c r="E1173" i="5"/>
  <c r="D1171" i="5"/>
  <c r="D1168" i="5"/>
  <c r="E1163" i="5"/>
  <c r="D1140" i="5"/>
  <c r="C1140" i="5"/>
  <c r="C1122" i="5"/>
  <c r="D1122" i="5"/>
  <c r="E1122" i="5"/>
  <c r="G1122" i="5"/>
  <c r="D1012" i="5"/>
  <c r="E1012" i="5"/>
  <c r="F1012" i="5"/>
  <c r="G1012" i="5"/>
  <c r="C1012" i="5"/>
  <c r="D976" i="5"/>
  <c r="E976" i="5"/>
  <c r="F976" i="5"/>
  <c r="G976" i="5"/>
  <c r="C976" i="5"/>
  <c r="G954" i="5"/>
  <c r="C954" i="5"/>
  <c r="D954" i="5"/>
  <c r="E954" i="5"/>
  <c r="F954" i="5"/>
  <c r="E1193" i="5"/>
  <c r="C1193" i="5"/>
  <c r="D1193" i="5"/>
  <c r="G1185" i="5"/>
  <c r="E1181" i="5"/>
  <c r="C1181" i="5"/>
  <c r="D1181" i="5"/>
  <c r="D1176" i="5"/>
  <c r="C1176" i="5"/>
  <c r="D1173" i="5"/>
  <c r="C1168" i="5"/>
  <c r="C1163" i="5"/>
  <c r="F1153" i="5"/>
  <c r="G1153" i="5"/>
  <c r="G1147" i="5"/>
  <c r="E1145" i="5"/>
  <c r="C1145" i="5"/>
  <c r="D1145" i="5"/>
  <c r="F1126" i="5"/>
  <c r="G1126" i="5"/>
  <c r="C1126" i="5"/>
  <c r="D1126" i="5"/>
  <c r="E1126" i="5"/>
  <c r="C1110" i="5"/>
  <c r="D1110" i="5"/>
  <c r="E1110" i="5"/>
  <c r="G1110" i="5"/>
  <c r="F1046" i="5"/>
  <c r="C1046" i="5"/>
  <c r="D1046" i="5"/>
  <c r="E1046" i="5"/>
  <c r="G1046" i="5"/>
  <c r="E1268" i="5"/>
  <c r="F1268" i="5"/>
  <c r="G1268" i="5"/>
  <c r="E1220" i="5"/>
  <c r="F1220" i="5"/>
  <c r="G1220" i="5"/>
  <c r="G1152" i="5"/>
  <c r="F1147" i="5"/>
  <c r="E1133" i="5"/>
  <c r="G1133" i="5"/>
  <c r="C1133" i="5"/>
  <c r="D1133" i="5"/>
  <c r="E1121" i="5"/>
  <c r="F1121" i="5"/>
  <c r="G1121" i="5"/>
  <c r="C1121" i="5"/>
  <c r="D1121" i="5"/>
  <c r="C1081" i="5"/>
  <c r="D1081" i="5"/>
  <c r="E1081" i="5"/>
  <c r="F1081" i="5"/>
  <c r="G1081" i="5"/>
  <c r="D1333" i="5"/>
  <c r="E1320" i="5"/>
  <c r="D1284" i="5"/>
  <c r="C1284" i="5"/>
  <c r="D1256" i="5"/>
  <c r="F1240" i="5"/>
  <c r="D1236" i="5"/>
  <c r="C1236" i="5"/>
  <c r="F1233" i="5"/>
  <c r="G1224" i="5"/>
  <c r="F1222" i="5"/>
  <c r="C1222" i="5"/>
  <c r="D1222" i="5"/>
  <c r="E1222" i="5"/>
  <c r="F1192" i="5"/>
  <c r="D1188" i="5"/>
  <c r="C1188" i="5"/>
  <c r="D1185" i="5"/>
  <c r="F1180" i="5"/>
  <c r="F1175" i="5"/>
  <c r="E1170" i="5"/>
  <c r="D1165" i="5"/>
  <c r="E1160" i="5"/>
  <c r="F1160" i="5"/>
  <c r="G1160" i="5"/>
  <c r="G1157" i="5"/>
  <c r="F1152" i="5"/>
  <c r="G1149" i="5"/>
  <c r="E1147" i="5"/>
  <c r="G1132" i="5"/>
  <c r="C1117" i="5"/>
  <c r="D1117" i="5"/>
  <c r="F1117" i="5"/>
  <c r="G1117" i="5"/>
  <c r="E1109" i="5"/>
  <c r="F1109" i="5"/>
  <c r="G1109" i="5"/>
  <c r="C1109" i="5"/>
  <c r="D1109" i="5"/>
  <c r="D1080" i="5"/>
  <c r="E1080" i="5"/>
  <c r="F1080" i="5"/>
  <c r="G1080" i="5"/>
  <c r="C1080" i="5"/>
  <c r="F1058" i="5"/>
  <c r="G1058" i="5"/>
  <c r="C1058" i="5"/>
  <c r="D1058" i="5"/>
  <c r="E1058" i="5"/>
  <c r="E1041" i="5"/>
  <c r="G1041" i="5"/>
  <c r="C1041" i="5"/>
  <c r="D1041" i="5"/>
  <c r="F1041" i="5"/>
  <c r="E1249" i="5"/>
  <c r="E1240" i="5"/>
  <c r="E1233" i="5"/>
  <c r="E1229" i="5"/>
  <c r="C1229" i="5"/>
  <c r="D1229" i="5"/>
  <c r="E1201" i="5"/>
  <c r="C1185" i="5"/>
  <c r="D1180" i="5"/>
  <c r="E1175" i="5"/>
  <c r="E1149" i="5"/>
  <c r="D1147" i="5"/>
  <c r="D1139" i="5"/>
  <c r="E1139" i="5"/>
  <c r="C1120" i="5"/>
  <c r="E1120" i="5"/>
  <c r="F1120" i="5"/>
  <c r="G1120" i="5"/>
  <c r="D1116" i="5"/>
  <c r="E1116" i="5"/>
  <c r="F1116" i="5"/>
  <c r="G1116" i="5"/>
  <c r="C1116" i="5"/>
  <c r="C1105" i="5"/>
  <c r="D1105" i="5"/>
  <c r="F1105" i="5"/>
  <c r="G1105" i="5"/>
  <c r="E1097" i="5"/>
  <c r="F1097" i="5"/>
  <c r="G1097" i="5"/>
  <c r="C1097" i="5"/>
  <c r="D1097" i="5"/>
  <c r="C1093" i="5"/>
  <c r="D1093" i="5"/>
  <c r="F1093" i="5"/>
  <c r="G1093" i="5"/>
  <c r="E1085" i="5"/>
  <c r="F1085" i="5"/>
  <c r="G1085" i="5"/>
  <c r="C1085" i="5"/>
  <c r="D1085" i="5"/>
  <c r="G1065" i="5"/>
  <c r="C1065" i="5"/>
  <c r="D1065" i="5"/>
  <c r="E1065" i="5"/>
  <c r="F1065" i="5"/>
  <c r="C1019" i="5"/>
  <c r="D1019" i="5"/>
  <c r="E1019" i="5"/>
  <c r="F1019" i="5"/>
  <c r="G1019" i="5"/>
  <c r="C1007" i="5"/>
  <c r="D1007" i="5"/>
  <c r="E1007" i="5"/>
  <c r="F1007" i="5"/>
  <c r="G1007" i="5"/>
  <c r="D988" i="5"/>
  <c r="E988" i="5"/>
  <c r="F988" i="5"/>
  <c r="G988" i="5"/>
  <c r="C988" i="5"/>
  <c r="E1304" i="5"/>
  <c r="F1304" i="5"/>
  <c r="G1304" i="5"/>
  <c r="E1256" i="5"/>
  <c r="F1256" i="5"/>
  <c r="G1256" i="5"/>
  <c r="D1249" i="5"/>
  <c r="D1240" i="5"/>
  <c r="D1233" i="5"/>
  <c r="G1217" i="5"/>
  <c r="D1201" i="5"/>
  <c r="C1170" i="5"/>
  <c r="G1170" i="5"/>
  <c r="G1167" i="5"/>
  <c r="D1167" i="5"/>
  <c r="E1167" i="5"/>
  <c r="F1167" i="5"/>
  <c r="F1165" i="5"/>
  <c r="G1165" i="5"/>
  <c r="F1162" i="5"/>
  <c r="C1162" i="5"/>
  <c r="D1162" i="5"/>
  <c r="E1162" i="5"/>
  <c r="E1157" i="5"/>
  <c r="C1157" i="5"/>
  <c r="D1157" i="5"/>
  <c r="D1152" i="5"/>
  <c r="C1152" i="5"/>
  <c r="C1132" i="5"/>
  <c r="E1132" i="5"/>
  <c r="F1132" i="5"/>
  <c r="C1108" i="5"/>
  <c r="E1108" i="5"/>
  <c r="F1108" i="5"/>
  <c r="G1108" i="5"/>
  <c r="D1104" i="5"/>
  <c r="E1104" i="5"/>
  <c r="F1104" i="5"/>
  <c r="G1104" i="5"/>
  <c r="C1104" i="5"/>
  <c r="C1096" i="5"/>
  <c r="D1096" i="5"/>
  <c r="E1096" i="5"/>
  <c r="F1096" i="5"/>
  <c r="G1096" i="5"/>
  <c r="D1092" i="5"/>
  <c r="E1092" i="5"/>
  <c r="F1092" i="5"/>
  <c r="G1092" i="5"/>
  <c r="C1092" i="5"/>
  <c r="C1084" i="5"/>
  <c r="D1084" i="5"/>
  <c r="E1084" i="5"/>
  <c r="F1084" i="5"/>
  <c r="G1084" i="5"/>
  <c r="C1075" i="5"/>
  <c r="D1075" i="5"/>
  <c r="E1075" i="5"/>
  <c r="F1075" i="5"/>
  <c r="G1075" i="5"/>
  <c r="E1029" i="5"/>
  <c r="G1029" i="5"/>
  <c r="C1029" i="5"/>
  <c r="D1029" i="5"/>
  <c r="F1029" i="5"/>
  <c r="G1334" i="5"/>
  <c r="G1319" i="5"/>
  <c r="F1317" i="5"/>
  <c r="D1272" i="5"/>
  <c r="C1272" i="5"/>
  <c r="D1224" i="5"/>
  <c r="C1224" i="5"/>
  <c r="C1149" i="5"/>
  <c r="E1141" i="5"/>
  <c r="C1129" i="5"/>
  <c r="F1129" i="5"/>
  <c r="G1129" i="5"/>
  <c r="G1119" i="5"/>
  <c r="D1119" i="5"/>
  <c r="E1119" i="5"/>
  <c r="F1119" i="5"/>
  <c r="G1083" i="5"/>
  <c r="C1083" i="5"/>
  <c r="D1083" i="5"/>
  <c r="E1083" i="5"/>
  <c r="F1083" i="5"/>
  <c r="C1063" i="5"/>
  <c r="D1063" i="5"/>
  <c r="E1063" i="5"/>
  <c r="F1063" i="5"/>
  <c r="G1063" i="5"/>
  <c r="E1053" i="5"/>
  <c r="G1053" i="5"/>
  <c r="C1053" i="5"/>
  <c r="D1053" i="5"/>
  <c r="F1053" i="5"/>
  <c r="C995" i="5"/>
  <c r="D995" i="5"/>
  <c r="E995" i="5"/>
  <c r="F995" i="5"/>
  <c r="G995" i="5"/>
  <c r="G1251" i="5"/>
  <c r="D1251" i="5"/>
  <c r="E1251" i="5"/>
  <c r="F1251" i="5"/>
  <c r="F1249" i="5"/>
  <c r="G1249" i="5"/>
  <c r="E1217" i="5"/>
  <c r="C1217" i="5"/>
  <c r="D1217" i="5"/>
  <c r="G1203" i="5"/>
  <c r="D1203" i="5"/>
  <c r="E1203" i="5"/>
  <c r="F1203" i="5"/>
  <c r="F1201" i="5"/>
  <c r="G1201" i="5"/>
  <c r="E1172" i="5"/>
  <c r="F1172" i="5"/>
  <c r="G1172" i="5"/>
  <c r="G1161" i="5"/>
  <c r="G1131" i="5"/>
  <c r="D1131" i="5"/>
  <c r="E1131" i="5"/>
  <c r="F1131" i="5"/>
  <c r="D1128" i="5"/>
  <c r="E1128" i="5"/>
  <c r="F1128" i="5"/>
  <c r="G1128" i="5"/>
  <c r="C1128" i="5"/>
  <c r="G1107" i="5"/>
  <c r="D1107" i="5"/>
  <c r="E1107" i="5"/>
  <c r="F1107" i="5"/>
  <c r="G1095" i="5"/>
  <c r="D1095" i="5"/>
  <c r="E1095" i="5"/>
  <c r="F1095" i="5"/>
  <c r="C1069" i="5"/>
  <c r="D1069" i="5"/>
  <c r="E1069" i="5"/>
  <c r="F1069" i="5"/>
  <c r="G1069" i="5"/>
  <c r="D1062" i="5"/>
  <c r="E1062" i="5"/>
  <c r="G1062" i="5"/>
  <c r="C1062" i="5"/>
  <c r="F1062" i="5"/>
  <c r="E1334" i="5"/>
  <c r="E1321" i="5"/>
  <c r="E1319" i="5"/>
  <c r="D1317" i="5"/>
  <c r="G1301" i="5"/>
  <c r="D1269" i="5"/>
  <c r="G1253" i="5"/>
  <c r="G1209" i="5"/>
  <c r="C1194" i="5"/>
  <c r="E1161" i="5"/>
  <c r="C1141" i="5"/>
  <c r="F1141" i="5"/>
  <c r="G1141" i="5"/>
  <c r="C1135" i="5"/>
  <c r="E1135" i="5"/>
  <c r="D1068" i="5"/>
  <c r="E1068" i="5"/>
  <c r="F1068" i="5"/>
  <c r="G1068" i="5"/>
  <c r="C1068" i="5"/>
  <c r="C1061" i="5"/>
  <c r="D1061" i="5"/>
  <c r="E1061" i="5"/>
  <c r="F1061" i="5"/>
  <c r="G1061" i="5"/>
  <c r="G1039" i="5"/>
  <c r="C1039" i="5"/>
  <c r="D1039" i="5"/>
  <c r="E1039" i="5"/>
  <c r="F1039" i="5"/>
  <c r="D1334" i="5"/>
  <c r="D1321" i="5"/>
  <c r="D1319" i="5"/>
  <c r="D1308" i="5"/>
  <c r="C1308" i="5"/>
  <c r="D1280" i="5"/>
  <c r="D1260" i="5"/>
  <c r="C1260" i="5"/>
  <c r="D1232" i="5"/>
  <c r="D1212" i="5"/>
  <c r="C1212" i="5"/>
  <c r="F1209" i="5"/>
  <c r="F1198" i="5"/>
  <c r="C1198" i="5"/>
  <c r="D1198" i="5"/>
  <c r="E1198" i="5"/>
  <c r="E1184" i="5"/>
  <c r="F1184" i="5"/>
  <c r="G1184" i="5"/>
  <c r="G1179" i="5"/>
  <c r="D1179" i="5"/>
  <c r="E1179" i="5"/>
  <c r="F1179" i="5"/>
  <c r="F1177" i="5"/>
  <c r="G1177" i="5"/>
  <c r="G1171" i="5"/>
  <c r="E1169" i="5"/>
  <c r="C1169" i="5"/>
  <c r="D1169" i="5"/>
  <c r="D1164" i="5"/>
  <c r="C1164" i="5"/>
  <c r="D1161" i="5"/>
  <c r="G1143" i="5"/>
  <c r="D1143" i="5"/>
  <c r="E1143" i="5"/>
  <c r="F1143" i="5"/>
  <c r="F1114" i="5"/>
  <c r="G1114" i="5"/>
  <c r="C1114" i="5"/>
  <c r="D1114" i="5"/>
  <c r="E1114" i="5"/>
  <c r="E1073" i="5"/>
  <c r="F1073" i="5"/>
  <c r="G1073" i="5"/>
  <c r="C1073" i="5"/>
  <c r="D1073" i="5"/>
  <c r="F1060" i="5"/>
  <c r="G1060" i="5"/>
  <c r="E1060" i="5"/>
  <c r="C1060" i="5"/>
  <c r="D1060" i="5"/>
  <c r="E993" i="5"/>
  <c r="F993" i="5"/>
  <c r="G993" i="5"/>
  <c r="C993" i="5"/>
  <c r="D993" i="5"/>
  <c r="C967" i="5"/>
  <c r="D967" i="5"/>
  <c r="E967" i="5"/>
  <c r="F967" i="5"/>
  <c r="G967" i="5"/>
  <c r="C1321" i="5"/>
  <c r="E1301" i="5"/>
  <c r="C1301" i="5"/>
  <c r="D1301" i="5"/>
  <c r="C1280" i="5"/>
  <c r="E1253" i="5"/>
  <c r="C1253" i="5"/>
  <c r="D1253" i="5"/>
  <c r="C1232" i="5"/>
  <c r="E1205" i="5"/>
  <c r="C1205" i="5"/>
  <c r="D1205" i="5"/>
  <c r="G1176" i="5"/>
  <c r="F1171" i="5"/>
  <c r="G1168" i="5"/>
  <c r="G1163" i="5"/>
  <c r="C1161" i="5"/>
  <c r="E1153" i="5"/>
  <c r="E1134" i="5"/>
  <c r="C1123" i="5"/>
  <c r="D1123" i="5"/>
  <c r="E1123" i="5"/>
  <c r="F1123" i="5"/>
  <c r="F1102" i="5"/>
  <c r="G1102" i="5"/>
  <c r="C1102" i="5"/>
  <c r="D1102" i="5"/>
  <c r="E1102" i="5"/>
  <c r="F1090" i="5"/>
  <c r="G1090" i="5"/>
  <c r="C1090" i="5"/>
  <c r="D1090" i="5"/>
  <c r="E1090" i="5"/>
  <c r="C1072" i="5"/>
  <c r="D1072" i="5"/>
  <c r="E1072" i="5"/>
  <c r="F1072" i="5"/>
  <c r="G1072" i="5"/>
  <c r="E1005" i="5"/>
  <c r="F1005" i="5"/>
  <c r="G1005" i="5"/>
  <c r="C1005" i="5"/>
  <c r="D1005" i="5"/>
  <c r="G1136" i="5"/>
  <c r="G1124" i="5"/>
  <c r="G1112" i="5"/>
  <c r="G1100" i="5"/>
  <c r="G1088" i="5"/>
  <c r="E1078" i="5"/>
  <c r="G1076" i="5"/>
  <c r="E1066" i="5"/>
  <c r="F1064" i="5"/>
  <c r="E1056" i="5"/>
  <c r="D1054" i="5"/>
  <c r="D1049" i="5"/>
  <c r="E1044" i="5"/>
  <c r="D1042" i="5"/>
  <c r="G1034" i="5"/>
  <c r="C1027" i="5"/>
  <c r="G1023" i="5"/>
  <c r="E1003" i="5"/>
  <c r="C990" i="5"/>
  <c r="D990" i="5"/>
  <c r="E990" i="5"/>
  <c r="G990" i="5"/>
  <c r="F973" i="5"/>
  <c r="E973" i="5"/>
  <c r="G973" i="5"/>
  <c r="D973" i="5"/>
  <c r="D951" i="5"/>
  <c r="E951" i="5"/>
  <c r="F951" i="5"/>
  <c r="G951" i="5"/>
  <c r="C951" i="5"/>
  <c r="E944" i="5"/>
  <c r="C944" i="5"/>
  <c r="D944" i="5"/>
  <c r="F944" i="5"/>
  <c r="D933" i="5"/>
  <c r="E933" i="5"/>
  <c r="F933" i="5"/>
  <c r="G933" i="5"/>
  <c r="D927" i="5"/>
  <c r="E927" i="5"/>
  <c r="C927" i="5"/>
  <c r="F927" i="5"/>
  <c r="G927" i="5"/>
  <c r="F903" i="5"/>
  <c r="D903" i="5"/>
  <c r="E903" i="5"/>
  <c r="C903" i="5"/>
  <c r="G903" i="5"/>
  <c r="E899" i="5"/>
  <c r="F899" i="5"/>
  <c r="G899" i="5"/>
  <c r="C899" i="5"/>
  <c r="D899" i="5"/>
  <c r="F1136" i="5"/>
  <c r="F1124" i="5"/>
  <c r="F1112" i="5"/>
  <c r="F1100" i="5"/>
  <c r="F1088" i="5"/>
  <c r="D1078" i="5"/>
  <c r="F1076" i="5"/>
  <c r="D1066" i="5"/>
  <c r="E1064" i="5"/>
  <c r="D1056" i="5"/>
  <c r="D1044" i="5"/>
  <c r="E1034" i="5"/>
  <c r="E1023" i="5"/>
  <c r="G1020" i="5"/>
  <c r="E1018" i="5"/>
  <c r="C1018" i="5"/>
  <c r="G1011" i="5"/>
  <c r="D1003" i="5"/>
  <c r="G999" i="5"/>
  <c r="G989" i="5"/>
  <c r="C983" i="5"/>
  <c r="D983" i="5"/>
  <c r="E983" i="5"/>
  <c r="F983" i="5"/>
  <c r="C977" i="5"/>
  <c r="D977" i="5"/>
  <c r="E977" i="5"/>
  <c r="C969" i="5"/>
  <c r="D969" i="5"/>
  <c r="E969" i="5"/>
  <c r="G969" i="5"/>
  <c r="D964" i="5"/>
  <c r="E964" i="5"/>
  <c r="F964" i="5"/>
  <c r="C964" i="5"/>
  <c r="C957" i="5"/>
  <c r="D957" i="5"/>
  <c r="E957" i="5"/>
  <c r="C911" i="5"/>
  <c r="D911" i="5"/>
  <c r="E911" i="5"/>
  <c r="F911" i="5"/>
  <c r="G911" i="5"/>
  <c r="E1124" i="5"/>
  <c r="E1112" i="5"/>
  <c r="E1100" i="5"/>
  <c r="G1098" i="5"/>
  <c r="E1088" i="5"/>
  <c r="G1086" i="5"/>
  <c r="C1078" i="5"/>
  <c r="E1076" i="5"/>
  <c r="G1074" i="5"/>
  <c r="C1066" i="5"/>
  <c r="D1064" i="5"/>
  <c r="C1056" i="5"/>
  <c r="C1044" i="5"/>
  <c r="D1034" i="5"/>
  <c r="F1020" i="5"/>
  <c r="E1011" i="5"/>
  <c r="E1006" i="5"/>
  <c r="C1006" i="5"/>
  <c r="C1003" i="5"/>
  <c r="F989" i="5"/>
  <c r="F986" i="5"/>
  <c r="G986" i="5"/>
  <c r="G947" i="5"/>
  <c r="C947" i="5"/>
  <c r="D947" i="5"/>
  <c r="F947" i="5"/>
  <c r="C943" i="5"/>
  <c r="D943" i="5"/>
  <c r="E943" i="5"/>
  <c r="F943" i="5"/>
  <c r="E932" i="5"/>
  <c r="F932" i="5"/>
  <c r="C932" i="5"/>
  <c r="D932" i="5"/>
  <c r="G932" i="5"/>
  <c r="E910" i="5"/>
  <c r="C910" i="5"/>
  <c r="D910" i="5"/>
  <c r="F910" i="5"/>
  <c r="G910" i="5"/>
  <c r="G1067" i="5"/>
  <c r="E1048" i="5"/>
  <c r="E1036" i="5"/>
  <c r="C1034" i="5"/>
  <c r="C1026" i="5"/>
  <c r="D1026" i="5"/>
  <c r="E1026" i="5"/>
  <c r="G1026" i="5"/>
  <c r="F1023" i="5"/>
  <c r="D1023" i="5"/>
  <c r="E1020" i="5"/>
  <c r="E999" i="5"/>
  <c r="F999" i="5"/>
  <c r="D999" i="5"/>
  <c r="G982" i="5"/>
  <c r="E956" i="5"/>
  <c r="C956" i="5"/>
  <c r="D956" i="5"/>
  <c r="F956" i="5"/>
  <c r="G909" i="5"/>
  <c r="C909" i="5"/>
  <c r="D909" i="5"/>
  <c r="E909" i="5"/>
  <c r="F909" i="5"/>
  <c r="G906" i="5"/>
  <c r="C906" i="5"/>
  <c r="D906" i="5"/>
  <c r="E906" i="5"/>
  <c r="F906" i="5"/>
  <c r="E866" i="5"/>
  <c r="C866" i="5"/>
  <c r="G866" i="5"/>
  <c r="D866" i="5"/>
  <c r="F866" i="5"/>
  <c r="F1115" i="5"/>
  <c r="F1103" i="5"/>
  <c r="E1098" i="5"/>
  <c r="F1091" i="5"/>
  <c r="E1086" i="5"/>
  <c r="F1079" i="5"/>
  <c r="E1074" i="5"/>
  <c r="F1067" i="5"/>
  <c r="E1022" i="5"/>
  <c r="C1014" i="5"/>
  <c r="D1014" i="5"/>
  <c r="E1014" i="5"/>
  <c r="G1014" i="5"/>
  <c r="F1011" i="5"/>
  <c r="D1011" i="5"/>
  <c r="E998" i="5"/>
  <c r="C989" i="5"/>
  <c r="D989" i="5"/>
  <c r="E968" i="5"/>
  <c r="C968" i="5"/>
  <c r="D968" i="5"/>
  <c r="D963" i="5"/>
  <c r="E963" i="5"/>
  <c r="F963" i="5"/>
  <c r="G963" i="5"/>
  <c r="G942" i="5"/>
  <c r="C942" i="5"/>
  <c r="D942" i="5"/>
  <c r="E942" i="5"/>
  <c r="F942" i="5"/>
  <c r="D931" i="5"/>
  <c r="E931" i="5"/>
  <c r="F931" i="5"/>
  <c r="G931" i="5"/>
  <c r="F925" i="5"/>
  <c r="G925" i="5"/>
  <c r="C925" i="5"/>
  <c r="D925" i="5"/>
  <c r="E925" i="5"/>
  <c r="F901" i="5"/>
  <c r="G901" i="5"/>
  <c r="C901" i="5"/>
  <c r="D901" i="5"/>
  <c r="E901" i="5"/>
  <c r="E889" i="5"/>
  <c r="F889" i="5"/>
  <c r="G889" i="5"/>
  <c r="C889" i="5"/>
  <c r="D889" i="5"/>
  <c r="E1127" i="5"/>
  <c r="G1125" i="5"/>
  <c r="E1115" i="5"/>
  <c r="G1113" i="5"/>
  <c r="E1103" i="5"/>
  <c r="G1101" i="5"/>
  <c r="D1098" i="5"/>
  <c r="E1091" i="5"/>
  <c r="G1089" i="5"/>
  <c r="D1086" i="5"/>
  <c r="G1077" i="5"/>
  <c r="D1074" i="5"/>
  <c r="G1055" i="5"/>
  <c r="D1048" i="5"/>
  <c r="F1048" i="5"/>
  <c r="G1048" i="5"/>
  <c r="G1043" i="5"/>
  <c r="D1036" i="5"/>
  <c r="F1036" i="5"/>
  <c r="G1036" i="5"/>
  <c r="F1025" i="5"/>
  <c r="D1022" i="5"/>
  <c r="E1017" i="5"/>
  <c r="F1017" i="5"/>
  <c r="G1017" i="5"/>
  <c r="C1002" i="5"/>
  <c r="D1002" i="5"/>
  <c r="E1002" i="5"/>
  <c r="G1002" i="5"/>
  <c r="D998" i="5"/>
  <c r="F992" i="5"/>
  <c r="G992" i="5"/>
  <c r="C992" i="5"/>
  <c r="E992" i="5"/>
  <c r="G985" i="5"/>
  <c r="C985" i="5"/>
  <c r="D985" i="5"/>
  <c r="F985" i="5"/>
  <c r="D982" i="5"/>
  <c r="E982" i="5"/>
  <c r="C982" i="5"/>
  <c r="F979" i="5"/>
  <c r="D975" i="5"/>
  <c r="E975" i="5"/>
  <c r="F975" i="5"/>
  <c r="G975" i="5"/>
  <c r="C975" i="5"/>
  <c r="C955" i="5"/>
  <c r="D955" i="5"/>
  <c r="E955" i="5"/>
  <c r="F955" i="5"/>
  <c r="C941" i="5"/>
  <c r="D941" i="5"/>
  <c r="E941" i="5"/>
  <c r="F941" i="5"/>
  <c r="G941" i="5"/>
  <c r="E922" i="5"/>
  <c r="C922" i="5"/>
  <c r="D922" i="5"/>
  <c r="F922" i="5"/>
  <c r="G922" i="5"/>
  <c r="G918" i="5"/>
  <c r="C918" i="5"/>
  <c r="D918" i="5"/>
  <c r="E918" i="5"/>
  <c r="F918" i="5"/>
  <c r="F1125" i="5"/>
  <c r="F1113" i="5"/>
  <c r="F1101" i="5"/>
  <c r="F1089" i="5"/>
  <c r="F1077" i="5"/>
  <c r="E1025" i="5"/>
  <c r="F1013" i="5"/>
  <c r="F991" i="5"/>
  <c r="F959" i="5"/>
  <c r="G896" i="5"/>
  <c r="E896" i="5"/>
  <c r="F896" i="5"/>
  <c r="C896" i="5"/>
  <c r="D896" i="5"/>
  <c r="G892" i="5"/>
  <c r="C892" i="5"/>
  <c r="D892" i="5"/>
  <c r="E892" i="5"/>
  <c r="F892" i="5"/>
  <c r="G884" i="5"/>
  <c r="C884" i="5"/>
  <c r="D884" i="5"/>
  <c r="E884" i="5"/>
  <c r="F884" i="5"/>
  <c r="C1055" i="5"/>
  <c r="E1055" i="5"/>
  <c r="F1055" i="5"/>
  <c r="C1043" i="5"/>
  <c r="E1043" i="5"/>
  <c r="F1043" i="5"/>
  <c r="F1022" i="5"/>
  <c r="G1022" i="5"/>
  <c r="F998" i="5"/>
  <c r="G998" i="5"/>
  <c r="E991" i="5"/>
  <c r="G971" i="5"/>
  <c r="C971" i="5"/>
  <c r="D971" i="5"/>
  <c r="F971" i="5"/>
  <c r="E962" i="5"/>
  <c r="F962" i="5"/>
  <c r="G962" i="5"/>
  <c r="D962" i="5"/>
  <c r="F949" i="5"/>
  <c r="E949" i="5"/>
  <c r="G949" i="5"/>
  <c r="D949" i="5"/>
  <c r="C940" i="5"/>
  <c r="D940" i="5"/>
  <c r="E940" i="5"/>
  <c r="F940" i="5"/>
  <c r="D1125" i="5"/>
  <c r="D1113" i="5"/>
  <c r="D1101" i="5"/>
  <c r="D1089" i="5"/>
  <c r="D1077" i="5"/>
  <c r="C1057" i="5"/>
  <c r="D1057" i="5"/>
  <c r="D1050" i="5"/>
  <c r="E1050" i="5"/>
  <c r="G1050" i="5"/>
  <c r="C1045" i="5"/>
  <c r="D1045" i="5"/>
  <c r="F1045" i="5"/>
  <c r="D1038" i="5"/>
  <c r="E1038" i="5"/>
  <c r="G1038" i="5"/>
  <c r="C1033" i="5"/>
  <c r="D1033" i="5"/>
  <c r="F1033" i="5"/>
  <c r="G1028" i="5"/>
  <c r="C1028" i="5"/>
  <c r="E1028" i="5"/>
  <c r="C1013" i="5"/>
  <c r="F1010" i="5"/>
  <c r="G1010" i="5"/>
  <c r="F1004" i="5"/>
  <c r="G994" i="5"/>
  <c r="D991" i="5"/>
  <c r="G987" i="5"/>
  <c r="C979" i="5"/>
  <c r="G979" i="5"/>
  <c r="C959" i="5"/>
  <c r="D959" i="5"/>
  <c r="G959" i="5"/>
  <c r="D953" i="5"/>
  <c r="E953" i="5"/>
  <c r="F953" i="5"/>
  <c r="G953" i="5"/>
  <c r="C953" i="5"/>
  <c r="D939" i="5"/>
  <c r="E939" i="5"/>
  <c r="C939" i="5"/>
  <c r="F939" i="5"/>
  <c r="G939" i="5"/>
  <c r="D935" i="5"/>
  <c r="E935" i="5"/>
  <c r="F935" i="5"/>
  <c r="G935" i="5"/>
  <c r="G1016" i="5"/>
  <c r="C1016" i="5"/>
  <c r="E1016" i="5"/>
  <c r="C1001" i="5"/>
  <c r="D1001" i="5"/>
  <c r="C991" i="5"/>
  <c r="E981" i="5"/>
  <c r="F981" i="5"/>
  <c r="G981" i="5"/>
  <c r="E974" i="5"/>
  <c r="F974" i="5"/>
  <c r="G974" i="5"/>
  <c r="G966" i="5"/>
  <c r="C966" i="5"/>
  <c r="D966" i="5"/>
  <c r="E966" i="5"/>
  <c r="C929" i="5"/>
  <c r="E929" i="5"/>
  <c r="F929" i="5"/>
  <c r="G929" i="5"/>
  <c r="G920" i="5"/>
  <c r="E920" i="5"/>
  <c r="F920" i="5"/>
  <c r="C920" i="5"/>
  <c r="D920" i="5"/>
  <c r="C916" i="5"/>
  <c r="D916" i="5"/>
  <c r="E916" i="5"/>
  <c r="F916" i="5"/>
  <c r="F859" i="5"/>
  <c r="C859" i="5"/>
  <c r="D859" i="5"/>
  <c r="E859" i="5"/>
  <c r="G859" i="5"/>
  <c r="G1078" i="5"/>
  <c r="D1024" i="5"/>
  <c r="E1024" i="5"/>
  <c r="F1024" i="5"/>
  <c r="G1024" i="5"/>
  <c r="G1004" i="5"/>
  <c r="C1004" i="5"/>
  <c r="E1004" i="5"/>
  <c r="G997" i="5"/>
  <c r="C997" i="5"/>
  <c r="D997" i="5"/>
  <c r="F997" i="5"/>
  <c r="D994" i="5"/>
  <c r="E994" i="5"/>
  <c r="C994" i="5"/>
  <c r="E987" i="5"/>
  <c r="F987" i="5"/>
  <c r="D987" i="5"/>
  <c r="C978" i="5"/>
  <c r="D978" i="5"/>
  <c r="E978" i="5"/>
  <c r="G978" i="5"/>
  <c r="C958" i="5"/>
  <c r="D958" i="5"/>
  <c r="E958" i="5"/>
  <c r="G958" i="5"/>
  <c r="D952" i="5"/>
  <c r="E952" i="5"/>
  <c r="F952" i="5"/>
  <c r="G952" i="5"/>
  <c r="C945" i="5"/>
  <c r="D945" i="5"/>
  <c r="E945" i="5"/>
  <c r="G945" i="5"/>
  <c r="C938" i="5"/>
  <c r="D938" i="5"/>
  <c r="E938" i="5"/>
  <c r="F938" i="5"/>
  <c r="C934" i="5"/>
  <c r="D934" i="5"/>
  <c r="E934" i="5"/>
  <c r="F934" i="5"/>
  <c r="G934" i="5"/>
  <c r="F915" i="5"/>
  <c r="D915" i="5"/>
  <c r="E915" i="5"/>
  <c r="C915" i="5"/>
  <c r="G915" i="5"/>
  <c r="C877" i="5"/>
  <c r="D877" i="5"/>
  <c r="E877" i="5"/>
  <c r="F877" i="5"/>
  <c r="G877" i="5"/>
  <c r="G1064" i="5"/>
  <c r="C1052" i="5"/>
  <c r="E1052" i="5"/>
  <c r="C1040" i="5"/>
  <c r="E1040" i="5"/>
  <c r="E1030" i="5"/>
  <c r="C1030" i="5"/>
  <c r="F1003" i="5"/>
  <c r="D1000" i="5"/>
  <c r="E1000" i="5"/>
  <c r="F1000" i="5"/>
  <c r="G1000" i="5"/>
  <c r="C970" i="5"/>
  <c r="D970" i="5"/>
  <c r="D965" i="5"/>
  <c r="E965" i="5"/>
  <c r="F965" i="5"/>
  <c r="G965" i="5"/>
  <c r="F937" i="5"/>
  <c r="G937" i="5"/>
  <c r="C937" i="5"/>
  <c r="D937" i="5"/>
  <c r="E937" i="5"/>
  <c r="F1021" i="5"/>
  <c r="F1009" i="5"/>
  <c r="C930" i="5"/>
  <c r="C928" i="5"/>
  <c r="C926" i="5"/>
  <c r="E913" i="5"/>
  <c r="C897" i="5"/>
  <c r="E885" i="5"/>
  <c r="D850" i="5"/>
  <c r="E850" i="5"/>
  <c r="F850" i="5"/>
  <c r="C850" i="5"/>
  <c r="C844" i="5"/>
  <c r="E844" i="5"/>
  <c r="F844" i="5"/>
  <c r="G844" i="5"/>
  <c r="D844" i="5"/>
  <c r="D885" i="5"/>
  <c r="D882" i="5"/>
  <c r="F879" i="5"/>
  <c r="G879" i="5"/>
  <c r="C879" i="5"/>
  <c r="D879" i="5"/>
  <c r="E879" i="5"/>
  <c r="D873" i="5"/>
  <c r="G873" i="5"/>
  <c r="C855" i="5"/>
  <c r="F855" i="5"/>
  <c r="G855" i="5"/>
  <c r="F847" i="5"/>
  <c r="E847" i="5"/>
  <c r="G847" i="5"/>
  <c r="C819" i="5"/>
  <c r="D819" i="5"/>
  <c r="E819" i="5"/>
  <c r="F819" i="5"/>
  <c r="G819" i="5"/>
  <c r="D1021" i="5"/>
  <c r="D1009" i="5"/>
  <c r="G921" i="5"/>
  <c r="G917" i="5"/>
  <c r="D905" i="5"/>
  <c r="C905" i="5"/>
  <c r="G902" i="5"/>
  <c r="F894" i="5"/>
  <c r="F887" i="5"/>
  <c r="C885" i="5"/>
  <c r="G878" i="5"/>
  <c r="F865" i="5"/>
  <c r="G865" i="5"/>
  <c r="C865" i="5"/>
  <c r="D865" i="5"/>
  <c r="E865" i="5"/>
  <c r="D849" i="5"/>
  <c r="F849" i="5"/>
  <c r="E849" i="5"/>
  <c r="G849" i="5"/>
  <c r="C818" i="5"/>
  <c r="E818" i="5"/>
  <c r="F818" i="5"/>
  <c r="G818" i="5"/>
  <c r="D818" i="5"/>
  <c r="C807" i="5"/>
  <c r="D807" i="5"/>
  <c r="E807" i="5"/>
  <c r="F807" i="5"/>
  <c r="G807" i="5"/>
  <c r="G950" i="5"/>
  <c r="G923" i="5"/>
  <c r="F921" i="5"/>
  <c r="F913" i="5"/>
  <c r="G913" i="5"/>
  <c r="G904" i="5"/>
  <c r="F902" i="5"/>
  <c r="E894" i="5"/>
  <c r="E887" i="5"/>
  <c r="E882" i="5"/>
  <c r="F882" i="5"/>
  <c r="G882" i="5"/>
  <c r="F878" i="5"/>
  <c r="G872" i="5"/>
  <c r="C872" i="5"/>
  <c r="D872" i="5"/>
  <c r="E872" i="5"/>
  <c r="F872" i="5"/>
  <c r="D869" i="5"/>
  <c r="E869" i="5"/>
  <c r="C869" i="5"/>
  <c r="F864" i="5"/>
  <c r="D861" i="5"/>
  <c r="C861" i="5"/>
  <c r="E861" i="5"/>
  <c r="F861" i="5"/>
  <c r="G861" i="5"/>
  <c r="E854" i="5"/>
  <c r="G854" i="5"/>
  <c r="D854" i="5"/>
  <c r="F854" i="5"/>
  <c r="C854" i="5"/>
  <c r="C783" i="5"/>
  <c r="E783" i="5"/>
  <c r="F783" i="5"/>
  <c r="D783" i="5"/>
  <c r="G783" i="5"/>
  <c r="G972" i="5"/>
  <c r="G961" i="5"/>
  <c r="F950" i="5"/>
  <c r="G948" i="5"/>
  <c r="F923" i="5"/>
  <c r="E921" i="5"/>
  <c r="F904" i="5"/>
  <c r="E902" i="5"/>
  <c r="G898" i="5"/>
  <c r="D894" i="5"/>
  <c r="D887" i="5"/>
  <c r="D878" i="5"/>
  <c r="D875" i="5"/>
  <c r="E868" i="5"/>
  <c r="E864" i="5"/>
  <c r="E853" i="5"/>
  <c r="E961" i="5"/>
  <c r="D917" i="5"/>
  <c r="C917" i="5"/>
  <c r="G914" i="5"/>
  <c r="C894" i="5"/>
  <c r="C887" i="5"/>
  <c r="C878" i="5"/>
  <c r="E842" i="5"/>
  <c r="G842" i="5"/>
  <c r="D842" i="5"/>
  <c r="F842" i="5"/>
  <c r="C842" i="5"/>
  <c r="E898" i="5"/>
  <c r="C898" i="5"/>
  <c r="D898" i="5"/>
  <c r="F891" i="5"/>
  <c r="G891" i="5"/>
  <c r="C891" i="5"/>
  <c r="D891" i="5"/>
  <c r="E891" i="5"/>
  <c r="E875" i="5"/>
  <c r="F875" i="5"/>
  <c r="G875" i="5"/>
  <c r="C868" i="5"/>
  <c r="F868" i="5"/>
  <c r="G868" i="5"/>
  <c r="G864" i="5"/>
  <c r="D864" i="5"/>
  <c r="D857" i="5"/>
  <c r="C853" i="5"/>
  <c r="F853" i="5"/>
  <c r="G853" i="5"/>
  <c r="D837" i="5"/>
  <c r="E837" i="5"/>
  <c r="F837" i="5"/>
  <c r="C837" i="5"/>
  <c r="G837" i="5"/>
  <c r="C833" i="5"/>
  <c r="D833" i="5"/>
  <c r="E833" i="5"/>
  <c r="F833" i="5"/>
  <c r="G833" i="5"/>
  <c r="D881" i="5"/>
  <c r="E881" i="5"/>
  <c r="C881" i="5"/>
  <c r="G852" i="5"/>
  <c r="D852" i="5"/>
  <c r="E852" i="5"/>
  <c r="F852" i="5"/>
  <c r="C852" i="5"/>
  <c r="G928" i="5"/>
  <c r="G926" i="5"/>
  <c r="D914" i="5"/>
  <c r="G908" i="5"/>
  <c r="E908" i="5"/>
  <c r="F908" i="5"/>
  <c r="E857" i="5"/>
  <c r="F857" i="5"/>
  <c r="G857" i="5"/>
  <c r="C771" i="5"/>
  <c r="E771" i="5"/>
  <c r="F771" i="5"/>
  <c r="D771" i="5"/>
  <c r="G771" i="5"/>
  <c r="F930" i="5"/>
  <c r="F928" i="5"/>
  <c r="F926" i="5"/>
  <c r="F897" i="5"/>
  <c r="E886" i="5"/>
  <c r="F886" i="5"/>
  <c r="C886" i="5"/>
  <c r="D886" i="5"/>
  <c r="E880" i="5"/>
  <c r="G840" i="5"/>
  <c r="D840" i="5"/>
  <c r="E840" i="5"/>
  <c r="F840" i="5"/>
  <c r="C840" i="5"/>
  <c r="C795" i="5"/>
  <c r="E795" i="5"/>
  <c r="F795" i="5"/>
  <c r="D795" i="5"/>
  <c r="G795" i="5"/>
  <c r="E930" i="5"/>
  <c r="E928" i="5"/>
  <c r="E926" i="5"/>
  <c r="E897" i="5"/>
  <c r="D893" i="5"/>
  <c r="E893" i="5"/>
  <c r="C893" i="5"/>
  <c r="G885" i="5"/>
  <c r="F873" i="5"/>
  <c r="C856" i="5"/>
  <c r="E856" i="5"/>
  <c r="F856" i="5"/>
  <c r="D856" i="5"/>
  <c r="C826" i="5"/>
  <c r="D826" i="5"/>
  <c r="E826" i="5"/>
  <c r="F826" i="5"/>
  <c r="G826" i="5"/>
  <c r="E816" i="5"/>
  <c r="G816" i="5"/>
  <c r="D816" i="5"/>
  <c r="F816" i="5"/>
  <c r="C816" i="5"/>
  <c r="D930" i="5"/>
  <c r="C880" i="5"/>
  <c r="G880" i="5"/>
  <c r="E873" i="5"/>
  <c r="D870" i="5"/>
  <c r="E870" i="5"/>
  <c r="F870" i="5"/>
  <c r="G870" i="5"/>
  <c r="E855" i="5"/>
  <c r="G850" i="5"/>
  <c r="D847" i="5"/>
  <c r="C839" i="5"/>
  <c r="D839" i="5"/>
  <c r="F839" i="5"/>
  <c r="G839" i="5"/>
  <c r="F835" i="5"/>
  <c r="G835" i="5"/>
  <c r="C835" i="5"/>
  <c r="D835" i="5"/>
  <c r="E835" i="5"/>
  <c r="G831" i="5"/>
  <c r="C831" i="5"/>
  <c r="D831" i="5"/>
  <c r="E831" i="5"/>
  <c r="F831" i="5"/>
  <c r="D874" i="5"/>
  <c r="D867" i="5"/>
  <c r="F863" i="5"/>
  <c r="E829" i="5"/>
  <c r="C804" i="5"/>
  <c r="E804" i="5"/>
  <c r="G804" i="5"/>
  <c r="F800" i="5"/>
  <c r="C792" i="5"/>
  <c r="E792" i="5"/>
  <c r="G792" i="5"/>
  <c r="D788" i="5"/>
  <c r="F788" i="5"/>
  <c r="G788" i="5"/>
  <c r="D775" i="5"/>
  <c r="F775" i="5"/>
  <c r="G775" i="5"/>
  <c r="C755" i="5"/>
  <c r="E755" i="5"/>
  <c r="F755" i="5"/>
  <c r="D694" i="5"/>
  <c r="F694" i="5"/>
  <c r="G694" i="5"/>
  <c r="C694" i="5"/>
  <c r="E694" i="5"/>
  <c r="C666" i="5"/>
  <c r="D666" i="5"/>
  <c r="E666" i="5"/>
  <c r="F666" i="5"/>
  <c r="G666" i="5"/>
  <c r="C874" i="5"/>
  <c r="C867" i="5"/>
  <c r="E863" i="5"/>
  <c r="D829" i="5"/>
  <c r="C827" i="5"/>
  <c r="D827" i="5"/>
  <c r="G824" i="5"/>
  <c r="G822" i="5"/>
  <c r="G820" i="5"/>
  <c r="G813" i="5"/>
  <c r="D811" i="5"/>
  <c r="F811" i="5"/>
  <c r="G811" i="5"/>
  <c r="C806" i="5"/>
  <c r="E806" i="5"/>
  <c r="F806" i="5"/>
  <c r="G806" i="5"/>
  <c r="E800" i="5"/>
  <c r="C794" i="5"/>
  <c r="E794" i="5"/>
  <c r="F794" i="5"/>
  <c r="G794" i="5"/>
  <c r="F791" i="5"/>
  <c r="G784" i="5"/>
  <c r="G774" i="5"/>
  <c r="D765" i="5"/>
  <c r="E765" i="5"/>
  <c r="F765" i="5"/>
  <c r="G743" i="5"/>
  <c r="D743" i="5"/>
  <c r="E743" i="5"/>
  <c r="F743" i="5"/>
  <c r="D730" i="5"/>
  <c r="E730" i="5"/>
  <c r="F730" i="5"/>
  <c r="G730" i="5"/>
  <c r="G702" i="5"/>
  <c r="D702" i="5"/>
  <c r="E702" i="5"/>
  <c r="F702" i="5"/>
  <c r="C665" i="5"/>
  <c r="E665" i="5"/>
  <c r="F665" i="5"/>
  <c r="D665" i="5"/>
  <c r="G665" i="5"/>
  <c r="C829" i="5"/>
  <c r="F824" i="5"/>
  <c r="F822" i="5"/>
  <c r="G808" i="5"/>
  <c r="F803" i="5"/>
  <c r="C797" i="5"/>
  <c r="D797" i="5"/>
  <c r="F797" i="5"/>
  <c r="E787" i="5"/>
  <c r="D778" i="5"/>
  <c r="E778" i="5"/>
  <c r="G778" i="5"/>
  <c r="E774" i="5"/>
  <c r="F762" i="5"/>
  <c r="C762" i="5"/>
  <c r="C758" i="5"/>
  <c r="D758" i="5"/>
  <c r="E758" i="5"/>
  <c r="D742" i="5"/>
  <c r="C742" i="5"/>
  <c r="E742" i="5"/>
  <c r="F742" i="5"/>
  <c r="G742" i="5"/>
  <c r="C701" i="5"/>
  <c r="E701" i="5"/>
  <c r="D701" i="5"/>
  <c r="F701" i="5"/>
  <c r="G701" i="5"/>
  <c r="C653" i="5"/>
  <c r="D653" i="5"/>
  <c r="E653" i="5"/>
  <c r="F653" i="5"/>
  <c r="G653" i="5"/>
  <c r="C863" i="5"/>
  <c r="G851" i="5"/>
  <c r="G845" i="5"/>
  <c r="G843" i="5"/>
  <c r="G841" i="5"/>
  <c r="E824" i="5"/>
  <c r="E822" i="5"/>
  <c r="C820" i="5"/>
  <c r="D820" i="5"/>
  <c r="E820" i="5"/>
  <c r="G815" i="5"/>
  <c r="D813" i="5"/>
  <c r="E813" i="5"/>
  <c r="F813" i="5"/>
  <c r="G810" i="5"/>
  <c r="D800" i="5"/>
  <c r="G800" i="5"/>
  <c r="G791" i="5"/>
  <c r="C791" i="5"/>
  <c r="D791" i="5"/>
  <c r="C784" i="5"/>
  <c r="D784" i="5"/>
  <c r="E784" i="5"/>
  <c r="G777" i="5"/>
  <c r="G761" i="5"/>
  <c r="D754" i="5"/>
  <c r="E754" i="5"/>
  <c r="F754" i="5"/>
  <c r="G754" i="5"/>
  <c r="E723" i="5"/>
  <c r="F723" i="5"/>
  <c r="C723" i="5"/>
  <c r="D723" i="5"/>
  <c r="F710" i="5"/>
  <c r="C710" i="5"/>
  <c r="D710" i="5"/>
  <c r="E710" i="5"/>
  <c r="F851" i="5"/>
  <c r="F845" i="5"/>
  <c r="F843" i="5"/>
  <c r="F841" i="5"/>
  <c r="F828" i="5"/>
  <c r="D824" i="5"/>
  <c r="D822" i="5"/>
  <c r="F815" i="5"/>
  <c r="F810" i="5"/>
  <c r="C808" i="5"/>
  <c r="D808" i="5"/>
  <c r="E808" i="5"/>
  <c r="G803" i="5"/>
  <c r="C803" i="5"/>
  <c r="D803" i="5"/>
  <c r="D787" i="5"/>
  <c r="F787" i="5"/>
  <c r="G787" i="5"/>
  <c r="F774" i="5"/>
  <c r="C774" i="5"/>
  <c r="C768" i="5"/>
  <c r="E768" i="5"/>
  <c r="G768" i="5"/>
  <c r="D764" i="5"/>
  <c r="F764" i="5"/>
  <c r="G764" i="5"/>
  <c r="F757" i="5"/>
  <c r="F734" i="5"/>
  <c r="C734" i="5"/>
  <c r="D734" i="5"/>
  <c r="E734" i="5"/>
  <c r="C722" i="5"/>
  <c r="D722" i="5"/>
  <c r="E722" i="5"/>
  <c r="F722" i="5"/>
  <c r="G722" i="5"/>
  <c r="D714" i="5"/>
  <c r="F714" i="5"/>
  <c r="G714" i="5"/>
  <c r="C714" i="5"/>
  <c r="F704" i="5"/>
  <c r="G704" i="5"/>
  <c r="C704" i="5"/>
  <c r="D704" i="5"/>
  <c r="E704" i="5"/>
  <c r="G700" i="5"/>
  <c r="D700" i="5"/>
  <c r="E700" i="5"/>
  <c r="F700" i="5"/>
  <c r="E828" i="5"/>
  <c r="F802" i="5"/>
  <c r="G786" i="5"/>
  <c r="D777" i="5"/>
  <c r="E777" i="5"/>
  <c r="F777" i="5"/>
  <c r="G773" i="5"/>
  <c r="F767" i="5"/>
  <c r="C761" i="5"/>
  <c r="D761" i="5"/>
  <c r="F761" i="5"/>
  <c r="E747" i="5"/>
  <c r="F747" i="5"/>
  <c r="C747" i="5"/>
  <c r="D747" i="5"/>
  <c r="G721" i="5"/>
  <c r="F721" i="5"/>
  <c r="C721" i="5"/>
  <c r="D721" i="5"/>
  <c r="E721" i="5"/>
  <c r="G709" i="5"/>
  <c r="C709" i="5"/>
  <c r="D709" i="5"/>
  <c r="E709" i="5"/>
  <c r="F709" i="5"/>
  <c r="E699" i="5"/>
  <c r="G699" i="5"/>
  <c r="C699" i="5"/>
  <c r="D699" i="5"/>
  <c r="F699" i="5"/>
  <c r="G690" i="5"/>
  <c r="D690" i="5"/>
  <c r="E690" i="5"/>
  <c r="F690" i="5"/>
  <c r="D830" i="5"/>
  <c r="D828" i="5"/>
  <c r="C815" i="5"/>
  <c r="D815" i="5"/>
  <c r="D810" i="5"/>
  <c r="D802" i="5"/>
  <c r="C796" i="5"/>
  <c r="D796" i="5"/>
  <c r="E796" i="5"/>
  <c r="D790" i="5"/>
  <c r="E790" i="5"/>
  <c r="G790" i="5"/>
  <c r="E786" i="5"/>
  <c r="C770" i="5"/>
  <c r="E770" i="5"/>
  <c r="F770" i="5"/>
  <c r="G770" i="5"/>
  <c r="G757" i="5"/>
  <c r="D757" i="5"/>
  <c r="E757" i="5"/>
  <c r="G733" i="5"/>
  <c r="C733" i="5"/>
  <c r="D733" i="5"/>
  <c r="E733" i="5"/>
  <c r="F733" i="5"/>
  <c r="C726" i="5"/>
  <c r="D726" i="5"/>
  <c r="E726" i="5"/>
  <c r="G726" i="5"/>
  <c r="D708" i="5"/>
  <c r="G708" i="5"/>
  <c r="C708" i="5"/>
  <c r="E708" i="5"/>
  <c r="F708" i="5"/>
  <c r="C689" i="5"/>
  <c r="E689" i="5"/>
  <c r="D689" i="5"/>
  <c r="F689" i="5"/>
  <c r="G689" i="5"/>
  <c r="F836" i="5"/>
  <c r="C828" i="5"/>
  <c r="F821" i="5"/>
  <c r="D799" i="5"/>
  <c r="F799" i="5"/>
  <c r="G799" i="5"/>
  <c r="C773" i="5"/>
  <c r="D773" i="5"/>
  <c r="F773" i="5"/>
  <c r="G767" i="5"/>
  <c r="C767" i="5"/>
  <c r="D767" i="5"/>
  <c r="C746" i="5"/>
  <c r="D746" i="5"/>
  <c r="E746" i="5"/>
  <c r="G746" i="5"/>
  <c r="D738" i="5"/>
  <c r="F738" i="5"/>
  <c r="G738" i="5"/>
  <c r="C738" i="5"/>
  <c r="C720" i="5"/>
  <c r="D720" i="5"/>
  <c r="E720" i="5"/>
  <c r="F720" i="5"/>
  <c r="G720" i="5"/>
  <c r="C707" i="5"/>
  <c r="D707" i="5"/>
  <c r="E707" i="5"/>
  <c r="F707" i="5"/>
  <c r="G707" i="5"/>
  <c r="C659" i="5"/>
  <c r="D659" i="5"/>
  <c r="E659" i="5"/>
  <c r="F659" i="5"/>
  <c r="G659" i="5"/>
  <c r="E830" i="5"/>
  <c r="F830" i="5"/>
  <c r="G830" i="5"/>
  <c r="E802" i="5"/>
  <c r="G802" i="5"/>
  <c r="F786" i="5"/>
  <c r="C786" i="5"/>
  <c r="C780" i="5"/>
  <c r="E780" i="5"/>
  <c r="G780" i="5"/>
  <c r="D776" i="5"/>
  <c r="F776" i="5"/>
  <c r="G776" i="5"/>
  <c r="G760" i="5"/>
  <c r="C760" i="5"/>
  <c r="D760" i="5"/>
  <c r="G745" i="5"/>
  <c r="F745" i="5"/>
  <c r="C745" i="5"/>
  <c r="D745" i="5"/>
  <c r="E745" i="5"/>
  <c r="C725" i="5"/>
  <c r="E725" i="5"/>
  <c r="G725" i="5"/>
  <c r="D725" i="5"/>
  <c r="D706" i="5"/>
  <c r="F706" i="5"/>
  <c r="G706" i="5"/>
  <c r="C706" i="5"/>
  <c r="E706" i="5"/>
  <c r="F692" i="5"/>
  <c r="G692" i="5"/>
  <c r="C692" i="5"/>
  <c r="D692" i="5"/>
  <c r="E692" i="5"/>
  <c r="G688" i="5"/>
  <c r="D688" i="5"/>
  <c r="E688" i="5"/>
  <c r="F688" i="5"/>
  <c r="D836" i="5"/>
  <c r="C832" i="5"/>
  <c r="D832" i="5"/>
  <c r="E832" i="5"/>
  <c r="G825" i="5"/>
  <c r="D823" i="5"/>
  <c r="D821" i="5"/>
  <c r="D814" i="5"/>
  <c r="G801" i="5"/>
  <c r="E798" i="5"/>
  <c r="D789" i="5"/>
  <c r="E789" i="5"/>
  <c r="F789" i="5"/>
  <c r="G785" i="5"/>
  <c r="F779" i="5"/>
  <c r="C750" i="5"/>
  <c r="E750" i="5"/>
  <c r="G750" i="5"/>
  <c r="C737" i="5"/>
  <c r="D737" i="5"/>
  <c r="E737" i="5"/>
  <c r="F737" i="5"/>
  <c r="G719" i="5"/>
  <c r="D719" i="5"/>
  <c r="E719" i="5"/>
  <c r="F719" i="5"/>
  <c r="E712" i="5"/>
  <c r="G712" i="5"/>
  <c r="C712" i="5"/>
  <c r="D712" i="5"/>
  <c r="G697" i="5"/>
  <c r="C697" i="5"/>
  <c r="D697" i="5"/>
  <c r="E697" i="5"/>
  <c r="F697" i="5"/>
  <c r="F874" i="5"/>
  <c r="F867" i="5"/>
  <c r="C814" i="5"/>
  <c r="C782" i="5"/>
  <c r="E782" i="5"/>
  <c r="F782" i="5"/>
  <c r="G782" i="5"/>
  <c r="D766" i="5"/>
  <c r="E766" i="5"/>
  <c r="G766" i="5"/>
  <c r="E759" i="5"/>
  <c r="C759" i="5"/>
  <c r="D759" i="5"/>
  <c r="G759" i="5"/>
  <c r="F752" i="5"/>
  <c r="C752" i="5"/>
  <c r="E752" i="5"/>
  <c r="G752" i="5"/>
  <c r="C731" i="5"/>
  <c r="D731" i="5"/>
  <c r="E731" i="5"/>
  <c r="F731" i="5"/>
  <c r="G731" i="5"/>
  <c r="D718" i="5"/>
  <c r="C718" i="5"/>
  <c r="E718" i="5"/>
  <c r="F718" i="5"/>
  <c r="G718" i="5"/>
  <c r="D696" i="5"/>
  <c r="G696" i="5"/>
  <c r="C696" i="5"/>
  <c r="E696" i="5"/>
  <c r="F696" i="5"/>
  <c r="D678" i="5"/>
  <c r="E678" i="5"/>
  <c r="C678" i="5"/>
  <c r="F678" i="5"/>
  <c r="G678" i="5"/>
  <c r="D825" i="5"/>
  <c r="E825" i="5"/>
  <c r="F825" i="5"/>
  <c r="F823" i="5"/>
  <c r="G823" i="5"/>
  <c r="D801" i="5"/>
  <c r="E801" i="5"/>
  <c r="F801" i="5"/>
  <c r="F798" i="5"/>
  <c r="C798" i="5"/>
  <c r="C785" i="5"/>
  <c r="D785" i="5"/>
  <c r="F785" i="5"/>
  <c r="G779" i="5"/>
  <c r="C779" i="5"/>
  <c r="D779" i="5"/>
  <c r="C772" i="5"/>
  <c r="D772" i="5"/>
  <c r="E772" i="5"/>
  <c r="C749" i="5"/>
  <c r="E749" i="5"/>
  <c r="G749" i="5"/>
  <c r="D749" i="5"/>
  <c r="C744" i="5"/>
  <c r="D744" i="5"/>
  <c r="E744" i="5"/>
  <c r="F744" i="5"/>
  <c r="E736" i="5"/>
  <c r="G736" i="5"/>
  <c r="C736" i="5"/>
  <c r="D736" i="5"/>
  <c r="C695" i="5"/>
  <c r="D695" i="5"/>
  <c r="E695" i="5"/>
  <c r="F695" i="5"/>
  <c r="G695" i="5"/>
  <c r="C677" i="5"/>
  <c r="E677" i="5"/>
  <c r="G677" i="5"/>
  <c r="D677" i="5"/>
  <c r="F677" i="5"/>
  <c r="F756" i="5"/>
  <c r="G741" i="5"/>
  <c r="F732" i="5"/>
  <c r="G717" i="5"/>
  <c r="F698" i="5"/>
  <c r="E684" i="5"/>
  <c r="D682" i="5"/>
  <c r="F682" i="5"/>
  <c r="G679" i="5"/>
  <c r="C660" i="5"/>
  <c r="D660" i="5"/>
  <c r="E660" i="5"/>
  <c r="C654" i="5"/>
  <c r="D654" i="5"/>
  <c r="E654" i="5"/>
  <c r="D646" i="5"/>
  <c r="E646" i="5"/>
  <c r="F646" i="5"/>
  <c r="G646" i="5"/>
  <c r="C623" i="5"/>
  <c r="D623" i="5"/>
  <c r="E623" i="5"/>
  <c r="F623" i="5"/>
  <c r="C614" i="5"/>
  <c r="D614" i="5"/>
  <c r="E614" i="5"/>
  <c r="F614" i="5"/>
  <c r="G614" i="5"/>
  <c r="C606" i="5"/>
  <c r="D606" i="5"/>
  <c r="E606" i="5"/>
  <c r="F606" i="5"/>
  <c r="G606" i="5"/>
  <c r="C590" i="5"/>
  <c r="D590" i="5"/>
  <c r="E590" i="5"/>
  <c r="F590" i="5"/>
  <c r="G590" i="5"/>
  <c r="C582" i="5"/>
  <c r="D582" i="5"/>
  <c r="E582" i="5"/>
  <c r="F582" i="5"/>
  <c r="G582" i="5"/>
  <c r="C486" i="5"/>
  <c r="D486" i="5"/>
  <c r="E486" i="5"/>
  <c r="F486" i="5"/>
  <c r="G486" i="5"/>
  <c r="G763" i="5"/>
  <c r="E756" i="5"/>
  <c r="F741" i="5"/>
  <c r="E732" i="5"/>
  <c r="G728" i="5"/>
  <c r="F717" i="5"/>
  <c r="E698" i="5"/>
  <c r="E656" i="5"/>
  <c r="F650" i="5"/>
  <c r="G650" i="5"/>
  <c r="C650" i="5"/>
  <c r="C637" i="5"/>
  <c r="D637" i="5"/>
  <c r="E637" i="5"/>
  <c r="G637" i="5"/>
  <c r="E622" i="5"/>
  <c r="C622" i="5"/>
  <c r="D622" i="5"/>
  <c r="F622" i="5"/>
  <c r="G622" i="5"/>
  <c r="D598" i="5"/>
  <c r="E598" i="5"/>
  <c r="C598" i="5"/>
  <c r="F598" i="5"/>
  <c r="G598" i="5"/>
  <c r="D574" i="5"/>
  <c r="E574" i="5"/>
  <c r="C574" i="5"/>
  <c r="F574" i="5"/>
  <c r="G574" i="5"/>
  <c r="C498" i="5"/>
  <c r="D498" i="5"/>
  <c r="E498" i="5"/>
  <c r="F498" i="5"/>
  <c r="G498" i="5"/>
  <c r="E741" i="5"/>
  <c r="E728" i="5"/>
  <c r="E717" i="5"/>
  <c r="D672" i="5"/>
  <c r="E672" i="5"/>
  <c r="C621" i="5"/>
  <c r="D621" i="5"/>
  <c r="E621" i="5"/>
  <c r="F621" i="5"/>
  <c r="G621" i="5"/>
  <c r="G613" i="5"/>
  <c r="C613" i="5"/>
  <c r="D613" i="5"/>
  <c r="E613" i="5"/>
  <c r="F613" i="5"/>
  <c r="C605" i="5"/>
  <c r="D605" i="5"/>
  <c r="E605" i="5"/>
  <c r="F605" i="5"/>
  <c r="G605" i="5"/>
  <c r="C597" i="5"/>
  <c r="D597" i="5"/>
  <c r="E597" i="5"/>
  <c r="F597" i="5"/>
  <c r="G597" i="5"/>
  <c r="G589" i="5"/>
  <c r="C589" i="5"/>
  <c r="D589" i="5"/>
  <c r="E589" i="5"/>
  <c r="F589" i="5"/>
  <c r="C581" i="5"/>
  <c r="D581" i="5"/>
  <c r="E581" i="5"/>
  <c r="F581" i="5"/>
  <c r="G581" i="5"/>
  <c r="C573" i="5"/>
  <c r="D573" i="5"/>
  <c r="E573" i="5"/>
  <c r="F573" i="5"/>
  <c r="G573" i="5"/>
  <c r="G565" i="5"/>
  <c r="C565" i="5"/>
  <c r="D565" i="5"/>
  <c r="E565" i="5"/>
  <c r="F565" i="5"/>
  <c r="C559" i="5"/>
  <c r="D559" i="5"/>
  <c r="E559" i="5"/>
  <c r="F559" i="5"/>
  <c r="G559" i="5"/>
  <c r="E555" i="5"/>
  <c r="F555" i="5"/>
  <c r="C555" i="5"/>
  <c r="D555" i="5"/>
  <c r="G555" i="5"/>
  <c r="E541" i="5"/>
  <c r="G541" i="5"/>
  <c r="C541" i="5"/>
  <c r="D541" i="5"/>
  <c r="F541" i="5"/>
  <c r="E529" i="5"/>
  <c r="F529" i="5"/>
  <c r="G529" i="5"/>
  <c r="D529" i="5"/>
  <c r="C656" i="5"/>
  <c r="F656" i="5"/>
  <c r="G656" i="5"/>
  <c r="C604" i="5"/>
  <c r="D604" i="5"/>
  <c r="E604" i="5"/>
  <c r="F604" i="5"/>
  <c r="G604" i="5"/>
  <c r="C580" i="5"/>
  <c r="D580" i="5"/>
  <c r="E580" i="5"/>
  <c r="F580" i="5"/>
  <c r="G580" i="5"/>
  <c r="C512" i="5"/>
  <c r="D512" i="5"/>
  <c r="E512" i="5"/>
  <c r="F512" i="5"/>
  <c r="G512" i="5"/>
  <c r="F748" i="5"/>
  <c r="G735" i="5"/>
  <c r="C728" i="5"/>
  <c r="F724" i="5"/>
  <c r="F713" i="5"/>
  <c r="G711" i="5"/>
  <c r="F683" i="5"/>
  <c r="D681" i="5"/>
  <c r="E676" i="5"/>
  <c r="E674" i="5"/>
  <c r="C649" i="5"/>
  <c r="D649" i="5"/>
  <c r="G649" i="5"/>
  <c r="F620" i="5"/>
  <c r="G620" i="5"/>
  <c r="C620" i="5"/>
  <c r="D620" i="5"/>
  <c r="E620" i="5"/>
  <c r="C612" i="5"/>
  <c r="D612" i="5"/>
  <c r="E612" i="5"/>
  <c r="F612" i="5"/>
  <c r="G612" i="5"/>
  <c r="F596" i="5"/>
  <c r="G596" i="5"/>
  <c r="C596" i="5"/>
  <c r="D596" i="5"/>
  <c r="E596" i="5"/>
  <c r="C588" i="5"/>
  <c r="D588" i="5"/>
  <c r="E588" i="5"/>
  <c r="F588" i="5"/>
  <c r="G588" i="5"/>
  <c r="F572" i="5"/>
  <c r="G572" i="5"/>
  <c r="C572" i="5"/>
  <c r="D572" i="5"/>
  <c r="E572" i="5"/>
  <c r="F527" i="5"/>
  <c r="G527" i="5"/>
  <c r="E527" i="5"/>
  <c r="C527" i="5"/>
  <c r="D527" i="5"/>
  <c r="E713" i="5"/>
  <c r="F685" i="5"/>
  <c r="D683" i="5"/>
  <c r="D676" i="5"/>
  <c r="C671" i="5"/>
  <c r="E671" i="5"/>
  <c r="F671" i="5"/>
  <c r="G668" i="5"/>
  <c r="D658" i="5"/>
  <c r="E658" i="5"/>
  <c r="F658" i="5"/>
  <c r="G658" i="5"/>
  <c r="D652" i="5"/>
  <c r="E652" i="5"/>
  <c r="F652" i="5"/>
  <c r="G652" i="5"/>
  <c r="G648" i="5"/>
  <c r="G642" i="5"/>
  <c r="C619" i="5"/>
  <c r="D619" i="5"/>
  <c r="E619" i="5"/>
  <c r="F619" i="5"/>
  <c r="G619" i="5"/>
  <c r="C611" i="5"/>
  <c r="D611" i="5"/>
  <c r="E611" i="5"/>
  <c r="F611" i="5"/>
  <c r="G611" i="5"/>
  <c r="E603" i="5"/>
  <c r="F603" i="5"/>
  <c r="C603" i="5"/>
  <c r="D603" i="5"/>
  <c r="G603" i="5"/>
  <c r="C595" i="5"/>
  <c r="D595" i="5"/>
  <c r="E595" i="5"/>
  <c r="F595" i="5"/>
  <c r="G595" i="5"/>
  <c r="C587" i="5"/>
  <c r="D587" i="5"/>
  <c r="E587" i="5"/>
  <c r="F587" i="5"/>
  <c r="G587" i="5"/>
  <c r="E579" i="5"/>
  <c r="F579" i="5"/>
  <c r="C579" i="5"/>
  <c r="D579" i="5"/>
  <c r="G579" i="5"/>
  <c r="C571" i="5"/>
  <c r="D571" i="5"/>
  <c r="E571" i="5"/>
  <c r="F571" i="5"/>
  <c r="G571" i="5"/>
  <c r="C563" i="5"/>
  <c r="D563" i="5"/>
  <c r="E563" i="5"/>
  <c r="F563" i="5"/>
  <c r="G563" i="5"/>
  <c r="F548" i="5"/>
  <c r="G548" i="5"/>
  <c r="C548" i="5"/>
  <c r="D548" i="5"/>
  <c r="E548" i="5"/>
  <c r="F526" i="5"/>
  <c r="C526" i="5"/>
  <c r="E526" i="5"/>
  <c r="G526" i="5"/>
  <c r="D526" i="5"/>
  <c r="G753" i="5"/>
  <c r="D748" i="5"/>
  <c r="D735" i="5"/>
  <c r="G729" i="5"/>
  <c r="D713" i="5"/>
  <c r="D711" i="5"/>
  <c r="C683" i="5"/>
  <c r="F662" i="5"/>
  <c r="G662" i="5"/>
  <c r="C662" i="5"/>
  <c r="C618" i="5"/>
  <c r="D618" i="5"/>
  <c r="E618" i="5"/>
  <c r="F618" i="5"/>
  <c r="G618" i="5"/>
  <c r="C602" i="5"/>
  <c r="D602" i="5"/>
  <c r="E602" i="5"/>
  <c r="F602" i="5"/>
  <c r="G602" i="5"/>
  <c r="C594" i="5"/>
  <c r="D594" i="5"/>
  <c r="E594" i="5"/>
  <c r="F594" i="5"/>
  <c r="G594" i="5"/>
  <c r="C578" i="5"/>
  <c r="D578" i="5"/>
  <c r="E578" i="5"/>
  <c r="F578" i="5"/>
  <c r="G578" i="5"/>
  <c r="C481" i="5"/>
  <c r="D481" i="5"/>
  <c r="E481" i="5"/>
  <c r="F481" i="5"/>
  <c r="G481" i="5"/>
  <c r="C476" i="5"/>
  <c r="D476" i="5"/>
  <c r="E476" i="5"/>
  <c r="F476" i="5"/>
  <c r="G476" i="5"/>
  <c r="C735" i="5"/>
  <c r="F676" i="5"/>
  <c r="G676" i="5"/>
  <c r="C648" i="5"/>
  <c r="D648" i="5"/>
  <c r="E648" i="5"/>
  <c r="C642" i="5"/>
  <c r="D642" i="5"/>
  <c r="E642" i="5"/>
  <c r="C635" i="5"/>
  <c r="D635" i="5"/>
  <c r="E635" i="5"/>
  <c r="F635" i="5"/>
  <c r="D610" i="5"/>
  <c r="E610" i="5"/>
  <c r="C610" i="5"/>
  <c r="F610" i="5"/>
  <c r="G610" i="5"/>
  <c r="D586" i="5"/>
  <c r="E586" i="5"/>
  <c r="C586" i="5"/>
  <c r="F586" i="5"/>
  <c r="G586" i="5"/>
  <c r="D562" i="5"/>
  <c r="E562" i="5"/>
  <c r="C562" i="5"/>
  <c r="F562" i="5"/>
  <c r="G562" i="5"/>
  <c r="G553" i="5"/>
  <c r="C553" i="5"/>
  <c r="D553" i="5"/>
  <c r="E553" i="5"/>
  <c r="F553" i="5"/>
  <c r="C685" i="5"/>
  <c r="G685" i="5"/>
  <c r="C668" i="5"/>
  <c r="F668" i="5"/>
  <c r="C641" i="5"/>
  <c r="D641" i="5"/>
  <c r="E641" i="5"/>
  <c r="F641" i="5"/>
  <c r="G641" i="5"/>
  <c r="E634" i="5"/>
  <c r="C634" i="5"/>
  <c r="D634" i="5"/>
  <c r="F634" i="5"/>
  <c r="G634" i="5"/>
  <c r="C617" i="5"/>
  <c r="D617" i="5"/>
  <c r="E617" i="5"/>
  <c r="F617" i="5"/>
  <c r="G617" i="5"/>
  <c r="C609" i="5"/>
  <c r="D609" i="5"/>
  <c r="E609" i="5"/>
  <c r="F609" i="5"/>
  <c r="G609" i="5"/>
  <c r="G601" i="5"/>
  <c r="C601" i="5"/>
  <c r="D601" i="5"/>
  <c r="E601" i="5"/>
  <c r="F601" i="5"/>
  <c r="C593" i="5"/>
  <c r="D593" i="5"/>
  <c r="E593" i="5"/>
  <c r="F593" i="5"/>
  <c r="G593" i="5"/>
  <c r="C585" i="5"/>
  <c r="D585" i="5"/>
  <c r="E585" i="5"/>
  <c r="F585" i="5"/>
  <c r="G585" i="5"/>
  <c r="G577" i="5"/>
  <c r="C577" i="5"/>
  <c r="D577" i="5"/>
  <c r="E577" i="5"/>
  <c r="F577" i="5"/>
  <c r="C569" i="5"/>
  <c r="D569" i="5"/>
  <c r="E569" i="5"/>
  <c r="F569" i="5"/>
  <c r="G569" i="5"/>
  <c r="C561" i="5"/>
  <c r="D561" i="5"/>
  <c r="E561" i="5"/>
  <c r="F561" i="5"/>
  <c r="G561" i="5"/>
  <c r="C557" i="5"/>
  <c r="D557" i="5"/>
  <c r="E557" i="5"/>
  <c r="F557" i="5"/>
  <c r="G557" i="5"/>
  <c r="C531" i="5"/>
  <c r="D531" i="5"/>
  <c r="E531" i="5"/>
  <c r="F531" i="5"/>
  <c r="G531" i="5"/>
  <c r="C500" i="5"/>
  <c r="D500" i="5"/>
  <c r="E500" i="5"/>
  <c r="F500" i="5"/>
  <c r="G500" i="5"/>
  <c r="D740" i="5"/>
  <c r="D716" i="5"/>
  <c r="E687" i="5"/>
  <c r="G687" i="5"/>
  <c r="G682" i="5"/>
  <c r="C673" i="5"/>
  <c r="D673" i="5"/>
  <c r="G673" i="5"/>
  <c r="D670" i="5"/>
  <c r="F670" i="5"/>
  <c r="G670" i="5"/>
  <c r="D664" i="5"/>
  <c r="E664" i="5"/>
  <c r="F664" i="5"/>
  <c r="G664" i="5"/>
  <c r="C661" i="5"/>
  <c r="D661" i="5"/>
  <c r="G661" i="5"/>
  <c r="C647" i="5"/>
  <c r="D647" i="5"/>
  <c r="E647" i="5"/>
  <c r="F647" i="5"/>
  <c r="C633" i="5"/>
  <c r="D633" i="5"/>
  <c r="E633" i="5"/>
  <c r="F633" i="5"/>
  <c r="G633" i="5"/>
  <c r="C616" i="5"/>
  <c r="D616" i="5"/>
  <c r="E616" i="5"/>
  <c r="F616" i="5"/>
  <c r="G616" i="5"/>
  <c r="C592" i="5"/>
  <c r="D592" i="5"/>
  <c r="E592" i="5"/>
  <c r="F592" i="5"/>
  <c r="G592" i="5"/>
  <c r="C543" i="5"/>
  <c r="E543" i="5"/>
  <c r="F543" i="5"/>
  <c r="G543" i="5"/>
  <c r="F534" i="5"/>
  <c r="G534" i="5"/>
  <c r="C534" i="5"/>
  <c r="D534" i="5"/>
  <c r="C644" i="5"/>
  <c r="F644" i="5"/>
  <c r="G644" i="5"/>
  <c r="F608" i="5"/>
  <c r="G608" i="5"/>
  <c r="C608" i="5"/>
  <c r="D608" i="5"/>
  <c r="E608" i="5"/>
  <c r="C600" i="5"/>
  <c r="D600" i="5"/>
  <c r="E600" i="5"/>
  <c r="F600" i="5"/>
  <c r="G600" i="5"/>
  <c r="F584" i="5"/>
  <c r="G584" i="5"/>
  <c r="C584" i="5"/>
  <c r="D584" i="5"/>
  <c r="E584" i="5"/>
  <c r="C576" i="5"/>
  <c r="D576" i="5"/>
  <c r="E576" i="5"/>
  <c r="F576" i="5"/>
  <c r="G576" i="5"/>
  <c r="G546" i="5"/>
  <c r="C546" i="5"/>
  <c r="D546" i="5"/>
  <c r="E546" i="5"/>
  <c r="F546" i="5"/>
  <c r="C520" i="5"/>
  <c r="D520" i="5"/>
  <c r="E520" i="5"/>
  <c r="F520" i="5"/>
  <c r="G520" i="5"/>
  <c r="C493" i="5"/>
  <c r="D493" i="5"/>
  <c r="E493" i="5"/>
  <c r="F493" i="5"/>
  <c r="G493" i="5"/>
  <c r="C488" i="5"/>
  <c r="D488" i="5"/>
  <c r="E488" i="5"/>
  <c r="F488" i="5"/>
  <c r="G488" i="5"/>
  <c r="C680" i="5"/>
  <c r="F680" i="5"/>
  <c r="G667" i="5"/>
  <c r="C667" i="5"/>
  <c r="D667" i="5"/>
  <c r="E650" i="5"/>
  <c r="G632" i="5"/>
  <c r="C632" i="5"/>
  <c r="D632" i="5"/>
  <c r="E632" i="5"/>
  <c r="F632" i="5"/>
  <c r="E615" i="5"/>
  <c r="F615" i="5"/>
  <c r="C615" i="5"/>
  <c r="D615" i="5"/>
  <c r="G615" i="5"/>
  <c r="C607" i="5"/>
  <c r="D607" i="5"/>
  <c r="E607" i="5"/>
  <c r="F607" i="5"/>
  <c r="G607" i="5"/>
  <c r="C599" i="5"/>
  <c r="D599" i="5"/>
  <c r="E599" i="5"/>
  <c r="F599" i="5"/>
  <c r="G599" i="5"/>
  <c r="E591" i="5"/>
  <c r="F591" i="5"/>
  <c r="C591" i="5"/>
  <c r="D591" i="5"/>
  <c r="G591" i="5"/>
  <c r="C583" i="5"/>
  <c r="D583" i="5"/>
  <c r="E583" i="5"/>
  <c r="F583" i="5"/>
  <c r="G583" i="5"/>
  <c r="C575" i="5"/>
  <c r="D575" i="5"/>
  <c r="E575" i="5"/>
  <c r="F575" i="5"/>
  <c r="G575" i="5"/>
  <c r="E567" i="5"/>
  <c r="F567" i="5"/>
  <c r="C567" i="5"/>
  <c r="D567" i="5"/>
  <c r="G567" i="5"/>
  <c r="E551" i="5"/>
  <c r="D549" i="5"/>
  <c r="C539" i="5"/>
  <c r="F517" i="5"/>
  <c r="E509" i="5"/>
  <c r="F509" i="5"/>
  <c r="C509" i="5"/>
  <c r="C484" i="5"/>
  <c r="D484" i="5"/>
  <c r="E484" i="5"/>
  <c r="F484" i="5"/>
  <c r="G484" i="5"/>
  <c r="E636" i="5"/>
  <c r="G630" i="5"/>
  <c r="D625" i="5"/>
  <c r="D551" i="5"/>
  <c r="C524" i="5"/>
  <c r="D524" i="5"/>
  <c r="E524" i="5"/>
  <c r="G524" i="5"/>
  <c r="E517" i="5"/>
  <c r="G495" i="5"/>
  <c r="C495" i="5"/>
  <c r="D495" i="5"/>
  <c r="E495" i="5"/>
  <c r="G471" i="5"/>
  <c r="C471" i="5"/>
  <c r="D471" i="5"/>
  <c r="E471" i="5"/>
  <c r="F471" i="5"/>
  <c r="C459" i="5"/>
  <c r="F459" i="5"/>
  <c r="G459" i="5"/>
  <c r="D459" i="5"/>
  <c r="E459" i="5"/>
  <c r="G675" i="5"/>
  <c r="G663" i="5"/>
  <c r="G651" i="5"/>
  <c r="G639" i="5"/>
  <c r="D636" i="5"/>
  <c r="F630" i="5"/>
  <c r="G628" i="5"/>
  <c r="C551" i="5"/>
  <c r="C530" i="5"/>
  <c r="D530" i="5"/>
  <c r="C494" i="5"/>
  <c r="D494" i="5"/>
  <c r="E494" i="5"/>
  <c r="F494" i="5"/>
  <c r="G494" i="5"/>
  <c r="G483" i="5"/>
  <c r="C483" i="5"/>
  <c r="D483" i="5"/>
  <c r="E483" i="5"/>
  <c r="F483" i="5"/>
  <c r="C470" i="5"/>
  <c r="D470" i="5"/>
  <c r="E470" i="5"/>
  <c r="F470" i="5"/>
  <c r="G470" i="5"/>
  <c r="F651" i="5"/>
  <c r="F639" i="5"/>
  <c r="E630" i="5"/>
  <c r="G517" i="5"/>
  <c r="C517" i="5"/>
  <c r="C482" i="5"/>
  <c r="D482" i="5"/>
  <c r="E482" i="5"/>
  <c r="F482" i="5"/>
  <c r="G482" i="5"/>
  <c r="C469" i="5"/>
  <c r="D469" i="5"/>
  <c r="E469" i="5"/>
  <c r="F469" i="5"/>
  <c r="G469" i="5"/>
  <c r="G464" i="5"/>
  <c r="C464" i="5"/>
  <c r="D464" i="5"/>
  <c r="E464" i="5"/>
  <c r="F464" i="5"/>
  <c r="C353" i="5"/>
  <c r="D353" i="5"/>
  <c r="E353" i="5"/>
  <c r="F353" i="5"/>
  <c r="G353" i="5"/>
  <c r="C538" i="5"/>
  <c r="D538" i="5"/>
  <c r="E538" i="5"/>
  <c r="G538" i="5"/>
  <c r="D535" i="5"/>
  <c r="E535" i="5"/>
  <c r="D516" i="5"/>
  <c r="E516" i="5"/>
  <c r="C516" i="5"/>
  <c r="F516" i="5"/>
  <c r="G516" i="5"/>
  <c r="C468" i="5"/>
  <c r="D468" i="5"/>
  <c r="E468" i="5"/>
  <c r="F468" i="5"/>
  <c r="G468" i="5"/>
  <c r="G570" i="5"/>
  <c r="G568" i="5"/>
  <c r="G566" i="5"/>
  <c r="G558" i="5"/>
  <c r="G556" i="5"/>
  <c r="G554" i="5"/>
  <c r="G552" i="5"/>
  <c r="F537" i="5"/>
  <c r="F525" i="5"/>
  <c r="D492" i="5"/>
  <c r="E492" i="5"/>
  <c r="C492" i="5"/>
  <c r="F492" i="5"/>
  <c r="G492" i="5"/>
  <c r="D480" i="5"/>
  <c r="E480" i="5"/>
  <c r="C480" i="5"/>
  <c r="F480" i="5"/>
  <c r="G480" i="5"/>
  <c r="C467" i="5"/>
  <c r="D467" i="5"/>
  <c r="E467" i="5"/>
  <c r="F467" i="5"/>
  <c r="C462" i="5"/>
  <c r="D462" i="5"/>
  <c r="E462" i="5"/>
  <c r="F462" i="5"/>
  <c r="G462" i="5"/>
  <c r="E457" i="5"/>
  <c r="C457" i="5"/>
  <c r="D457" i="5"/>
  <c r="F457" i="5"/>
  <c r="G457" i="5"/>
  <c r="D431" i="5"/>
  <c r="C431" i="5"/>
  <c r="F431" i="5"/>
  <c r="G431" i="5"/>
  <c r="E431" i="5"/>
  <c r="F362" i="5"/>
  <c r="C362" i="5"/>
  <c r="D362" i="5"/>
  <c r="E362" i="5"/>
  <c r="G362" i="5"/>
  <c r="G640" i="5"/>
  <c r="G631" i="5"/>
  <c r="E624" i="5"/>
  <c r="F570" i="5"/>
  <c r="F568" i="5"/>
  <c r="F566" i="5"/>
  <c r="G564" i="5"/>
  <c r="F552" i="5"/>
  <c r="D550" i="5"/>
  <c r="E550" i="5"/>
  <c r="G550" i="5"/>
  <c r="C545" i="5"/>
  <c r="D545" i="5"/>
  <c r="F545" i="5"/>
  <c r="G545" i="5"/>
  <c r="E537" i="5"/>
  <c r="E525" i="5"/>
  <c r="F519" i="5"/>
  <c r="C475" i="5"/>
  <c r="D475" i="5"/>
  <c r="E475" i="5"/>
  <c r="F475" i="5"/>
  <c r="G475" i="5"/>
  <c r="E466" i="5"/>
  <c r="F466" i="5"/>
  <c r="G466" i="5"/>
  <c r="C466" i="5"/>
  <c r="D466" i="5"/>
  <c r="C420" i="5"/>
  <c r="E420" i="5"/>
  <c r="F420" i="5"/>
  <c r="D420" i="5"/>
  <c r="G420" i="5"/>
  <c r="F640" i="5"/>
  <c r="F631" i="5"/>
  <c r="G629" i="5"/>
  <c r="D624" i="5"/>
  <c r="E570" i="5"/>
  <c r="E568" i="5"/>
  <c r="E566" i="5"/>
  <c r="F564" i="5"/>
  <c r="E554" i="5"/>
  <c r="C540" i="5"/>
  <c r="E540" i="5"/>
  <c r="F540" i="5"/>
  <c r="D537" i="5"/>
  <c r="G528" i="5"/>
  <c r="D525" i="5"/>
  <c r="E519" i="5"/>
  <c r="G515" i="5"/>
  <c r="C515" i="5"/>
  <c r="C511" i="5"/>
  <c r="D511" i="5"/>
  <c r="E511" i="5"/>
  <c r="C487" i="5"/>
  <c r="D487" i="5"/>
  <c r="E487" i="5"/>
  <c r="F487" i="5"/>
  <c r="G487" i="5"/>
  <c r="C479" i="5"/>
  <c r="D479" i="5"/>
  <c r="E479" i="5"/>
  <c r="F479" i="5"/>
  <c r="C474" i="5"/>
  <c r="D474" i="5"/>
  <c r="E474" i="5"/>
  <c r="F474" i="5"/>
  <c r="G474" i="5"/>
  <c r="D452" i="5"/>
  <c r="E452" i="5"/>
  <c r="G452" i="5"/>
  <c r="C452" i="5"/>
  <c r="F452" i="5"/>
  <c r="E640" i="5"/>
  <c r="E631" i="5"/>
  <c r="F629" i="5"/>
  <c r="D570" i="5"/>
  <c r="D568" i="5"/>
  <c r="D566" i="5"/>
  <c r="E564" i="5"/>
  <c r="C552" i="5"/>
  <c r="E552" i="5"/>
  <c r="C525" i="5"/>
  <c r="C522" i="5"/>
  <c r="D522" i="5"/>
  <c r="E522" i="5"/>
  <c r="F522" i="5"/>
  <c r="F514" i="5"/>
  <c r="G514" i="5"/>
  <c r="C514" i="5"/>
  <c r="D514" i="5"/>
  <c r="E514" i="5"/>
  <c r="C510" i="5"/>
  <c r="D510" i="5"/>
  <c r="E510" i="5"/>
  <c r="F510" i="5"/>
  <c r="G510" i="5"/>
  <c r="C491" i="5"/>
  <c r="D491" i="5"/>
  <c r="E491" i="5"/>
  <c r="F478" i="5"/>
  <c r="G478" i="5"/>
  <c r="C478" i="5"/>
  <c r="D478" i="5"/>
  <c r="E478" i="5"/>
  <c r="C418" i="5"/>
  <c r="E418" i="5"/>
  <c r="F418" i="5"/>
  <c r="D418" i="5"/>
  <c r="G418" i="5"/>
  <c r="E629" i="5"/>
  <c r="D564" i="5"/>
  <c r="F560" i="5"/>
  <c r="G560" i="5"/>
  <c r="G551" i="5"/>
  <c r="D547" i="5"/>
  <c r="E547" i="5"/>
  <c r="D528" i="5"/>
  <c r="E528" i="5"/>
  <c r="F528" i="5"/>
  <c r="G519" i="5"/>
  <c r="C519" i="5"/>
  <c r="C496" i="5"/>
  <c r="D496" i="5"/>
  <c r="E496" i="5"/>
  <c r="F496" i="5"/>
  <c r="G496" i="5"/>
  <c r="F490" i="5"/>
  <c r="G490" i="5"/>
  <c r="C490" i="5"/>
  <c r="D490" i="5"/>
  <c r="E490" i="5"/>
  <c r="E473" i="5"/>
  <c r="F473" i="5"/>
  <c r="C473" i="5"/>
  <c r="D473" i="5"/>
  <c r="G473" i="5"/>
  <c r="E549" i="5"/>
  <c r="C542" i="5"/>
  <c r="D542" i="5"/>
  <c r="D536" i="5"/>
  <c r="E536" i="5"/>
  <c r="F536" i="5"/>
  <c r="G536" i="5"/>
  <c r="C518" i="5"/>
  <c r="D518" i="5"/>
  <c r="E518" i="5"/>
  <c r="F518" i="5"/>
  <c r="G518" i="5"/>
  <c r="E485" i="5"/>
  <c r="F485" i="5"/>
  <c r="C485" i="5"/>
  <c r="D485" i="5"/>
  <c r="G485" i="5"/>
  <c r="C472" i="5"/>
  <c r="D472" i="5"/>
  <c r="E472" i="5"/>
  <c r="F472" i="5"/>
  <c r="G472" i="5"/>
  <c r="F450" i="5"/>
  <c r="G450" i="5"/>
  <c r="C450" i="5"/>
  <c r="D450" i="5"/>
  <c r="E450" i="5"/>
  <c r="C454" i="5"/>
  <c r="E454" i="5"/>
  <c r="F454" i="5"/>
  <c r="G454" i="5"/>
  <c r="C430" i="5"/>
  <c r="D430" i="5"/>
  <c r="E430" i="5"/>
  <c r="C406" i="5"/>
  <c r="E406" i="5"/>
  <c r="F406" i="5"/>
  <c r="G391" i="5"/>
  <c r="C391" i="5"/>
  <c r="D391" i="5"/>
  <c r="E391" i="5"/>
  <c r="D388" i="5"/>
  <c r="F388" i="5"/>
  <c r="G388" i="5"/>
  <c r="C388" i="5"/>
  <c r="E381" i="5"/>
  <c r="C381" i="5"/>
  <c r="D381" i="5"/>
  <c r="F381" i="5"/>
  <c r="G381" i="5"/>
  <c r="C341" i="5"/>
  <c r="D341" i="5"/>
  <c r="E341" i="5"/>
  <c r="F341" i="5"/>
  <c r="G341" i="5"/>
  <c r="G533" i="5"/>
  <c r="E521" i="5"/>
  <c r="F521" i="5"/>
  <c r="F463" i="5"/>
  <c r="D461" i="5"/>
  <c r="E461" i="5"/>
  <c r="F461" i="5"/>
  <c r="G456" i="5"/>
  <c r="F451" i="5"/>
  <c r="C413" i="5"/>
  <c r="D413" i="5"/>
  <c r="F413" i="5"/>
  <c r="C402" i="5"/>
  <c r="D402" i="5"/>
  <c r="F402" i="5"/>
  <c r="G402" i="5"/>
  <c r="F374" i="5"/>
  <c r="C374" i="5"/>
  <c r="D374" i="5"/>
  <c r="E374" i="5"/>
  <c r="G374" i="5"/>
  <c r="C314" i="5"/>
  <c r="E314" i="5"/>
  <c r="G314" i="5"/>
  <c r="D314" i="5"/>
  <c r="F314" i="5"/>
  <c r="F533" i="5"/>
  <c r="C507" i="5"/>
  <c r="F427" i="5"/>
  <c r="C427" i="5"/>
  <c r="E424" i="5"/>
  <c r="C424" i="5"/>
  <c r="D424" i="5"/>
  <c r="G424" i="5"/>
  <c r="E417" i="5"/>
  <c r="F417" i="5"/>
  <c r="C417" i="5"/>
  <c r="G417" i="5"/>
  <c r="C395" i="5"/>
  <c r="E395" i="5"/>
  <c r="F395" i="5"/>
  <c r="C380" i="5"/>
  <c r="D380" i="5"/>
  <c r="E380" i="5"/>
  <c r="F380" i="5"/>
  <c r="G380" i="5"/>
  <c r="C373" i="5"/>
  <c r="D373" i="5"/>
  <c r="E373" i="5"/>
  <c r="F373" i="5"/>
  <c r="G373" i="5"/>
  <c r="E369" i="5"/>
  <c r="G369" i="5"/>
  <c r="C369" i="5"/>
  <c r="D369" i="5"/>
  <c r="F369" i="5"/>
  <c r="D340" i="5"/>
  <c r="F340" i="5"/>
  <c r="C340" i="5"/>
  <c r="E340" i="5"/>
  <c r="G340" i="5"/>
  <c r="D330" i="5"/>
  <c r="C330" i="5"/>
  <c r="E330" i="5"/>
  <c r="F330" i="5"/>
  <c r="G330" i="5"/>
  <c r="C499" i="5"/>
  <c r="D499" i="5"/>
  <c r="E497" i="5"/>
  <c r="F497" i="5"/>
  <c r="C463" i="5"/>
  <c r="D463" i="5"/>
  <c r="G460" i="5"/>
  <c r="C456" i="5"/>
  <c r="D456" i="5"/>
  <c r="E456" i="5"/>
  <c r="C451" i="5"/>
  <c r="D451" i="5"/>
  <c r="D412" i="5"/>
  <c r="E412" i="5"/>
  <c r="F412" i="5"/>
  <c r="G412" i="5"/>
  <c r="G379" i="5"/>
  <c r="C379" i="5"/>
  <c r="D379" i="5"/>
  <c r="E379" i="5"/>
  <c r="F379" i="5"/>
  <c r="C329" i="5"/>
  <c r="D329" i="5"/>
  <c r="E329" i="5"/>
  <c r="F329" i="5"/>
  <c r="G329" i="5"/>
  <c r="D533" i="5"/>
  <c r="G508" i="5"/>
  <c r="F460" i="5"/>
  <c r="E458" i="5"/>
  <c r="F429" i="5"/>
  <c r="D429" i="5"/>
  <c r="G429" i="5"/>
  <c r="G423" i="5"/>
  <c r="E401" i="5"/>
  <c r="F401" i="5"/>
  <c r="G401" i="5"/>
  <c r="C394" i="5"/>
  <c r="D394" i="5"/>
  <c r="E394" i="5"/>
  <c r="F394" i="5"/>
  <c r="D368" i="5"/>
  <c r="E368" i="5"/>
  <c r="F368" i="5"/>
  <c r="G368" i="5"/>
  <c r="D352" i="5"/>
  <c r="F352" i="5"/>
  <c r="C352" i="5"/>
  <c r="E352" i="5"/>
  <c r="G352" i="5"/>
  <c r="F508" i="5"/>
  <c r="G506" i="5"/>
  <c r="G504" i="5"/>
  <c r="E502" i="5"/>
  <c r="E460" i="5"/>
  <c r="D458" i="5"/>
  <c r="F455" i="5"/>
  <c r="C426" i="5"/>
  <c r="D426" i="5"/>
  <c r="F426" i="5"/>
  <c r="G426" i="5"/>
  <c r="F423" i="5"/>
  <c r="C416" i="5"/>
  <c r="E416" i="5"/>
  <c r="F416" i="5"/>
  <c r="F384" i="5"/>
  <c r="G367" i="5"/>
  <c r="C367" i="5"/>
  <c r="D367" i="5"/>
  <c r="E367" i="5"/>
  <c r="F367" i="5"/>
  <c r="E357" i="5"/>
  <c r="G357" i="5"/>
  <c r="C357" i="5"/>
  <c r="D357" i="5"/>
  <c r="F357" i="5"/>
  <c r="D328" i="5"/>
  <c r="F328" i="5"/>
  <c r="C328" i="5"/>
  <c r="E328" i="5"/>
  <c r="G328" i="5"/>
  <c r="E508" i="5"/>
  <c r="F506" i="5"/>
  <c r="F504" i="5"/>
  <c r="D502" i="5"/>
  <c r="D460" i="5"/>
  <c r="E455" i="5"/>
  <c r="C411" i="5"/>
  <c r="D411" i="5"/>
  <c r="F411" i="5"/>
  <c r="D408" i="5"/>
  <c r="F408" i="5"/>
  <c r="G408" i="5"/>
  <c r="C371" i="5"/>
  <c r="E371" i="5"/>
  <c r="D371" i="5"/>
  <c r="F371" i="5"/>
  <c r="G371" i="5"/>
  <c r="E506" i="5"/>
  <c r="D455" i="5"/>
  <c r="C423" i="5"/>
  <c r="E423" i="5"/>
  <c r="E393" i="5"/>
  <c r="C393" i="5"/>
  <c r="F393" i="5"/>
  <c r="G393" i="5"/>
  <c r="D384" i="5"/>
  <c r="E384" i="5"/>
  <c r="G384" i="5"/>
  <c r="C377" i="5"/>
  <c r="D377" i="5"/>
  <c r="E377" i="5"/>
  <c r="F377" i="5"/>
  <c r="G377" i="5"/>
  <c r="C335" i="5"/>
  <c r="E335" i="5"/>
  <c r="D335" i="5"/>
  <c r="F335" i="5"/>
  <c r="G335" i="5"/>
  <c r="D299" i="5"/>
  <c r="F299" i="5"/>
  <c r="G299" i="5"/>
  <c r="C299" i="5"/>
  <c r="E299" i="5"/>
  <c r="D504" i="5"/>
  <c r="E504" i="5"/>
  <c r="F502" i="5"/>
  <c r="G502" i="5"/>
  <c r="C419" i="5"/>
  <c r="D419" i="5"/>
  <c r="E419" i="5"/>
  <c r="G419" i="5"/>
  <c r="G415" i="5"/>
  <c r="C415" i="5"/>
  <c r="D415" i="5"/>
  <c r="F415" i="5"/>
  <c r="F410" i="5"/>
  <c r="G410" i="5"/>
  <c r="D410" i="5"/>
  <c r="E410" i="5"/>
  <c r="D404" i="5"/>
  <c r="E404" i="5"/>
  <c r="G404" i="5"/>
  <c r="G397" i="5"/>
  <c r="D397" i="5"/>
  <c r="F397" i="5"/>
  <c r="C347" i="5"/>
  <c r="E347" i="5"/>
  <c r="D347" i="5"/>
  <c r="F347" i="5"/>
  <c r="G347" i="5"/>
  <c r="D392" i="5"/>
  <c r="E392" i="5"/>
  <c r="F392" i="5"/>
  <c r="G392" i="5"/>
  <c r="F386" i="5"/>
  <c r="G386" i="5"/>
  <c r="C386" i="5"/>
  <c r="E386" i="5"/>
  <c r="C383" i="5"/>
  <c r="D383" i="5"/>
  <c r="E383" i="5"/>
  <c r="F383" i="5"/>
  <c r="D376" i="5"/>
  <c r="F376" i="5"/>
  <c r="E376" i="5"/>
  <c r="G376" i="5"/>
  <c r="E297" i="5"/>
  <c r="G297" i="5"/>
  <c r="D297" i="5"/>
  <c r="C297" i="5"/>
  <c r="F297" i="5"/>
  <c r="G430" i="5"/>
  <c r="G422" i="5"/>
  <c r="D422" i="5"/>
  <c r="E422" i="5"/>
  <c r="C414" i="5"/>
  <c r="D414" i="5"/>
  <c r="F414" i="5"/>
  <c r="G414" i="5"/>
  <c r="G406" i="5"/>
  <c r="G403" i="5"/>
  <c r="D403" i="5"/>
  <c r="E403" i="5"/>
  <c r="C403" i="5"/>
  <c r="F399" i="5"/>
  <c r="G399" i="5"/>
  <c r="D399" i="5"/>
  <c r="C323" i="5"/>
  <c r="E323" i="5"/>
  <c r="D323" i="5"/>
  <c r="F323" i="5"/>
  <c r="G323" i="5"/>
  <c r="C304" i="5"/>
  <c r="E304" i="5"/>
  <c r="F304" i="5"/>
  <c r="G304" i="5"/>
  <c r="D304" i="5"/>
  <c r="D454" i="5"/>
  <c r="F430" i="5"/>
  <c r="G413" i="5"/>
  <c r="D406" i="5"/>
  <c r="F391" i="5"/>
  <c r="E388" i="5"/>
  <c r="C382" i="5"/>
  <c r="E382" i="5"/>
  <c r="F382" i="5"/>
  <c r="G382" i="5"/>
  <c r="C359" i="5"/>
  <c r="E359" i="5"/>
  <c r="D359" i="5"/>
  <c r="F359" i="5"/>
  <c r="G359" i="5"/>
  <c r="D342" i="5"/>
  <c r="C342" i="5"/>
  <c r="E342" i="5"/>
  <c r="F342" i="5"/>
  <c r="G342" i="5"/>
  <c r="D310" i="5"/>
  <c r="E310" i="5"/>
  <c r="G310" i="5"/>
  <c r="F310" i="5"/>
  <c r="G301" i="5"/>
  <c r="C301" i="5"/>
  <c r="E301" i="5"/>
  <c r="D286" i="5"/>
  <c r="E286" i="5"/>
  <c r="G286" i="5"/>
  <c r="E255" i="5"/>
  <c r="D255" i="5"/>
  <c r="F255" i="5"/>
  <c r="G255" i="5"/>
  <c r="C378" i="5"/>
  <c r="G372" i="5"/>
  <c r="C361" i="5"/>
  <c r="D361" i="5"/>
  <c r="E361" i="5"/>
  <c r="F361" i="5"/>
  <c r="G361" i="5"/>
  <c r="C356" i="5"/>
  <c r="C317" i="5"/>
  <c r="D317" i="5"/>
  <c r="E317" i="5"/>
  <c r="F317" i="5"/>
  <c r="G317" i="5"/>
  <c r="F293" i="5"/>
  <c r="D261" i="5"/>
  <c r="E261" i="5"/>
  <c r="G261" i="5"/>
  <c r="C261" i="5"/>
  <c r="F261" i="5"/>
  <c r="C375" i="5"/>
  <c r="D375" i="5"/>
  <c r="E375" i="5"/>
  <c r="F372" i="5"/>
  <c r="D364" i="5"/>
  <c r="F364" i="5"/>
  <c r="G346" i="5"/>
  <c r="G313" i="5"/>
  <c r="C313" i="5"/>
  <c r="D313" i="5"/>
  <c r="E313" i="5"/>
  <c r="C300" i="5"/>
  <c r="D300" i="5"/>
  <c r="E300" i="5"/>
  <c r="F300" i="5"/>
  <c r="G300" i="5"/>
  <c r="C280" i="5"/>
  <c r="F280" i="5"/>
  <c r="D213" i="5"/>
  <c r="E213" i="5"/>
  <c r="F213" i="5"/>
  <c r="C213" i="5"/>
  <c r="G213" i="5"/>
  <c r="F449" i="5"/>
  <c r="F428" i="5"/>
  <c r="D421" i="5"/>
  <c r="F407" i="5"/>
  <c r="E405" i="5"/>
  <c r="C405" i="5"/>
  <c r="D405" i="5"/>
  <c r="G400" i="5"/>
  <c r="F396" i="5"/>
  <c r="E372" i="5"/>
  <c r="G366" i="5"/>
  <c r="G360" i="5"/>
  <c r="D358" i="5"/>
  <c r="G355" i="5"/>
  <c r="C355" i="5"/>
  <c r="D355" i="5"/>
  <c r="E355" i="5"/>
  <c r="F355" i="5"/>
  <c r="C349" i="5"/>
  <c r="D349" i="5"/>
  <c r="E349" i="5"/>
  <c r="F349" i="5"/>
  <c r="G349" i="5"/>
  <c r="F346" i="5"/>
  <c r="C337" i="5"/>
  <c r="D337" i="5"/>
  <c r="E337" i="5"/>
  <c r="F337" i="5"/>
  <c r="G337" i="5"/>
  <c r="C325" i="5"/>
  <c r="D325" i="5"/>
  <c r="E325" i="5"/>
  <c r="F325" i="5"/>
  <c r="G325" i="5"/>
  <c r="G316" i="5"/>
  <c r="C293" i="5"/>
  <c r="E293" i="5"/>
  <c r="G293" i="5"/>
  <c r="E195" i="5"/>
  <c r="G195" i="5"/>
  <c r="C195" i="5"/>
  <c r="D195" i="5"/>
  <c r="F195" i="5"/>
  <c r="E449" i="5"/>
  <c r="F400" i="5"/>
  <c r="D372" i="5"/>
  <c r="F366" i="5"/>
  <c r="F360" i="5"/>
  <c r="E346" i="5"/>
  <c r="F316" i="5"/>
  <c r="G289" i="5"/>
  <c r="D289" i="5"/>
  <c r="E289" i="5"/>
  <c r="F289" i="5"/>
  <c r="F272" i="5"/>
  <c r="D272" i="5"/>
  <c r="G272" i="5"/>
  <c r="C272" i="5"/>
  <c r="E272" i="5"/>
  <c r="D250" i="5"/>
  <c r="C250" i="5"/>
  <c r="F250" i="5"/>
  <c r="G250" i="5"/>
  <c r="E242" i="5"/>
  <c r="F242" i="5"/>
  <c r="D242" i="5"/>
  <c r="G242" i="5"/>
  <c r="C242" i="5"/>
  <c r="C220" i="5"/>
  <c r="D220" i="5"/>
  <c r="E220" i="5"/>
  <c r="F220" i="5"/>
  <c r="G220" i="5"/>
  <c r="C172" i="5"/>
  <c r="D172" i="5"/>
  <c r="E172" i="5"/>
  <c r="F172" i="5"/>
  <c r="G172" i="5"/>
  <c r="C407" i="5"/>
  <c r="D407" i="5"/>
  <c r="E400" i="5"/>
  <c r="C396" i="5"/>
  <c r="D396" i="5"/>
  <c r="E366" i="5"/>
  <c r="C363" i="5"/>
  <c r="D363" i="5"/>
  <c r="E363" i="5"/>
  <c r="F363" i="5"/>
  <c r="E360" i="5"/>
  <c r="G354" i="5"/>
  <c r="G348" i="5"/>
  <c r="G343" i="5"/>
  <c r="C343" i="5"/>
  <c r="D343" i="5"/>
  <c r="E343" i="5"/>
  <c r="F343" i="5"/>
  <c r="G331" i="5"/>
  <c r="C331" i="5"/>
  <c r="D331" i="5"/>
  <c r="E331" i="5"/>
  <c r="F331" i="5"/>
  <c r="F319" i="5"/>
  <c r="C319" i="5"/>
  <c r="D319" i="5"/>
  <c r="E319" i="5"/>
  <c r="G319" i="5"/>
  <c r="E316" i="5"/>
  <c r="D312" i="5"/>
  <c r="F312" i="5"/>
  <c r="E312" i="5"/>
  <c r="G276" i="5"/>
  <c r="C276" i="5"/>
  <c r="E276" i="5"/>
  <c r="F276" i="5"/>
  <c r="C269" i="5"/>
  <c r="D269" i="5"/>
  <c r="F269" i="5"/>
  <c r="G269" i="5"/>
  <c r="G306" i="5"/>
  <c r="C306" i="5"/>
  <c r="E306" i="5"/>
  <c r="F306" i="5"/>
  <c r="C257" i="5"/>
  <c r="F257" i="5"/>
  <c r="G257" i="5"/>
  <c r="D257" i="5"/>
  <c r="E257" i="5"/>
  <c r="F248" i="5"/>
  <c r="G248" i="5"/>
  <c r="C248" i="5"/>
  <c r="D248" i="5"/>
  <c r="E248" i="5"/>
  <c r="E231" i="5"/>
  <c r="G231" i="5"/>
  <c r="C231" i="5"/>
  <c r="F231" i="5"/>
  <c r="E354" i="5"/>
  <c r="C351" i="5"/>
  <c r="D351" i="5"/>
  <c r="E351" i="5"/>
  <c r="F351" i="5"/>
  <c r="C339" i="5"/>
  <c r="D339" i="5"/>
  <c r="E339" i="5"/>
  <c r="F339" i="5"/>
  <c r="G339" i="5"/>
  <c r="C327" i="5"/>
  <c r="D327" i="5"/>
  <c r="E327" i="5"/>
  <c r="F327" i="5"/>
  <c r="G327" i="5"/>
  <c r="G318" i="5"/>
  <c r="F295" i="5"/>
  <c r="D295" i="5"/>
  <c r="G295" i="5"/>
  <c r="D288" i="5"/>
  <c r="F288" i="5"/>
  <c r="E288" i="5"/>
  <c r="F284" i="5"/>
  <c r="E284" i="5"/>
  <c r="G284" i="5"/>
  <c r="C268" i="5"/>
  <c r="D268" i="5"/>
  <c r="E268" i="5"/>
  <c r="G268" i="5"/>
  <c r="F268" i="5"/>
  <c r="C209" i="5"/>
  <c r="F209" i="5"/>
  <c r="G209" i="5"/>
  <c r="D209" i="5"/>
  <c r="E209" i="5"/>
  <c r="C354" i="5"/>
  <c r="F318" i="5"/>
  <c r="E315" i="5"/>
  <c r="C315" i="5"/>
  <c r="D315" i="5"/>
  <c r="F315" i="5"/>
  <c r="G315" i="5"/>
  <c r="D298" i="5"/>
  <c r="C298" i="5"/>
  <c r="E298" i="5"/>
  <c r="F298" i="5"/>
  <c r="C287" i="5"/>
  <c r="D287" i="5"/>
  <c r="E287" i="5"/>
  <c r="F287" i="5"/>
  <c r="G287" i="5"/>
  <c r="E267" i="5"/>
  <c r="C267" i="5"/>
  <c r="D267" i="5"/>
  <c r="F267" i="5"/>
  <c r="G267" i="5"/>
  <c r="C365" i="5"/>
  <c r="D365" i="5"/>
  <c r="E365" i="5"/>
  <c r="F365" i="5"/>
  <c r="E345" i="5"/>
  <c r="G345" i="5"/>
  <c r="C345" i="5"/>
  <c r="D345" i="5"/>
  <c r="F345" i="5"/>
  <c r="E333" i="5"/>
  <c r="G333" i="5"/>
  <c r="C333" i="5"/>
  <c r="D333" i="5"/>
  <c r="F333" i="5"/>
  <c r="E321" i="5"/>
  <c r="G321" i="5"/>
  <c r="C321" i="5"/>
  <c r="D321" i="5"/>
  <c r="F321" i="5"/>
  <c r="F308" i="5"/>
  <c r="E308" i="5"/>
  <c r="D308" i="5"/>
  <c r="G308" i="5"/>
  <c r="D302" i="5"/>
  <c r="E302" i="5"/>
  <c r="F302" i="5"/>
  <c r="G302" i="5"/>
  <c r="E291" i="5"/>
  <c r="C291" i="5"/>
  <c r="F291" i="5"/>
  <c r="G291" i="5"/>
  <c r="E278" i="5"/>
  <c r="D278" i="5"/>
  <c r="G278" i="5"/>
  <c r="E266" i="5"/>
  <c r="F266" i="5"/>
  <c r="D266" i="5"/>
  <c r="G266" i="5"/>
  <c r="C266" i="5"/>
  <c r="C244" i="5"/>
  <c r="D244" i="5"/>
  <c r="G244" i="5"/>
  <c r="E244" i="5"/>
  <c r="F244" i="5"/>
  <c r="D226" i="5"/>
  <c r="C226" i="5"/>
  <c r="E226" i="5"/>
  <c r="F226" i="5"/>
  <c r="G226" i="5"/>
  <c r="E390" i="5"/>
  <c r="F390" i="5"/>
  <c r="G390" i="5"/>
  <c r="G378" i="5"/>
  <c r="E350" i="5"/>
  <c r="E338" i="5"/>
  <c r="E326" i="5"/>
  <c r="D318" i="5"/>
  <c r="F301" i="5"/>
  <c r="F286" i="5"/>
  <c r="C310" i="5"/>
  <c r="D301" i="5"/>
  <c r="C286" i="5"/>
  <c r="D274" i="5"/>
  <c r="F274" i="5"/>
  <c r="C274" i="5"/>
  <c r="E274" i="5"/>
  <c r="G274" i="5"/>
  <c r="C255" i="5"/>
  <c r="C245" i="5"/>
  <c r="D245" i="5"/>
  <c r="G245" i="5"/>
  <c r="C239" i="5"/>
  <c r="D239" i="5"/>
  <c r="E219" i="5"/>
  <c r="C219" i="5"/>
  <c r="G219" i="5"/>
  <c r="C160" i="5"/>
  <c r="D160" i="5"/>
  <c r="E160" i="5"/>
  <c r="G160" i="5"/>
  <c r="E171" i="5"/>
  <c r="C171" i="5"/>
  <c r="D171" i="5"/>
  <c r="G171" i="5"/>
  <c r="C282" i="5"/>
  <c r="D273" i="5"/>
  <c r="E273" i="5"/>
  <c r="E265" i="5"/>
  <c r="D263" i="5"/>
  <c r="G249" i="5"/>
  <c r="F241" i="5"/>
  <c r="D238" i="5"/>
  <c r="C238" i="5"/>
  <c r="E238" i="5"/>
  <c r="F238" i="5"/>
  <c r="E233" i="5"/>
  <c r="E218" i="5"/>
  <c r="F218" i="5"/>
  <c r="G218" i="5"/>
  <c r="D218" i="5"/>
  <c r="G204" i="5"/>
  <c r="E204" i="5"/>
  <c r="E159" i="5"/>
  <c r="C159" i="5"/>
  <c r="D159" i="5"/>
  <c r="F159" i="5"/>
  <c r="G159" i="5"/>
  <c r="E241" i="5"/>
  <c r="F235" i="5"/>
  <c r="G235" i="5"/>
  <c r="D233" i="5"/>
  <c r="E206" i="5"/>
  <c r="F206" i="5"/>
  <c r="G206" i="5"/>
  <c r="E197" i="5"/>
  <c r="D190" i="5"/>
  <c r="E190" i="5"/>
  <c r="F190" i="5"/>
  <c r="E170" i="5"/>
  <c r="F170" i="5"/>
  <c r="G170" i="5"/>
  <c r="D170" i="5"/>
  <c r="D154" i="5"/>
  <c r="C154" i="5"/>
  <c r="E154" i="5"/>
  <c r="F154" i="5"/>
  <c r="G154" i="5"/>
  <c r="D249" i="5"/>
  <c r="E249" i="5"/>
  <c r="C249" i="5"/>
  <c r="C184" i="5"/>
  <c r="D184" i="5"/>
  <c r="E184" i="5"/>
  <c r="F184" i="5"/>
  <c r="G184" i="5"/>
  <c r="D177" i="5"/>
  <c r="E177" i="5"/>
  <c r="F177" i="5"/>
  <c r="C177" i="5"/>
  <c r="G177" i="5"/>
  <c r="E158" i="5"/>
  <c r="F158" i="5"/>
  <c r="G158" i="5"/>
  <c r="C158" i="5"/>
  <c r="D153" i="5"/>
  <c r="E153" i="5"/>
  <c r="F153" i="5"/>
  <c r="C153" i="5"/>
  <c r="G153" i="5"/>
  <c r="D311" i="5"/>
  <c r="C305" i="5"/>
  <c r="D305" i="5"/>
  <c r="E303" i="5"/>
  <c r="D303" i="5"/>
  <c r="D296" i="5"/>
  <c r="E294" i="5"/>
  <c r="E292" i="5"/>
  <c r="C290" i="5"/>
  <c r="E290" i="5"/>
  <c r="G241" i="5"/>
  <c r="D241" i="5"/>
  <c r="C227" i="5"/>
  <c r="E227" i="5"/>
  <c r="F227" i="5"/>
  <c r="G227" i="5"/>
  <c r="C221" i="5"/>
  <c r="D221" i="5"/>
  <c r="E221" i="5"/>
  <c r="F221" i="5"/>
  <c r="C197" i="5"/>
  <c r="F197" i="5"/>
  <c r="G197" i="5"/>
  <c r="D166" i="5"/>
  <c r="C166" i="5"/>
  <c r="E166" i="5"/>
  <c r="F166" i="5"/>
  <c r="C296" i="5"/>
  <c r="D294" i="5"/>
  <c r="C292" i="5"/>
  <c r="E285" i="5"/>
  <c r="G277" i="5"/>
  <c r="C277" i="5"/>
  <c r="D237" i="5"/>
  <c r="E237" i="5"/>
  <c r="F199" i="5"/>
  <c r="G199" i="5"/>
  <c r="D199" i="5"/>
  <c r="E199" i="5"/>
  <c r="C196" i="5"/>
  <c r="D196" i="5"/>
  <c r="E196" i="5"/>
  <c r="F196" i="5"/>
  <c r="G196" i="5"/>
  <c r="D189" i="5"/>
  <c r="E189" i="5"/>
  <c r="F189" i="5"/>
  <c r="C189" i="5"/>
  <c r="D285" i="5"/>
  <c r="E279" i="5"/>
  <c r="C279" i="5"/>
  <c r="D262" i="5"/>
  <c r="C262" i="5"/>
  <c r="F259" i="5"/>
  <c r="G259" i="5"/>
  <c r="D259" i="5"/>
  <c r="E259" i="5"/>
  <c r="E254" i="5"/>
  <c r="F254" i="5"/>
  <c r="F211" i="5"/>
  <c r="G211" i="5"/>
  <c r="D211" i="5"/>
  <c r="E211" i="5"/>
  <c r="D165" i="5"/>
  <c r="E165" i="5"/>
  <c r="F165" i="5"/>
  <c r="C165" i="5"/>
  <c r="C281" i="5"/>
  <c r="D281" i="5"/>
  <c r="G240" i="5"/>
  <c r="D240" i="5"/>
  <c r="E240" i="5"/>
  <c r="F240" i="5"/>
  <c r="C232" i="5"/>
  <c r="D232" i="5"/>
  <c r="E232" i="5"/>
  <c r="D202" i="5"/>
  <c r="E202" i="5"/>
  <c r="F202" i="5"/>
  <c r="G202" i="5"/>
  <c r="E183" i="5"/>
  <c r="C183" i="5"/>
  <c r="G183" i="5"/>
  <c r="G253" i="5"/>
  <c r="C253" i="5"/>
  <c r="D253" i="5"/>
  <c r="E253" i="5"/>
  <c r="F253" i="5"/>
  <c r="G239" i="5"/>
  <c r="G229" i="5"/>
  <c r="E229" i="5"/>
  <c r="F229" i="5"/>
  <c r="C208" i="5"/>
  <c r="D208" i="5"/>
  <c r="E208" i="5"/>
  <c r="F208" i="5"/>
  <c r="C173" i="5"/>
  <c r="D173" i="5"/>
  <c r="E173" i="5"/>
  <c r="F173" i="5"/>
  <c r="G173" i="5"/>
  <c r="C161" i="5"/>
  <c r="D161" i="5"/>
  <c r="E161" i="5"/>
  <c r="F161" i="5"/>
  <c r="G161" i="5"/>
  <c r="F282" i="5"/>
  <c r="G273" i="5"/>
  <c r="F271" i="5"/>
  <c r="G271" i="5"/>
  <c r="G263" i="5"/>
  <c r="C256" i="5"/>
  <c r="D256" i="5"/>
  <c r="F252" i="5"/>
  <c r="E245" i="5"/>
  <c r="E239" i="5"/>
  <c r="D225" i="5"/>
  <c r="E225" i="5"/>
  <c r="C225" i="5"/>
  <c r="F225" i="5"/>
  <c r="G225" i="5"/>
  <c r="D219" i="5"/>
  <c r="G216" i="5"/>
  <c r="D216" i="5"/>
  <c r="E216" i="5"/>
  <c r="F216" i="5"/>
  <c r="E207" i="5"/>
  <c r="C207" i="5"/>
  <c r="D207" i="5"/>
  <c r="F207" i="5"/>
  <c r="G207" i="5"/>
  <c r="F204" i="5"/>
  <c r="D201" i="5"/>
  <c r="E201" i="5"/>
  <c r="F201" i="5"/>
  <c r="F160" i="5"/>
  <c r="D156" i="5"/>
  <c r="F163" i="5"/>
  <c r="G163" i="5"/>
  <c r="C156" i="5"/>
  <c r="C179" i="5"/>
  <c r="D179" i="5"/>
  <c r="C215" i="5"/>
  <c r="D215" i="5"/>
  <c r="D192" i="5"/>
  <c r="E178" i="5"/>
  <c r="C167" i="5"/>
  <c r="D167" i="5"/>
  <c r="E162" i="5"/>
  <c r="C155" i="5"/>
  <c r="D155" i="5"/>
  <c r="E194" i="5"/>
  <c r="F194" i="5"/>
  <c r="G194" i="5"/>
  <c r="F187" i="5"/>
  <c r="G187" i="5"/>
  <c r="F247" i="5"/>
  <c r="G247" i="5"/>
  <c r="D236" i="5"/>
  <c r="E230" i="5"/>
  <c r="F230" i="5"/>
  <c r="D223" i="5"/>
  <c r="E214" i="5"/>
  <c r="C203" i="5"/>
  <c r="D203" i="5"/>
  <c r="G191" i="5"/>
  <c r="D182" i="5"/>
  <c r="D180" i="5"/>
  <c r="D175" i="5"/>
  <c r="D264" i="5"/>
  <c r="E251" i="5"/>
  <c r="C236" i="5"/>
  <c r="C214" i="5"/>
  <c r="D200" i="5"/>
  <c r="C180" i="5"/>
  <c r="F168" i="5"/>
  <c r="F223" i="5"/>
  <c r="G223" i="5"/>
  <c r="G188" i="5"/>
  <c r="E182" i="5"/>
  <c r="F182" i="5"/>
  <c r="G182" i="5"/>
  <c r="F175" i="5"/>
  <c r="G175" i="5"/>
  <c r="E168" i="5"/>
  <c r="E163" i="5"/>
  <c r="F156" i="5"/>
  <c r="C191" i="5"/>
  <c r="D191" i="5"/>
  <c r="E188" i="5"/>
  <c r="G179" i="5"/>
  <c r="D168" i="5"/>
  <c r="D163" i="5"/>
  <c r="E156" i="5"/>
  <c r="C151" i="5"/>
  <c r="D151" i="5"/>
  <c r="E151" i="5"/>
  <c r="F151" i="5"/>
  <c r="G151" i="5"/>
  <c r="A23" i="7"/>
  <c r="G138" i="5"/>
  <c r="D138" i="5"/>
  <c r="E92" i="5"/>
  <c r="F92" i="5"/>
  <c r="G92" i="5"/>
  <c r="E80" i="5"/>
  <c r="F80" i="5"/>
  <c r="G80" i="5"/>
  <c r="E68" i="5"/>
  <c r="F68" i="5"/>
  <c r="G68" i="5"/>
  <c r="C83" i="5"/>
  <c r="E83" i="5"/>
  <c r="E140" i="5"/>
  <c r="F140" i="5"/>
  <c r="G140" i="5"/>
  <c r="C119" i="5"/>
  <c r="D119" i="5"/>
  <c r="E119" i="5"/>
  <c r="F119" i="5"/>
  <c r="G119" i="5"/>
  <c r="C110" i="5"/>
  <c r="D110" i="5"/>
  <c r="E110" i="5"/>
  <c r="F110" i="5"/>
  <c r="G110" i="5"/>
  <c r="G102" i="5"/>
  <c r="C102" i="5"/>
  <c r="D102" i="5"/>
  <c r="E102" i="5"/>
  <c r="F102" i="5"/>
  <c r="C76" i="5"/>
  <c r="D76" i="5"/>
  <c r="E76" i="5"/>
  <c r="F76" i="5"/>
  <c r="G76" i="5"/>
  <c r="D137" i="5"/>
  <c r="E137" i="5"/>
  <c r="F137" i="5"/>
  <c r="G137" i="5"/>
  <c r="C137" i="5"/>
  <c r="C118" i="5"/>
  <c r="E118" i="5"/>
  <c r="F118" i="5"/>
  <c r="G118" i="5"/>
  <c r="D118" i="5"/>
  <c r="F109" i="5"/>
  <c r="G109" i="5"/>
  <c r="C109" i="5"/>
  <c r="D109" i="5"/>
  <c r="E109" i="5"/>
  <c r="D75" i="5"/>
  <c r="F75" i="5"/>
  <c r="G75" i="5"/>
  <c r="E75" i="5"/>
  <c r="C75" i="5"/>
  <c r="D143" i="5"/>
  <c r="E143" i="5"/>
  <c r="C143" i="5"/>
  <c r="F143" i="5"/>
  <c r="G143" i="5"/>
  <c r="F136" i="5"/>
  <c r="C136" i="5"/>
  <c r="D136" i="5"/>
  <c r="E136" i="5"/>
  <c r="G136" i="5"/>
  <c r="C117" i="5"/>
  <c r="D117" i="5"/>
  <c r="E117" i="5"/>
  <c r="F117" i="5"/>
  <c r="G117" i="5"/>
  <c r="C100" i="5"/>
  <c r="D100" i="5"/>
  <c r="E100" i="5"/>
  <c r="F100" i="5"/>
  <c r="G100" i="5"/>
  <c r="C74" i="5"/>
  <c r="D74" i="5"/>
  <c r="E74" i="5"/>
  <c r="F74" i="5"/>
  <c r="G74" i="5"/>
  <c r="C142" i="5"/>
  <c r="E142" i="5"/>
  <c r="F142" i="5"/>
  <c r="G142" i="5"/>
  <c r="D142" i="5"/>
  <c r="D135" i="5"/>
  <c r="F135" i="5"/>
  <c r="G135" i="5"/>
  <c r="C135" i="5"/>
  <c r="E135" i="5"/>
  <c r="C127" i="5"/>
  <c r="D127" i="5"/>
  <c r="E127" i="5"/>
  <c r="F127" i="5"/>
  <c r="G127" i="5"/>
  <c r="D99" i="5"/>
  <c r="F99" i="5"/>
  <c r="G99" i="5"/>
  <c r="E99" i="5"/>
  <c r="C99" i="5"/>
  <c r="C91" i="5"/>
  <c r="D91" i="5"/>
  <c r="E91" i="5"/>
  <c r="F91" i="5"/>
  <c r="G91" i="5"/>
  <c r="C82" i="5"/>
  <c r="E82" i="5"/>
  <c r="F82" i="5"/>
  <c r="G82" i="5"/>
  <c r="D82" i="5"/>
  <c r="F73" i="5"/>
  <c r="G73" i="5"/>
  <c r="C73" i="5"/>
  <c r="D73" i="5"/>
  <c r="E73" i="5"/>
  <c r="C67" i="5"/>
  <c r="D67" i="5"/>
  <c r="E67" i="5"/>
  <c r="F67" i="5"/>
  <c r="G67" i="5"/>
  <c r="D101" i="5"/>
  <c r="E101" i="5"/>
  <c r="F101" i="5"/>
  <c r="G101" i="5"/>
  <c r="C101" i="5"/>
  <c r="F141" i="5"/>
  <c r="C141" i="5"/>
  <c r="D141" i="5"/>
  <c r="E141" i="5"/>
  <c r="G141" i="5"/>
  <c r="C134" i="5"/>
  <c r="D134" i="5"/>
  <c r="E134" i="5"/>
  <c r="F134" i="5"/>
  <c r="G134" i="5"/>
  <c r="G126" i="5"/>
  <c r="C126" i="5"/>
  <c r="D126" i="5"/>
  <c r="E126" i="5"/>
  <c r="F126" i="5"/>
  <c r="C107" i="5"/>
  <c r="D107" i="5"/>
  <c r="E107" i="5"/>
  <c r="F107" i="5"/>
  <c r="G107" i="5"/>
  <c r="C98" i="5"/>
  <c r="D98" i="5"/>
  <c r="E98" i="5"/>
  <c r="F98" i="5"/>
  <c r="G98" i="5"/>
  <c r="G90" i="5"/>
  <c r="C90" i="5"/>
  <c r="D90" i="5"/>
  <c r="E90" i="5"/>
  <c r="F90" i="5"/>
  <c r="C81" i="5"/>
  <c r="D81" i="5"/>
  <c r="E81" i="5"/>
  <c r="F81" i="5"/>
  <c r="G81" i="5"/>
  <c r="G66" i="5"/>
  <c r="C66" i="5"/>
  <c r="D66" i="5"/>
  <c r="E66" i="5"/>
  <c r="F66" i="5"/>
  <c r="C103" i="5"/>
  <c r="D103" i="5"/>
  <c r="E103" i="5"/>
  <c r="F103" i="5"/>
  <c r="G103" i="5"/>
  <c r="C106" i="5"/>
  <c r="E106" i="5"/>
  <c r="F106" i="5"/>
  <c r="D106" i="5"/>
  <c r="G106" i="5"/>
  <c r="F97" i="5"/>
  <c r="C97" i="5"/>
  <c r="G97" i="5"/>
  <c r="D97" i="5"/>
  <c r="E97" i="5"/>
  <c r="D89" i="5"/>
  <c r="E89" i="5"/>
  <c r="F89" i="5"/>
  <c r="G89" i="5"/>
  <c r="C89" i="5"/>
  <c r="C65" i="5"/>
  <c r="D65" i="5"/>
  <c r="E65" i="5"/>
  <c r="F65" i="5"/>
  <c r="G65" i="5"/>
  <c r="C77" i="5"/>
  <c r="D77" i="5"/>
  <c r="E77" i="5"/>
  <c r="F77" i="5"/>
  <c r="G77" i="5"/>
  <c r="D125" i="5"/>
  <c r="E125" i="5"/>
  <c r="F125" i="5"/>
  <c r="G125" i="5"/>
  <c r="C125" i="5"/>
  <c r="G150" i="5"/>
  <c r="C150" i="5"/>
  <c r="D150" i="5"/>
  <c r="E150" i="5"/>
  <c r="F150" i="5"/>
  <c r="C124" i="5"/>
  <c r="D124" i="5"/>
  <c r="E124" i="5"/>
  <c r="F124" i="5"/>
  <c r="G124" i="5"/>
  <c r="C105" i="5"/>
  <c r="D105" i="5"/>
  <c r="E105" i="5"/>
  <c r="F105" i="5"/>
  <c r="G105" i="5"/>
  <c r="C88" i="5"/>
  <c r="D88" i="5"/>
  <c r="E88" i="5"/>
  <c r="F88" i="5"/>
  <c r="G88" i="5"/>
  <c r="C64" i="5"/>
  <c r="D64" i="5"/>
  <c r="E64" i="5"/>
  <c r="F64" i="5"/>
  <c r="G64" i="5"/>
  <c r="F133" i="5"/>
  <c r="G133" i="5"/>
  <c r="C133" i="5"/>
  <c r="D133" i="5"/>
  <c r="E133" i="5"/>
  <c r="E149" i="5"/>
  <c r="F149" i="5"/>
  <c r="G149" i="5"/>
  <c r="C149" i="5"/>
  <c r="D149" i="5"/>
  <c r="D123" i="5"/>
  <c r="F123" i="5"/>
  <c r="G123" i="5"/>
  <c r="E123" i="5"/>
  <c r="C123" i="5"/>
  <c r="C115" i="5"/>
  <c r="D115" i="5"/>
  <c r="E115" i="5"/>
  <c r="F115" i="5"/>
  <c r="G115" i="5"/>
  <c r="D87" i="5"/>
  <c r="F87" i="5"/>
  <c r="G87" i="5"/>
  <c r="E87" i="5"/>
  <c r="C87" i="5"/>
  <c r="D63" i="5"/>
  <c r="E63" i="5"/>
  <c r="F63" i="5"/>
  <c r="G63" i="5"/>
  <c r="C63" i="5"/>
  <c r="F145" i="5"/>
  <c r="C145" i="5"/>
  <c r="G145" i="5"/>
  <c r="D145" i="5"/>
  <c r="E145" i="5"/>
  <c r="D148" i="5"/>
  <c r="E148" i="5"/>
  <c r="C148" i="5"/>
  <c r="F148" i="5"/>
  <c r="G148" i="5"/>
  <c r="C131" i="5"/>
  <c r="D131" i="5"/>
  <c r="E131" i="5"/>
  <c r="F131" i="5"/>
  <c r="G131" i="5"/>
  <c r="C122" i="5"/>
  <c r="D122" i="5"/>
  <c r="E122" i="5"/>
  <c r="F122" i="5"/>
  <c r="G122" i="5"/>
  <c r="G114" i="5"/>
  <c r="C114" i="5"/>
  <c r="D114" i="5"/>
  <c r="E114" i="5"/>
  <c r="F114" i="5"/>
  <c r="C95" i="5"/>
  <c r="D95" i="5"/>
  <c r="E95" i="5"/>
  <c r="F95" i="5"/>
  <c r="G95" i="5"/>
  <c r="C86" i="5"/>
  <c r="D86" i="5"/>
  <c r="E86" i="5"/>
  <c r="F86" i="5"/>
  <c r="G86" i="5"/>
  <c r="C62" i="5"/>
  <c r="D62" i="5"/>
  <c r="E62" i="5"/>
  <c r="F62" i="5"/>
  <c r="G62" i="5"/>
  <c r="D147" i="5"/>
  <c r="G147" i="5"/>
  <c r="E147" i="5"/>
  <c r="F147" i="5"/>
  <c r="C147" i="5"/>
  <c r="C139" i="5"/>
  <c r="D139" i="5"/>
  <c r="E139" i="5"/>
  <c r="F139" i="5"/>
  <c r="G139" i="5"/>
  <c r="C130" i="5"/>
  <c r="E130" i="5"/>
  <c r="F130" i="5"/>
  <c r="G130" i="5"/>
  <c r="D130" i="5"/>
  <c r="F121" i="5"/>
  <c r="G121" i="5"/>
  <c r="C121" i="5"/>
  <c r="D121" i="5"/>
  <c r="E121" i="5"/>
  <c r="D113" i="5"/>
  <c r="E113" i="5"/>
  <c r="C113" i="5"/>
  <c r="F113" i="5"/>
  <c r="G113" i="5"/>
  <c r="C94" i="5"/>
  <c r="E94" i="5"/>
  <c r="F94" i="5"/>
  <c r="G94" i="5"/>
  <c r="D94" i="5"/>
  <c r="F85" i="5"/>
  <c r="C85" i="5"/>
  <c r="D85" i="5"/>
  <c r="G85" i="5"/>
  <c r="E85" i="5"/>
  <c r="C79" i="5"/>
  <c r="D79" i="5"/>
  <c r="E79" i="5"/>
  <c r="F79" i="5"/>
  <c r="G79" i="5"/>
  <c r="C70" i="5"/>
  <c r="E70" i="5"/>
  <c r="F70" i="5"/>
  <c r="G70" i="5"/>
  <c r="D70" i="5"/>
  <c r="F61" i="5"/>
  <c r="G61" i="5"/>
  <c r="C61" i="5"/>
  <c r="D61" i="5"/>
  <c r="E61" i="5"/>
  <c r="D111" i="5"/>
  <c r="F111" i="5"/>
  <c r="G111" i="5"/>
  <c r="E111" i="5"/>
  <c r="C111" i="5"/>
  <c r="F146" i="5"/>
  <c r="G146" i="5"/>
  <c r="C146" i="5"/>
  <c r="D146" i="5"/>
  <c r="E146" i="5"/>
  <c r="C129" i="5"/>
  <c r="D129" i="5"/>
  <c r="E129" i="5"/>
  <c r="F129" i="5"/>
  <c r="G129" i="5"/>
  <c r="C112" i="5"/>
  <c r="D112" i="5"/>
  <c r="E112" i="5"/>
  <c r="F112" i="5"/>
  <c r="G112" i="5"/>
  <c r="C93" i="5"/>
  <c r="D93" i="5"/>
  <c r="E93" i="5"/>
  <c r="F93" i="5"/>
  <c r="G93" i="5"/>
  <c r="G78" i="5"/>
  <c r="C78" i="5"/>
  <c r="D78" i="5"/>
  <c r="E78" i="5"/>
  <c r="F78" i="5"/>
  <c r="C69" i="5"/>
  <c r="D69" i="5"/>
  <c r="E69" i="5"/>
  <c r="F69" i="5"/>
  <c r="G69" i="5"/>
  <c r="C60" i="5"/>
  <c r="D60" i="5"/>
  <c r="E60" i="5"/>
  <c r="F60" i="5"/>
  <c r="G60" i="5"/>
  <c r="D140" i="5"/>
  <c r="F138" i="5"/>
  <c r="D128" i="5"/>
  <c r="D116" i="5"/>
  <c r="D104" i="5"/>
  <c r="D92" i="5"/>
  <c r="G83" i="5"/>
  <c r="D80" i="5"/>
  <c r="G71" i="5"/>
  <c r="D68" i="5"/>
  <c r="C140" i="5"/>
  <c r="E138" i="5"/>
  <c r="C128" i="5"/>
  <c r="C116" i="5"/>
  <c r="C104" i="5"/>
  <c r="C92" i="5"/>
  <c r="F83" i="5"/>
  <c r="C80" i="5"/>
  <c r="F71" i="5"/>
  <c r="C68" i="5"/>
  <c r="C138" i="5"/>
  <c r="D83" i="5"/>
  <c r="D71" i="5"/>
  <c r="G144" i="5"/>
  <c r="G132" i="5"/>
  <c r="G120" i="5"/>
  <c r="G108" i="5"/>
  <c r="G96" i="5"/>
  <c r="G84" i="5"/>
  <c r="G72" i="5"/>
  <c r="F144" i="5"/>
  <c r="F132" i="5"/>
  <c r="F120" i="5"/>
  <c r="F108" i="5"/>
  <c r="F96" i="5"/>
  <c r="F84" i="5"/>
  <c r="F72" i="5"/>
  <c r="E144" i="5"/>
  <c r="E132" i="5"/>
  <c r="E120" i="5"/>
  <c r="E108" i="5"/>
  <c r="E96" i="5"/>
  <c r="E84" i="5"/>
  <c r="E72" i="5"/>
  <c r="D144" i="5"/>
  <c r="D132" i="5"/>
  <c r="D120" i="5"/>
  <c r="D108" i="5"/>
  <c r="D96" i="5"/>
  <c r="D84" i="5"/>
  <c r="D7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<sst xmlns="http://schemas.openxmlformats.org/spreadsheetml/2006/main" count="11250" uniqueCount="2187">
  <si>
    <t>Order_ID</t>
  </si>
  <si>
    <t>Customer_ID</t>
  </si>
  <si>
    <t>Product_SKU</t>
  </si>
  <si>
    <t>Quantity</t>
  </si>
  <si>
    <t>Order_Timestamp</t>
  </si>
  <si>
    <t>Payment_Method</t>
  </si>
  <si>
    <t>Order_Country</t>
  </si>
  <si>
    <t>Device_Used</t>
  </si>
  <si>
    <t>Raw_Status</t>
  </si>
  <si>
    <t>ORD100000</t>
  </si>
  <si>
    <t>CUST-1129</t>
  </si>
  <si>
    <t>PROD-ELEC-057</t>
  </si>
  <si>
    <t>Digital_Wallet</t>
  </si>
  <si>
    <t>Canada</t>
  </si>
  <si>
    <t>Mobile_App</t>
  </si>
  <si>
    <t xml:space="preserve">   delivered </t>
  </si>
  <si>
    <t>ORD100001</t>
  </si>
  <si>
    <t>CUST-1041</t>
  </si>
  <si>
    <t>PROD-APPA-137</t>
  </si>
  <si>
    <t>Credit_Card</t>
  </si>
  <si>
    <t>United Kingdom</t>
  </si>
  <si>
    <t>ORD100002</t>
  </si>
  <si>
    <t>CUST-1240</t>
  </si>
  <si>
    <t>PROD-ELEC-078</t>
  </si>
  <si>
    <t>Mobile_Web</t>
  </si>
  <si>
    <t>ORD100003</t>
  </si>
  <si>
    <t>CUST-1009</t>
  </si>
  <si>
    <t>PROD-DIGI-053</t>
  </si>
  <si>
    <t>ORD100004</t>
  </si>
  <si>
    <t>CUST-1276</t>
  </si>
  <si>
    <t>PROD-DIGI-131</t>
  </si>
  <si>
    <t>United States</t>
  </si>
  <si>
    <t xml:space="preserve">SHIPPED  </t>
  </si>
  <si>
    <t>ORD100005</t>
  </si>
  <si>
    <t>CUST-1026</t>
  </si>
  <si>
    <t>PROD-HOME-074</t>
  </si>
  <si>
    <t>ORD100006</t>
  </si>
  <si>
    <t>CUST-1179</t>
  </si>
  <si>
    <t>PROD-DIGI-073</t>
  </si>
  <si>
    <t>Crypto_Proxy</t>
  </si>
  <si>
    <t>Unknown Blacklisted Zone</t>
  </si>
  <si>
    <t>Desktop</t>
  </si>
  <si>
    <t>PENDING_REVIEW</t>
  </si>
  <si>
    <t>ORD100007</t>
  </si>
  <si>
    <t>CUST-1114</t>
  </si>
  <si>
    <t>PROD-APPA-091</t>
  </si>
  <si>
    <t>France</t>
  </si>
  <si>
    <t>ORD100008</t>
  </si>
  <si>
    <t>CUST-1035</t>
  </si>
  <si>
    <t>PROD-DIGI-076</t>
  </si>
  <si>
    <t>High-Risk Country Proxy</t>
  </si>
  <si>
    <t>Mobile_Emulator</t>
  </si>
  <si>
    <t>ORD100009</t>
  </si>
  <si>
    <t>CUST-1020</t>
  </si>
  <si>
    <t>PROD-ELEC-021</t>
  </si>
  <si>
    <t>Bot_Server</t>
  </si>
  <si>
    <t xml:space="preserve"> cancelled</t>
  </si>
  <si>
    <t>ORD100010</t>
  </si>
  <si>
    <t>CUST-1015</t>
  </si>
  <si>
    <t>PROD-LUXU-025</t>
  </si>
  <si>
    <t>ORD100011</t>
  </si>
  <si>
    <t>CUST-1126</t>
  </si>
  <si>
    <t>PROD-ELEC-012</t>
  </si>
  <si>
    <t>ORD100012</t>
  </si>
  <si>
    <t>CUST-1102</t>
  </si>
  <si>
    <t>PROD-APPA-097</t>
  </si>
  <si>
    <t>ORD100013</t>
  </si>
  <si>
    <t>CUST-1010</t>
  </si>
  <si>
    <t>PROD-LUXU-032</t>
  </si>
  <si>
    <t>ORD100014</t>
  </si>
  <si>
    <t>CUST-1078</t>
  </si>
  <si>
    <t>PROD-DIGI-029</t>
  </si>
  <si>
    <t>ORD100015</t>
  </si>
  <si>
    <t>CUST-1122</t>
  </si>
  <si>
    <t>PROD-ELEC-055</t>
  </si>
  <si>
    <t>ORD100016</t>
  </si>
  <si>
    <t>CUST-1064</t>
  </si>
  <si>
    <t>PROD-HOME-108</t>
  </si>
  <si>
    <t>ORD100017</t>
  </si>
  <si>
    <t>CUST-1242</t>
  </si>
  <si>
    <t>PROD-LUXU-018</t>
  </si>
  <si>
    <t xml:space="preserve">REFUNDED </t>
  </si>
  <si>
    <t>ORD100018</t>
  </si>
  <si>
    <t>CUST-1058</t>
  </si>
  <si>
    <t>PROD-ELEC-035</t>
  </si>
  <si>
    <t>ORD100019</t>
  </si>
  <si>
    <t>CUST-1288</t>
  </si>
  <si>
    <t>PROD-APPA-122</t>
  </si>
  <si>
    <t>ORD100020</t>
  </si>
  <si>
    <t>CUST-1111</t>
  </si>
  <si>
    <t>PROD-DIGI-109</t>
  </si>
  <si>
    <t>ORD100021</t>
  </si>
  <si>
    <t>CUST-1238</t>
  </si>
  <si>
    <t>ORD100022</t>
  </si>
  <si>
    <t>CUST-1131</t>
  </si>
  <si>
    <t>PROD-APPA-072</t>
  </si>
  <si>
    <t>ORD100023</t>
  </si>
  <si>
    <t>CUST-1188</t>
  </si>
  <si>
    <t>ORD100024</t>
  </si>
  <si>
    <t>CUST-1085</t>
  </si>
  <si>
    <t>ORD100025</t>
  </si>
  <si>
    <t>PROD-ELEC-126</t>
  </si>
  <si>
    <t xml:space="preserve"> disputed  </t>
  </si>
  <si>
    <t>ORD100026</t>
  </si>
  <si>
    <t>CUST-1083</t>
  </si>
  <si>
    <t>PROD-ELEC-004</t>
  </si>
  <si>
    <t>ORD100027</t>
  </si>
  <si>
    <t>CUST-1159</t>
  </si>
  <si>
    <t>PROD-ELEC-007</t>
  </si>
  <si>
    <t>Germany</t>
  </si>
  <si>
    <t>ORD100028</t>
  </si>
  <si>
    <t>CUST-1055</t>
  </si>
  <si>
    <t>PROD-ELEC-087</t>
  </si>
  <si>
    <t>ORD100029</t>
  </si>
  <si>
    <t>CUST-1296</t>
  </si>
  <si>
    <t>ORD100030</t>
  </si>
  <si>
    <t>CUST-1013</t>
  </si>
  <si>
    <t>PROD-HOME-095</t>
  </si>
  <si>
    <t>ORD100031</t>
  </si>
  <si>
    <t>PROD-DIGI-006</t>
  </si>
  <si>
    <t>ORD100032</t>
  </si>
  <si>
    <t>CUST-1294</t>
  </si>
  <si>
    <t>PROD-LUXU-086</t>
  </si>
  <si>
    <t>ORD100033</t>
  </si>
  <si>
    <t>CUST-1192</t>
  </si>
  <si>
    <t>PROD-HOME-009</t>
  </si>
  <si>
    <t>ORD100034</t>
  </si>
  <si>
    <t>CUST-1203</t>
  </si>
  <si>
    <t>PROD-HOME-039</t>
  </si>
  <si>
    <t>ORD100035</t>
  </si>
  <si>
    <t>CUST-1101</t>
  </si>
  <si>
    <t>PROD-ELEC-028</t>
  </si>
  <si>
    <t>ORD100036</t>
  </si>
  <si>
    <t>CUST-1038</t>
  </si>
  <si>
    <t>PROD-DIGI-144</t>
  </si>
  <si>
    <t>ORD100037</t>
  </si>
  <si>
    <t>CUST-1124</t>
  </si>
  <si>
    <t>PROD-DIGI-090</t>
  </si>
  <si>
    <t>ORD100038</t>
  </si>
  <si>
    <t>CUST-1052</t>
  </si>
  <si>
    <t>PROD-HOME-085</t>
  </si>
  <si>
    <t>ORD100039</t>
  </si>
  <si>
    <t>CUST-1154</t>
  </si>
  <si>
    <t>PROD-LUXU-003</t>
  </si>
  <si>
    <t>ORD100040</t>
  </si>
  <si>
    <t>CUST-1061</t>
  </si>
  <si>
    <t>ORD100041</t>
  </si>
  <si>
    <t>CUST-1289</t>
  </si>
  <si>
    <t>PROD-ELEC-100</t>
  </si>
  <si>
    <t>ORD100042</t>
  </si>
  <si>
    <t>CUST-1021</t>
  </si>
  <si>
    <t>PROD-APPA-043</t>
  </si>
  <si>
    <t>ORD100043</t>
  </si>
  <si>
    <t>CUST-1177</t>
  </si>
  <si>
    <t>PROD-HOME-013</t>
  </si>
  <si>
    <t>ORD100044</t>
  </si>
  <si>
    <t>CUST-1272</t>
  </si>
  <si>
    <t>PROD-HOME-068</t>
  </si>
  <si>
    <t>ORD100045</t>
  </si>
  <si>
    <t>CUST-1219</t>
  </si>
  <si>
    <t>PROD-APPA-149</t>
  </si>
  <si>
    <t>ORD100046</t>
  </si>
  <si>
    <t>CUST-1189</t>
  </si>
  <si>
    <t>ORD100047</t>
  </si>
  <si>
    <t>PROD-LUXU-026</t>
  </si>
  <si>
    <t>ORD100048</t>
  </si>
  <si>
    <t>CUST-1259</t>
  </si>
  <si>
    <t>PROD-DIGI-125</t>
  </si>
  <si>
    <t>ORD100049</t>
  </si>
  <si>
    <t>CUST-1174</t>
  </si>
  <si>
    <t>Stolen_Card_Sim</t>
  </si>
  <si>
    <t>ORD100050</t>
  </si>
  <si>
    <t>CUST-1006</t>
  </si>
  <si>
    <t>PROD-LUXU-120</t>
  </si>
  <si>
    <t>ORD100051</t>
  </si>
  <si>
    <t>CUST-1215</t>
  </si>
  <si>
    <t>PROD-LUXU-124</t>
  </si>
  <si>
    <t>ORD100052</t>
  </si>
  <si>
    <t>CUST-1250</t>
  </si>
  <si>
    <t>ORD100053</t>
  </si>
  <si>
    <t>CUST-1054</t>
  </si>
  <si>
    <t>PROD-DIGI-099</t>
  </si>
  <si>
    <t>ORD100054</t>
  </si>
  <si>
    <t>CUST-1221</t>
  </si>
  <si>
    <t>PROD-APPA-040</t>
  </si>
  <si>
    <t>Bank_Transfer</t>
  </si>
  <si>
    <t>ORD100055</t>
  </si>
  <si>
    <t>CUST-1185</t>
  </si>
  <si>
    <t>ORD100056</t>
  </si>
  <si>
    <t>CUST-1235</t>
  </si>
  <si>
    <t>PROD-LUXU-052</t>
  </si>
  <si>
    <t>ORD100057</t>
  </si>
  <si>
    <t>PROD-LUXU-069</t>
  </si>
  <si>
    <t>ORD100058</t>
  </si>
  <si>
    <t>CUST-1222</t>
  </si>
  <si>
    <t>PROD-HOME-089</t>
  </si>
  <si>
    <t>ORD100059</t>
  </si>
  <si>
    <t>CUST-1090</t>
  </si>
  <si>
    <t>ORD100060</t>
  </si>
  <si>
    <t>CUST-1267</t>
  </si>
  <si>
    <t>PROD-APPA-058</t>
  </si>
  <si>
    <t>ORD100061</t>
  </si>
  <si>
    <t>CUST-1138</t>
  </si>
  <si>
    <t>PROD-HOME-017</t>
  </si>
  <si>
    <t>ORD100062</t>
  </si>
  <si>
    <t>CUST-1275</t>
  </si>
  <si>
    <t>PROD-ELEC-031</t>
  </si>
  <si>
    <t>ORD100063</t>
  </si>
  <si>
    <t>CUST-1247</t>
  </si>
  <si>
    <t>PROD-LUXU-129</t>
  </si>
  <si>
    <t>ORD100064</t>
  </si>
  <si>
    <t>ORD100065</t>
  </si>
  <si>
    <t>CUST-1223</t>
  </si>
  <si>
    <t>PROD-DIGI-063</t>
  </si>
  <si>
    <t>ORD100066</t>
  </si>
  <si>
    <t>CUST-1137</t>
  </si>
  <si>
    <t>PROD-LUXU-023</t>
  </si>
  <si>
    <t>ORD100067</t>
  </si>
  <si>
    <t>CUST-1165</t>
  </si>
  <si>
    <t>PROD-APPA-015</t>
  </si>
  <si>
    <t>ORD100068</t>
  </si>
  <si>
    <t>CUST-1125</t>
  </si>
  <si>
    <t>ORD100069</t>
  </si>
  <si>
    <t>CUST-1044</t>
  </si>
  <si>
    <t>PROD-HOME-093</t>
  </si>
  <si>
    <t>ORD100070</t>
  </si>
  <si>
    <t>CUST-1142</t>
  </si>
  <si>
    <t>ORD100071</t>
  </si>
  <si>
    <t>CUST-1230</t>
  </si>
  <si>
    <t>PROD-DIGI-118</t>
  </si>
  <si>
    <t>ORD100072</t>
  </si>
  <si>
    <t>ORD100073</t>
  </si>
  <si>
    <t>CUST-1237</t>
  </si>
  <si>
    <t>ORD100074</t>
  </si>
  <si>
    <t>CUST-1291</t>
  </si>
  <si>
    <t>ORD100075</t>
  </si>
  <si>
    <t>CUST-1194</t>
  </si>
  <si>
    <t>PROD-LUXU-020</t>
  </si>
  <si>
    <t>ORD100076</t>
  </si>
  <si>
    <t>CUST-1172</t>
  </si>
  <si>
    <t>ORD100077</t>
  </si>
  <si>
    <t>CUST-1014</t>
  </si>
  <si>
    <t>ORD100078</t>
  </si>
  <si>
    <t>CUST-1253</t>
  </si>
  <si>
    <t>PROD-APPA-135</t>
  </si>
  <si>
    <t>ORD100079</t>
  </si>
  <si>
    <t>CUST-1166</t>
  </si>
  <si>
    <t>PROD-LUXU-117</t>
  </si>
  <si>
    <t>ORD100080</t>
  </si>
  <si>
    <t>CUST-1093</t>
  </si>
  <si>
    <t>PROD-ELEC-098</t>
  </si>
  <si>
    <t>ORD100081</t>
  </si>
  <si>
    <t>CUST-1249</t>
  </si>
  <si>
    <t>PROD-APPA-079</t>
  </si>
  <si>
    <t>ORD100082</t>
  </si>
  <si>
    <t>CUST-1108</t>
  </si>
  <si>
    <t>PROD-ELEC-056</t>
  </si>
  <si>
    <t>ORD100083</t>
  </si>
  <si>
    <t>CUST-1181</t>
  </si>
  <si>
    <t>ORD100084</t>
  </si>
  <si>
    <t>CUST-1132</t>
  </si>
  <si>
    <t>PROD-HOME-080</t>
  </si>
  <si>
    <t>ORD100085</t>
  </si>
  <si>
    <t>ORD100086</t>
  </si>
  <si>
    <t>CUST-1143</t>
  </si>
  <si>
    <t>PROD-APPA-121</t>
  </si>
  <si>
    <t>ORD100087</t>
  </si>
  <si>
    <t>CUST-1141</t>
  </si>
  <si>
    <t>PROD-APPA-119</t>
  </si>
  <si>
    <t>ORD100088</t>
  </si>
  <si>
    <t>CUST-1284</t>
  </si>
  <si>
    <t>ORD100089</t>
  </si>
  <si>
    <t>CUST-1005</t>
  </si>
  <si>
    <t>ORD100090</t>
  </si>
  <si>
    <t>CUST-1264</t>
  </si>
  <si>
    <t>PROD-HOME-112</t>
  </si>
  <si>
    <t>ORD100091</t>
  </si>
  <si>
    <t>CUST-1097</t>
  </si>
  <si>
    <t>PROD-DIGI-115</t>
  </si>
  <si>
    <t>ORD100092</t>
  </si>
  <si>
    <t>CUST-1043</t>
  </si>
  <si>
    <t>PROD-DIGI-105</t>
  </si>
  <si>
    <t>ORD100093</t>
  </si>
  <si>
    <t>CUST-1123</t>
  </si>
  <si>
    <t>ORD100094</t>
  </si>
  <si>
    <t>CUST-1208</t>
  </si>
  <si>
    <t>ORD100095</t>
  </si>
  <si>
    <t>ORD100096</t>
  </si>
  <si>
    <t>ORD100097</t>
  </si>
  <si>
    <t>ORD100098</t>
  </si>
  <si>
    <t>CUST-1243</t>
  </si>
  <si>
    <t>ORD100099</t>
  </si>
  <si>
    <t>CUST-1251</t>
  </si>
  <si>
    <t>PROD-DIGI-132</t>
  </si>
  <si>
    <t>ORD100100</t>
  </si>
  <si>
    <t>CUST-1229</t>
  </si>
  <si>
    <t>PROD-APPA-062</t>
  </si>
  <si>
    <t>ORD100101</t>
  </si>
  <si>
    <t>CUST-1008</t>
  </si>
  <si>
    <t>ORD100102</t>
  </si>
  <si>
    <t>CUST-1047</t>
  </si>
  <si>
    <t>PROD-ELEC-107</t>
  </si>
  <si>
    <t>ORD100103</t>
  </si>
  <si>
    <t>CUST-1150</t>
  </si>
  <si>
    <t>ORD100104</t>
  </si>
  <si>
    <t>CUST-1113</t>
  </si>
  <si>
    <t>ORD100105</t>
  </si>
  <si>
    <t>CUST-1207</t>
  </si>
  <si>
    <t>ORD100106</t>
  </si>
  <si>
    <t>PROD-APPA-002</t>
  </si>
  <si>
    <t>ORD100107</t>
  </si>
  <si>
    <t>CUST-1156</t>
  </si>
  <si>
    <t>ORD100108</t>
  </si>
  <si>
    <t>CUST-1297</t>
  </si>
  <si>
    <t>PROD-ELEC-104</t>
  </si>
  <si>
    <t>ORD100109</t>
  </si>
  <si>
    <t>PROD-LUXU-048</t>
  </si>
  <si>
    <t>ORD100110</t>
  </si>
  <si>
    <t>ORD100111</t>
  </si>
  <si>
    <t>CUST-1283</t>
  </si>
  <si>
    <t>PROD-DIGI-024</t>
  </si>
  <si>
    <t>ORD100112</t>
  </si>
  <si>
    <t>CUST-1271</t>
  </si>
  <si>
    <t>ORD100113</t>
  </si>
  <si>
    <t>CUST-1176</t>
  </si>
  <si>
    <t>ORD100114</t>
  </si>
  <si>
    <t>CUST-1217</t>
  </si>
  <si>
    <t>ORD100115</t>
  </si>
  <si>
    <t>CUST-1281</t>
  </si>
  <si>
    <t>PROD-DIGI-064</t>
  </si>
  <si>
    <t>ORD100116</t>
  </si>
  <si>
    <t>CUST-1169</t>
  </si>
  <si>
    <t>ORD100117</t>
  </si>
  <si>
    <t>CUST-1180</t>
  </si>
  <si>
    <t>PROD-APPA-042</t>
  </si>
  <si>
    <t>ORD100118</t>
  </si>
  <si>
    <t>CUST-1232</t>
  </si>
  <si>
    <t>PROD-ELEC-103</t>
  </si>
  <si>
    <t>ORD100119</t>
  </si>
  <si>
    <t>PROD-DIGI-114</t>
  </si>
  <si>
    <t>ORD100120</t>
  </si>
  <si>
    <t>ORD100121</t>
  </si>
  <si>
    <t>CUST-1128</t>
  </si>
  <si>
    <t>ORD100122</t>
  </si>
  <si>
    <t>CUST-1118</t>
  </si>
  <si>
    <t>ORD100123</t>
  </si>
  <si>
    <t>ORD100124</t>
  </si>
  <si>
    <t>CUST-1098</t>
  </si>
  <si>
    <t>PROD-LUXU-084</t>
  </si>
  <si>
    <t>ORD100125</t>
  </si>
  <si>
    <t>CUST-1161</t>
  </si>
  <si>
    <t>ORD100126</t>
  </si>
  <si>
    <t>PROD-DIGI-046</t>
  </si>
  <si>
    <t>ORD100127</t>
  </si>
  <si>
    <t>CUST-1274</t>
  </si>
  <si>
    <t>ORD100128</t>
  </si>
  <si>
    <t>CUST-1094</t>
  </si>
  <si>
    <t>PROD-HOME-106</t>
  </si>
  <si>
    <t>ORD100129</t>
  </si>
  <si>
    <t>PROD-APPA-111</t>
  </si>
  <si>
    <t>ORD100130</t>
  </si>
  <si>
    <t>CUST-1110</t>
  </si>
  <si>
    <t>ORD100131</t>
  </si>
  <si>
    <t>ORD100132</t>
  </si>
  <si>
    <t>PROD-HOME-113</t>
  </si>
  <si>
    <t>ORD100133</t>
  </si>
  <si>
    <t>CUST-1268</t>
  </si>
  <si>
    <t>PROD-ELEC-067</t>
  </si>
  <si>
    <t>ORD100134</t>
  </si>
  <si>
    <t>CUST-1144</t>
  </si>
  <si>
    <t>ORD100135</t>
  </si>
  <si>
    <t>CUST-1051</t>
  </si>
  <si>
    <t>ORD100136</t>
  </si>
  <si>
    <t>CUST-1099</t>
  </si>
  <si>
    <t>PROD-HOME-033</t>
  </si>
  <si>
    <t>ORD100137</t>
  </si>
  <si>
    <t>CUST-1151</t>
  </si>
  <si>
    <t>PROD-ELEC-061</t>
  </si>
  <si>
    <t>ORD100138</t>
  </si>
  <si>
    <t>CUST-1116</t>
  </si>
  <si>
    <t>PROD-DIGI-051</t>
  </si>
  <si>
    <t>ORD100139</t>
  </si>
  <si>
    <t>CUST-1184</t>
  </si>
  <si>
    <t>PROD-ELEC-083</t>
  </si>
  <si>
    <t>ORD100140</t>
  </si>
  <si>
    <t>CUST-1091</t>
  </si>
  <si>
    <t>ORD100141</t>
  </si>
  <si>
    <t>ORD100142</t>
  </si>
  <si>
    <t>CUST-1007</t>
  </si>
  <si>
    <t>ORD100143</t>
  </si>
  <si>
    <t>CUST-1273</t>
  </si>
  <si>
    <t>PROD-DIGI-145</t>
  </si>
  <si>
    <t>ORD100144</t>
  </si>
  <si>
    <t>PROD-ELEC-001</t>
  </si>
  <si>
    <t>ORD100145</t>
  </si>
  <si>
    <t>CUST-1140</t>
  </si>
  <si>
    <t>PROD-APPA-014</t>
  </si>
  <si>
    <t>ORD100146</t>
  </si>
  <si>
    <t>CUST-1023</t>
  </si>
  <si>
    <t>PROD-DIGI-022</t>
  </si>
  <si>
    <t>ORD100147</t>
  </si>
  <si>
    <t>CUST-1027</t>
  </si>
  <si>
    <t>PROD-DIGI-139</t>
  </si>
  <si>
    <t>ORD100148</t>
  </si>
  <si>
    <t>PROD-LUXU-066</t>
  </si>
  <si>
    <t>ORD100149</t>
  </si>
  <si>
    <t>CUST-1149</t>
  </si>
  <si>
    <t>PROD-HOME-010</t>
  </si>
  <si>
    <t>ORD100150</t>
  </si>
  <si>
    <t>PROD-HOME-034</t>
  </si>
  <si>
    <t>ORD100151</t>
  </si>
  <si>
    <t>ORD100152</t>
  </si>
  <si>
    <t>ORD100153</t>
  </si>
  <si>
    <t>ORD100154</t>
  </si>
  <si>
    <t>CUST-1293</t>
  </si>
  <si>
    <t>PROD-DIGI-148</t>
  </si>
  <si>
    <t>ORD100155</t>
  </si>
  <si>
    <t>CUST-1145</t>
  </si>
  <si>
    <t>ORD100156</t>
  </si>
  <si>
    <t>ORD100157</t>
  </si>
  <si>
    <t>CUST-1245</t>
  </si>
  <si>
    <t>ORD100158</t>
  </si>
  <si>
    <t>CUST-1225</t>
  </si>
  <si>
    <t>ORD100159</t>
  </si>
  <si>
    <t>PROD-DIGI-142</t>
  </si>
  <si>
    <t>ORD100160</t>
  </si>
  <si>
    <t>ORD100161</t>
  </si>
  <si>
    <t>ORD100162</t>
  </si>
  <si>
    <t>ORD100163</t>
  </si>
  <si>
    <t>CUST-1244</t>
  </si>
  <si>
    <t>ORD100164</t>
  </si>
  <si>
    <t>ORD100165</t>
  </si>
  <si>
    <t>CUST-1033</t>
  </si>
  <si>
    <t>ORD100166</t>
  </si>
  <si>
    <t>CUST-1205</t>
  </si>
  <si>
    <t>ORD100167</t>
  </si>
  <si>
    <t>ORD100168</t>
  </si>
  <si>
    <t>CUST-1037</t>
  </si>
  <si>
    <t>ORD100169</t>
  </si>
  <si>
    <t>CUST-1295</t>
  </si>
  <si>
    <t>ORD100170</t>
  </si>
  <si>
    <t>ORD100171</t>
  </si>
  <si>
    <t>CUST-1077</t>
  </si>
  <si>
    <t>ORD100172</t>
  </si>
  <si>
    <t>CUST-1076</t>
  </si>
  <si>
    <t>ORD100173</t>
  </si>
  <si>
    <t>PROD-LUXU-036</t>
  </si>
  <si>
    <t>ORD100174</t>
  </si>
  <si>
    <t>CUST-1155</t>
  </si>
  <si>
    <t>ORD100175</t>
  </si>
  <si>
    <t>ORD100176</t>
  </si>
  <si>
    <t>CUST-1127</t>
  </si>
  <si>
    <t>PROD-DIGI-150</t>
  </si>
  <si>
    <t>ORD100177</t>
  </si>
  <si>
    <t>CUST-1060</t>
  </si>
  <si>
    <t>ORD100178</t>
  </si>
  <si>
    <t>CUST-1285</t>
  </si>
  <si>
    <t>ORD100179</t>
  </si>
  <si>
    <t>CUST-1213</t>
  </si>
  <si>
    <t>PROD-ELEC-060</t>
  </si>
  <si>
    <t>ORD100180</t>
  </si>
  <si>
    <t>CUST-1115</t>
  </si>
  <si>
    <t>PROD-ELEC-088</t>
  </si>
  <si>
    <t>ORD100181</t>
  </si>
  <si>
    <t>ORD100182</t>
  </si>
  <si>
    <t>ORD100183</t>
  </si>
  <si>
    <t>PROD-DIGI-011</t>
  </si>
  <si>
    <t>ORD100184</t>
  </si>
  <si>
    <t>CUST-1226</t>
  </si>
  <si>
    <t>ORD100185</t>
  </si>
  <si>
    <t>CUST-1152</t>
  </si>
  <si>
    <t>ORD100186</t>
  </si>
  <si>
    <t>ORD100187</t>
  </si>
  <si>
    <t>PROD-HOME-138</t>
  </si>
  <si>
    <t>ORD100188</t>
  </si>
  <si>
    <t>ORD100189</t>
  </si>
  <si>
    <t>CUST-1030</t>
  </si>
  <si>
    <t>ORD100190</t>
  </si>
  <si>
    <t>CUST-1050</t>
  </si>
  <si>
    <t>ORD100191</t>
  </si>
  <si>
    <t>CUST-1106</t>
  </si>
  <si>
    <t>ORD100192</t>
  </si>
  <si>
    <t>PROD-DIGI-030</t>
  </si>
  <si>
    <t>ORD100193</t>
  </si>
  <si>
    <t>CUST-1135</t>
  </si>
  <si>
    <t>PROD-ELEC-140</t>
  </si>
  <si>
    <t>ORD100194</t>
  </si>
  <si>
    <t>ORD100195</t>
  </si>
  <si>
    <t>CUST-1080</t>
  </si>
  <si>
    <t>ORD100196</t>
  </si>
  <si>
    <t>ORD100197</t>
  </si>
  <si>
    <t>CUST-1088</t>
  </si>
  <si>
    <t>PROD-HOME-016</t>
  </si>
  <si>
    <t>ORD100198</t>
  </si>
  <si>
    <t>CUST-1282</t>
  </si>
  <si>
    <t>ORD100199</t>
  </si>
  <si>
    <t>PROD-HOME-045</t>
  </si>
  <si>
    <t>ORD100200</t>
  </si>
  <si>
    <t>PROD-LUXU-143</t>
  </si>
  <si>
    <t>ORD100201</t>
  </si>
  <si>
    <t>CUST-1001</t>
  </si>
  <si>
    <t>ORD100202</t>
  </si>
  <si>
    <t>CUST-1209</t>
  </si>
  <si>
    <t>ORD100203</t>
  </si>
  <si>
    <t>ORD100204</t>
  </si>
  <si>
    <t>ORD100205</t>
  </si>
  <si>
    <t>ORD100206</t>
  </si>
  <si>
    <t>CUST-1016</t>
  </si>
  <si>
    <t>ORD100207</t>
  </si>
  <si>
    <t>ORD100208</t>
  </si>
  <si>
    <t>CUST-1147</t>
  </si>
  <si>
    <t>ORD100209</t>
  </si>
  <si>
    <t>PROD-LUXU-116</t>
  </si>
  <si>
    <t>ORD100210</t>
  </si>
  <si>
    <t>ORD100211</t>
  </si>
  <si>
    <t>CUST-1036</t>
  </si>
  <si>
    <t>ORD100212</t>
  </si>
  <si>
    <t>CUST-1119</t>
  </si>
  <si>
    <t>ORD100213</t>
  </si>
  <si>
    <t>PROD-APPA-070</t>
  </si>
  <si>
    <t>ORD100214</t>
  </si>
  <si>
    <t>ORD100215</t>
  </si>
  <si>
    <t>PROD-LUXU-005</t>
  </si>
  <si>
    <t>ORD100216</t>
  </si>
  <si>
    <t>ORD100217</t>
  </si>
  <si>
    <t>CUST-1278</t>
  </si>
  <si>
    <t>ORD100218</t>
  </si>
  <si>
    <t>PROD-LUXU-096</t>
  </si>
  <si>
    <t>ORD100219</t>
  </si>
  <si>
    <t>ORD100220</t>
  </si>
  <si>
    <t>CUST-1136</t>
  </si>
  <si>
    <t>PROD-HOME-102</t>
  </si>
  <si>
    <t>ORD100221</t>
  </si>
  <si>
    <t>CUST-1072</t>
  </si>
  <si>
    <t>ORD100222</t>
  </si>
  <si>
    <t>ORD100223</t>
  </si>
  <si>
    <t>ORD100224</t>
  </si>
  <si>
    <t>CUST-1084</t>
  </si>
  <si>
    <t>ORD100225</t>
  </si>
  <si>
    <t>CUST-1157</t>
  </si>
  <si>
    <t>ORD100226</t>
  </si>
  <si>
    <t>ORD100227</t>
  </si>
  <si>
    <t>PROD-ELEC-038</t>
  </si>
  <si>
    <t>ORD100228</t>
  </si>
  <si>
    <t>CUST-1224</t>
  </si>
  <si>
    <t>ORD100229</t>
  </si>
  <si>
    <t>CUST-1063</t>
  </si>
  <si>
    <t>ORD100230</t>
  </si>
  <si>
    <t>CUST-1239</t>
  </si>
  <si>
    <t>ORD100231</t>
  </si>
  <si>
    <t>ORD100232</t>
  </si>
  <si>
    <t>CUST-1206</t>
  </si>
  <si>
    <t>ORD100233</t>
  </si>
  <si>
    <t>CUST-1139</t>
  </si>
  <si>
    <t>ORD100234</t>
  </si>
  <si>
    <t>CUST-1256</t>
  </si>
  <si>
    <t>PROD-HOME-054</t>
  </si>
  <si>
    <t>ORD100235</t>
  </si>
  <si>
    <t>ORD100236</t>
  </si>
  <si>
    <t>CUST-1252</t>
  </si>
  <si>
    <t>PROD-DIGI-041</t>
  </si>
  <si>
    <t>ORD100237</t>
  </si>
  <si>
    <t>ORD100238</t>
  </si>
  <si>
    <t>ORD100239</t>
  </si>
  <si>
    <t>ORD100240</t>
  </si>
  <si>
    <t>PROD-HOME-075</t>
  </si>
  <si>
    <t>ORD100241</t>
  </si>
  <si>
    <t>ORD100242</t>
  </si>
  <si>
    <t>ORD100243</t>
  </si>
  <si>
    <t>ORD100244</t>
  </si>
  <si>
    <t>CUST-1046</t>
  </si>
  <si>
    <t>ORD100245</t>
  </si>
  <si>
    <t>CUST-1117</t>
  </si>
  <si>
    <t>ORD100246</t>
  </si>
  <si>
    <t>ORD100247</t>
  </si>
  <si>
    <t>CUST-1300</t>
  </si>
  <si>
    <t>ORD100248</t>
  </si>
  <si>
    <t>ORD100249</t>
  </si>
  <si>
    <t>ORD100250</t>
  </si>
  <si>
    <t>ORD100251</t>
  </si>
  <si>
    <t>ORD100252</t>
  </si>
  <si>
    <t>CUST-1089</t>
  </si>
  <si>
    <t>ORD100253</t>
  </si>
  <si>
    <t>ORD100254</t>
  </si>
  <si>
    <t>CUST-1265</t>
  </si>
  <si>
    <t>ORD100255</t>
  </si>
  <si>
    <t>PROD-LUXU-082</t>
  </si>
  <si>
    <t>ORD100256</t>
  </si>
  <si>
    <t>ORD100257</t>
  </si>
  <si>
    <t>CUST-1092</t>
  </si>
  <si>
    <t>ORD100258</t>
  </si>
  <si>
    <t>CUST-1299</t>
  </si>
  <si>
    <t>PROD-HOME-094</t>
  </si>
  <si>
    <t>ORD100259</t>
  </si>
  <si>
    <t>ORD100260</t>
  </si>
  <si>
    <t>ORD100261</t>
  </si>
  <si>
    <t>ORD100262</t>
  </si>
  <si>
    <t>ORD100263</t>
  </si>
  <si>
    <t>CUST-1178</t>
  </si>
  <si>
    <t>ORD100264</t>
  </si>
  <si>
    <t>ORD100265</t>
  </si>
  <si>
    <t>CUST-1170</t>
  </si>
  <si>
    <t>ORD100266</t>
  </si>
  <si>
    <t>CUST-1164</t>
  </si>
  <si>
    <t>ORD100267</t>
  </si>
  <si>
    <t>CUST-1053</t>
  </si>
  <si>
    <t>ORD100268</t>
  </si>
  <si>
    <t>CUST-1082</t>
  </si>
  <si>
    <t>ORD100269</t>
  </si>
  <si>
    <t>CUST-1168</t>
  </si>
  <si>
    <t>ORD100270</t>
  </si>
  <si>
    <t>CUST-1210</t>
  </si>
  <si>
    <t>ORD100271</t>
  </si>
  <si>
    <t>ORD100272</t>
  </si>
  <si>
    <t>ORD100273</t>
  </si>
  <si>
    <t>ORD100274</t>
  </si>
  <si>
    <t>ORD100275</t>
  </si>
  <si>
    <t>CUST-1018</t>
  </si>
  <si>
    <t>ORD100276</t>
  </si>
  <si>
    <t>PROD-APPA-027</t>
  </si>
  <si>
    <t>ORD100277</t>
  </si>
  <si>
    <t>CUST-1045</t>
  </si>
  <si>
    <t>PROD-LUXU-147</t>
  </si>
  <si>
    <t>ORD100278</t>
  </si>
  <si>
    <t>ORD100279</t>
  </si>
  <si>
    <t>ORD100280</t>
  </si>
  <si>
    <t>ORD100281</t>
  </si>
  <si>
    <t>CUST-1059</t>
  </si>
  <si>
    <t>ORD100282</t>
  </si>
  <si>
    <t>ORD100283</t>
  </si>
  <si>
    <t>CUST-1263</t>
  </si>
  <si>
    <t>ORD100284</t>
  </si>
  <si>
    <t>CUST-1000</t>
  </si>
  <si>
    <t>PROD-ELEC-049</t>
  </si>
  <si>
    <t>ORD100285</t>
  </si>
  <si>
    <t>CUST-1277</t>
  </si>
  <si>
    <t>PROD-LUXU-092</t>
  </si>
  <si>
    <t>ORD100286</t>
  </si>
  <si>
    <t>CUST-1236</t>
  </si>
  <si>
    <t>ORD100287</t>
  </si>
  <si>
    <t>CUST-1211</t>
  </si>
  <si>
    <t>ORD100288</t>
  </si>
  <si>
    <t>ORD100289</t>
  </si>
  <si>
    <t>CUST-1096</t>
  </si>
  <si>
    <t>PROD-APPA-071</t>
  </si>
  <si>
    <t>ORD100290</t>
  </si>
  <si>
    <t>ORD100291</t>
  </si>
  <si>
    <t>ORD100292</t>
  </si>
  <si>
    <t>CUST-1255</t>
  </si>
  <si>
    <t>ORD100293</t>
  </si>
  <si>
    <t>ORD100294</t>
  </si>
  <si>
    <t>ORD100295</t>
  </si>
  <si>
    <t>CUST-1104</t>
  </si>
  <si>
    <t>ORD100296</t>
  </si>
  <si>
    <t>ORD100297</t>
  </si>
  <si>
    <t>ORD100298</t>
  </si>
  <si>
    <t>CUST-1067</t>
  </si>
  <si>
    <t>ORD100299</t>
  </si>
  <si>
    <t>ORD100300</t>
  </si>
  <si>
    <t>ORD100301</t>
  </si>
  <si>
    <t>CUST-1248</t>
  </si>
  <si>
    <t>ORD100302</t>
  </si>
  <si>
    <t>CUST-1062</t>
  </si>
  <si>
    <t>ORD100303</t>
  </si>
  <si>
    <t>ORD100304</t>
  </si>
  <si>
    <t>ORD100305</t>
  </si>
  <si>
    <t>CUST-1081</t>
  </si>
  <si>
    <t>PROD-HOME-065</t>
  </si>
  <si>
    <t>ORD100306</t>
  </si>
  <si>
    <t>ORD100307</t>
  </si>
  <si>
    <t>ORD100308</t>
  </si>
  <si>
    <t>ORD100309</t>
  </si>
  <si>
    <t>ORD100310</t>
  </si>
  <si>
    <t>ORD100311</t>
  </si>
  <si>
    <t>ORD100312</t>
  </si>
  <si>
    <t>ORD100313</t>
  </si>
  <si>
    <t>ORD100314</t>
  </si>
  <si>
    <t>PROD-ELEC-128</t>
  </si>
  <si>
    <t>ORD100315</t>
  </si>
  <si>
    <t>ORD100316</t>
  </si>
  <si>
    <t>ORD100317</t>
  </si>
  <si>
    <t>ORD100318</t>
  </si>
  <si>
    <t>ORD100319</t>
  </si>
  <si>
    <t>CUST-1260</t>
  </si>
  <si>
    <t>ORD100320</t>
  </si>
  <si>
    <t>ORD100321</t>
  </si>
  <si>
    <t>CUST-1212</t>
  </si>
  <si>
    <t>ORD100322</t>
  </si>
  <si>
    <t>ORD100323</t>
  </si>
  <si>
    <t>CUST-1241</t>
  </si>
  <si>
    <t>ORD100324</t>
  </si>
  <si>
    <t>PROD-LUXU-123</t>
  </si>
  <si>
    <t>ORD100325</t>
  </si>
  <si>
    <t>CUST-1233</t>
  </si>
  <si>
    <t>ORD100326</t>
  </si>
  <si>
    <t>ORD100327</t>
  </si>
  <si>
    <t>CUST-1074</t>
  </si>
  <si>
    <t>ORD100328</t>
  </si>
  <si>
    <t>CUST-1196</t>
  </si>
  <si>
    <t>ORD100329</t>
  </si>
  <si>
    <t>ORD100330</t>
  </si>
  <si>
    <t>ORD100331</t>
  </si>
  <si>
    <t>CUST-1069</t>
  </si>
  <si>
    <t>ORD100332</t>
  </si>
  <si>
    <t>ORD100333</t>
  </si>
  <si>
    <t>ORD100334</t>
  </si>
  <si>
    <t>PROD-DIGI-019</t>
  </si>
  <si>
    <t>ORD100335</t>
  </si>
  <si>
    <t>ORD100336</t>
  </si>
  <si>
    <t>ORD100337</t>
  </si>
  <si>
    <t>ORD100338</t>
  </si>
  <si>
    <t>ORD100339</t>
  </si>
  <si>
    <t>ORD100340</t>
  </si>
  <si>
    <t>ORD100341</t>
  </si>
  <si>
    <t>ORD100342</t>
  </si>
  <si>
    <t>ORD100343</t>
  </si>
  <si>
    <t>PROD-APPA-101</t>
  </si>
  <si>
    <t>ORD100344</t>
  </si>
  <si>
    <t>ORD100345</t>
  </si>
  <si>
    <t>CUST-1228</t>
  </si>
  <si>
    <t>ORD100346</t>
  </si>
  <si>
    <t>PROD-APPA-134</t>
  </si>
  <si>
    <t>ORD100347</t>
  </si>
  <si>
    <t>ORD100348</t>
  </si>
  <si>
    <t>ORD100349</t>
  </si>
  <si>
    <t>ORD100350</t>
  </si>
  <si>
    <t>ORD100351</t>
  </si>
  <si>
    <t>ORD100352</t>
  </si>
  <si>
    <t>CUST-1193</t>
  </si>
  <si>
    <t>ORD100353</t>
  </si>
  <si>
    <t>ORD100354</t>
  </si>
  <si>
    <t>ORD100355</t>
  </si>
  <si>
    <t>ORD100356</t>
  </si>
  <si>
    <t>ORD100357</t>
  </si>
  <si>
    <t>CUST-1292</t>
  </si>
  <si>
    <t>ORD100358</t>
  </si>
  <si>
    <t>ORD100359</t>
  </si>
  <si>
    <t>ORD100360</t>
  </si>
  <si>
    <t>ORD100361</t>
  </si>
  <si>
    <t>CUST-1022</t>
  </si>
  <si>
    <t>PROD-APPA-044</t>
  </si>
  <si>
    <t>ORD100362</t>
  </si>
  <si>
    <t>CUST-1162</t>
  </si>
  <si>
    <t>ORD100363</t>
  </si>
  <si>
    <t>ORD100364</t>
  </si>
  <si>
    <t>CUST-1195</t>
  </si>
  <si>
    <t>ORD100365</t>
  </si>
  <si>
    <t>CUST-1197</t>
  </si>
  <si>
    <t>ORD100366</t>
  </si>
  <si>
    <t>PROD-DIGI-130</t>
  </si>
  <si>
    <t>ORD100367</t>
  </si>
  <si>
    <t>ORD100368</t>
  </si>
  <si>
    <t>ORD100369</t>
  </si>
  <si>
    <t>ORD100370</t>
  </si>
  <si>
    <t>CUST-1257</t>
  </si>
  <si>
    <t>ORD100371</t>
  </si>
  <si>
    <t>ORD100372</t>
  </si>
  <si>
    <t>ORD100373</t>
  </si>
  <si>
    <t>PROD-DIGI-110</t>
  </si>
  <si>
    <t>ORD100374</t>
  </si>
  <si>
    <t>ORD100375</t>
  </si>
  <si>
    <t>CUST-1269</t>
  </si>
  <si>
    <t>ORD100376</t>
  </si>
  <si>
    <t>ORD100377</t>
  </si>
  <si>
    <t>ORD100378</t>
  </si>
  <si>
    <t>CUST-1073</t>
  </si>
  <si>
    <t>ORD100379</t>
  </si>
  <si>
    <t>ORD100380</t>
  </si>
  <si>
    <t>CUST-1079</t>
  </si>
  <si>
    <t>ORD100381</t>
  </si>
  <si>
    <t>ORD100382</t>
  </si>
  <si>
    <t>ORD100383</t>
  </si>
  <si>
    <t>ORD100384</t>
  </si>
  <si>
    <t>CUST-1173</t>
  </si>
  <si>
    <t>ORD100385</t>
  </si>
  <si>
    <t>ORD100386</t>
  </si>
  <si>
    <t>ORD100387</t>
  </si>
  <si>
    <t>ORD100388</t>
  </si>
  <si>
    <t>ORD100389</t>
  </si>
  <si>
    <t>ORD100390</t>
  </si>
  <si>
    <t>PROD-HOME-133</t>
  </si>
  <si>
    <t>ORD100391</t>
  </si>
  <si>
    <t>PROD-ELEC-047</t>
  </si>
  <si>
    <t>ORD100392</t>
  </si>
  <si>
    <t>ORD100393</t>
  </si>
  <si>
    <t>ORD100394</t>
  </si>
  <si>
    <t>ORD100395</t>
  </si>
  <si>
    <t>CUST-1120</t>
  </si>
  <si>
    <t>ORD100396</t>
  </si>
  <si>
    <t>ORD100397</t>
  </si>
  <si>
    <t>ORD100398</t>
  </si>
  <si>
    <t>ORD100399</t>
  </si>
  <si>
    <t>ORD100400</t>
  </si>
  <si>
    <t>ORD100401</t>
  </si>
  <si>
    <t>ORD100402</t>
  </si>
  <si>
    <t>CUST-1227</t>
  </si>
  <si>
    <t>ORD100403</t>
  </si>
  <si>
    <t>ORD100404</t>
  </si>
  <si>
    <t>CUST-1153</t>
  </si>
  <si>
    <t>ORD100405</t>
  </si>
  <si>
    <t>ORD100406</t>
  </si>
  <si>
    <t>PROD-LUXU-146</t>
  </si>
  <si>
    <t>ORD100407</t>
  </si>
  <si>
    <t>ORD100408</t>
  </si>
  <si>
    <t>CUST-1028</t>
  </si>
  <si>
    <t>ORD100409</t>
  </si>
  <si>
    <t>ORD100410</t>
  </si>
  <si>
    <t>CUST-1183</t>
  </si>
  <si>
    <t>ORD100411</t>
  </si>
  <si>
    <t>CUST-1191</t>
  </si>
  <si>
    <t>ORD100412</t>
  </si>
  <si>
    <t>CUST-1220</t>
  </si>
  <si>
    <t>ORD100413</t>
  </si>
  <si>
    <t>ORD100414</t>
  </si>
  <si>
    <t>ORD100415</t>
  </si>
  <si>
    <t>ORD100416</t>
  </si>
  <si>
    <t>ORD100417</t>
  </si>
  <si>
    <t>PROD-HOME-081</t>
  </si>
  <si>
    <t>ORD100418</t>
  </si>
  <si>
    <t>ORD100419</t>
  </si>
  <si>
    <t>CUST-1087</t>
  </si>
  <si>
    <t>ORD100420</t>
  </si>
  <si>
    <t>ORD100421</t>
  </si>
  <si>
    <t>CUST-1040</t>
  </si>
  <si>
    <t>ORD100422</t>
  </si>
  <si>
    <t>ORD100423</t>
  </si>
  <si>
    <t>ORD100424</t>
  </si>
  <si>
    <t>CUST-1254</t>
  </si>
  <si>
    <t>ORD100425</t>
  </si>
  <si>
    <t>CUST-1298</t>
  </si>
  <si>
    <t>ORD100426</t>
  </si>
  <si>
    <t>ORD100427</t>
  </si>
  <si>
    <t>ORD100428</t>
  </si>
  <si>
    <t>ORD100429</t>
  </si>
  <si>
    <t>CUST-1130</t>
  </si>
  <si>
    <t>ORD100430</t>
  </si>
  <si>
    <t>ORD100431</t>
  </si>
  <si>
    <t>ORD100432</t>
  </si>
  <si>
    <t>CUST-1004</t>
  </si>
  <si>
    <t>ORD100433</t>
  </si>
  <si>
    <t>ORD100434</t>
  </si>
  <si>
    <t>ORD100435</t>
  </si>
  <si>
    <t>CUST-1279</t>
  </si>
  <si>
    <t>ORD100436</t>
  </si>
  <si>
    <t>ORD100437</t>
  </si>
  <si>
    <t>ORD100438</t>
  </si>
  <si>
    <t>ORD100439</t>
  </si>
  <si>
    <t>ORD100440</t>
  </si>
  <si>
    <t>ORD100441</t>
  </si>
  <si>
    <t>ORD100442</t>
  </si>
  <si>
    <t>ORD100443</t>
  </si>
  <si>
    <t>PROD-ELEC-059</t>
  </si>
  <si>
    <t>ORD100444</t>
  </si>
  <si>
    <t>ORD100445</t>
  </si>
  <si>
    <t>ORD100446</t>
  </si>
  <si>
    <t>ORD100447</t>
  </si>
  <si>
    <t>ORD100448</t>
  </si>
  <si>
    <t>ORD100449</t>
  </si>
  <si>
    <t>ORD100450</t>
  </si>
  <si>
    <t>CUST-1121</t>
  </si>
  <si>
    <t>ORD100451</t>
  </si>
  <si>
    <t>ORD100452</t>
  </si>
  <si>
    <t>ORD100453</t>
  </si>
  <si>
    <t>ORD100454</t>
  </si>
  <si>
    <t>ORD100455</t>
  </si>
  <si>
    <t>ORD100456</t>
  </si>
  <si>
    <t>ORD100457</t>
  </si>
  <si>
    <t>CUST-1011</t>
  </si>
  <si>
    <t>ORD100458</t>
  </si>
  <si>
    <t>CUST-1202</t>
  </si>
  <si>
    <t>ORD100459</t>
  </si>
  <si>
    <t>ORD100460</t>
  </si>
  <si>
    <t>ORD100461</t>
  </si>
  <si>
    <t>ORD100462</t>
  </si>
  <si>
    <t>CUST-1025</t>
  </si>
  <si>
    <t>ORD100463</t>
  </si>
  <si>
    <t>ORD100464</t>
  </si>
  <si>
    <t>CUST-1146</t>
  </si>
  <si>
    <t>ORD100465</t>
  </si>
  <si>
    <t>PROD-HOME-008</t>
  </si>
  <si>
    <t>ORD100466</t>
  </si>
  <si>
    <t>ORD100467</t>
  </si>
  <si>
    <t>CUST-1112</t>
  </si>
  <si>
    <t>ORD100468</t>
  </si>
  <si>
    <t>ORD100469</t>
  </si>
  <si>
    <t>ORD100470</t>
  </si>
  <si>
    <t>CUST-1070</t>
  </si>
  <si>
    <t>ORD100471</t>
  </si>
  <si>
    <t>CUST-1049</t>
  </si>
  <si>
    <t>ORD100472</t>
  </si>
  <si>
    <t>ORD100473</t>
  </si>
  <si>
    <t>CUST-1158</t>
  </si>
  <si>
    <t>ORD100474</t>
  </si>
  <si>
    <t>ORD100475</t>
  </si>
  <si>
    <t>CUST-1017</t>
  </si>
  <si>
    <t>ORD100476</t>
  </si>
  <si>
    <t>ORD100477</t>
  </si>
  <si>
    <t>CUST-1186</t>
  </si>
  <si>
    <t>ORD100478</t>
  </si>
  <si>
    <t>ORD100479</t>
  </si>
  <si>
    <t>ORD100480</t>
  </si>
  <si>
    <t>ORD100481</t>
  </si>
  <si>
    <t>CUST-1167</t>
  </si>
  <si>
    <t>PROD-HOME-050</t>
  </si>
  <si>
    <t>ORD100482</t>
  </si>
  <si>
    <t>PROD-LUXU-127</t>
  </si>
  <si>
    <t>ORD100483</t>
  </si>
  <si>
    <t>ORD100484</t>
  </si>
  <si>
    <t>ORD100485</t>
  </si>
  <si>
    <t>ORD100486</t>
  </si>
  <si>
    <t>ORD100487</t>
  </si>
  <si>
    <t>CUST-1187</t>
  </si>
  <si>
    <t>ORD100488</t>
  </si>
  <si>
    <t>ORD100489</t>
  </si>
  <si>
    <t>ORD100490</t>
  </si>
  <si>
    <t>ORD100491</t>
  </si>
  <si>
    <t>ORD100492</t>
  </si>
  <si>
    <t>ORD100493</t>
  </si>
  <si>
    <t>CUST-1246</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</si>
  <si>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</si>
  <si>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</si>
  <si>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</si>
  <si>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</si>
  <si>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</si>
  <si>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</si>
  <si>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</si>
  <si>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</si>
  <si>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</si>
  <si>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</si>
  <si>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</si>
  <si>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</si>
  <si>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</si>
  <si>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</si>
  <si>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</si>
  <si>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</si>
  <si>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PROD-DIGI-141</t>
  </si>
  <si>
    <t>ORD100510</t>
  </si>
  <si>
    <t>ORD100511</t>
  </si>
  <si>
    <t>ORD100512</t>
  </si>
  <si>
    <t>CUST-1134</t>
  </si>
  <si>
    <t>ORD100513</t>
  </si>
  <si>
    <t>ORD100514</t>
  </si>
  <si>
    <t>ORD100515</t>
  </si>
  <si>
    <t>CUST-1190</t>
  </si>
  <si>
    <t>ORD100516</t>
  </si>
  <si>
    <t>ORD100517</t>
  </si>
  <si>
    <t>ORD100518</t>
  </si>
  <si>
    <t>ORD100519</t>
  </si>
  <si>
    <t>CUST-1012</t>
  </si>
  <si>
    <t>ORD100520</t>
  </si>
  <si>
    <t>CUST-1287</t>
  </si>
  <si>
    <t>ORD100521</t>
  </si>
  <si>
    <t>ORD100522</t>
  </si>
  <si>
    <t>ORD100523</t>
  </si>
  <si>
    <t>CUST-1032</t>
  </si>
  <si>
    <t>ORD100524</t>
  </si>
  <si>
    <t>ORD100525</t>
  </si>
  <si>
    <t>ORD100526</t>
  </si>
  <si>
    <t>ORD100527</t>
  </si>
  <si>
    <t>ORD100528</t>
  </si>
  <si>
    <t>CUST-1071</t>
  </si>
  <si>
    <t>ORD100529</t>
  </si>
  <si>
    <t>ORD100530</t>
  </si>
  <si>
    <t>CUST-1019</t>
  </si>
  <si>
    <t>ORD100531</t>
  </si>
  <si>
    <t>ORD100532</t>
  </si>
  <si>
    <t>ORD100533</t>
  </si>
  <si>
    <t>ORD100534</t>
  </si>
  <si>
    <t>ORD100535</t>
  </si>
  <si>
    <t>ORD100536</t>
  </si>
  <si>
    <t>ORD100537</t>
  </si>
  <si>
    <t>ORD100538</t>
  </si>
  <si>
    <t>CUST-1198</t>
  </si>
  <si>
    <t>ORD100539</t>
  </si>
  <si>
    <t>ORD100540</t>
  </si>
  <si>
    <t>ORD100541</t>
  </si>
  <si>
    <t>ORD100542</t>
  </si>
  <si>
    <t>CUST-1214</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</si>
  <si>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</si>
  <si>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</si>
  <si>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</si>
  <si>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</si>
  <si>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</si>
  <si>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</si>
  <si>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</si>
  <si>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</si>
  <si>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</si>
  <si>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</si>
  <si>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</si>
  <si>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</si>
  <si>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</si>
  <si>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</si>
  <si>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</si>
  <si>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</si>
  <si>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</si>
  <si>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</si>
  <si>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</si>
  <si>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CUST-1031</t>
  </si>
  <si>
    <t>ORD100562</t>
  </si>
  <si>
    <t>ORD100563</t>
  </si>
  <si>
    <t>ORD100564</t>
  </si>
  <si>
    <t>ORD100565</t>
  </si>
  <si>
    <t>ORD100566</t>
  </si>
  <si>
    <t>ORD100567</t>
  </si>
  <si>
    <t>ORD100568</t>
  </si>
  <si>
    <t>ORD100569</t>
  </si>
  <si>
    <t>ORD100570</t>
  </si>
  <si>
    <t>ORD100571</t>
  </si>
  <si>
    <t>ORD100572</t>
  </si>
  <si>
    <t>ORD100573</t>
  </si>
  <si>
    <t>ORD100574</t>
  </si>
  <si>
    <t>ORD100575</t>
  </si>
  <si>
    <t>CUST-1105</t>
  </si>
  <si>
    <t>ORD100576</t>
  </si>
  <si>
    <t>ORD100577</t>
  </si>
  <si>
    <t>ORD100578</t>
  </si>
  <si>
    <t>ORD100579</t>
  </si>
  <si>
    <t>ORD100580</t>
  </si>
  <si>
    <t>ORD100581</t>
  </si>
  <si>
    <t>ORD100582</t>
  </si>
  <si>
    <t>ORD100583</t>
  </si>
  <si>
    <t>CUST-1075</t>
  </si>
  <si>
    <t>ORD100584</t>
  </si>
  <si>
    <t>ORD100585</t>
  </si>
  <si>
    <t>ORD100586</t>
  </si>
  <si>
    <t>ORD100587</t>
  </si>
  <si>
    <t>CUST-1066</t>
  </si>
  <si>
    <t>ORD100588</t>
  </si>
  <si>
    <t>ORD100589</t>
  </si>
  <si>
    <t>ORD100590</t>
  </si>
  <si>
    <t>ORD100591</t>
  </si>
  <si>
    <t>CUST-1056</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</si>
  <si>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</si>
  <si>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</si>
  <si>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</si>
  <si>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</si>
  <si>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</si>
  <si>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</si>
  <si>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</si>
  <si>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</si>
  <si>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</si>
  <si>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</si>
  <si>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</si>
  <si>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</si>
  <si>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</si>
  <si>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</si>
  <si>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</si>
  <si>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</si>
  <si>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</si>
  <si>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</si>
  <si>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</si>
  <si>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CUST-1262</t>
  </si>
  <si>
    <t>ORD100611</t>
  </si>
  <si>
    <t>ORD100612</t>
  </si>
  <si>
    <t>CUST-1231</t>
  </si>
  <si>
    <t>ORD100613</t>
  </si>
  <si>
    <t>ORD100614</t>
  </si>
  <si>
    <t>ORD100615</t>
  </si>
  <si>
    <t>ORD100616</t>
  </si>
  <si>
    <t>CUST-1266</t>
  </si>
  <si>
    <t>ORD100617</t>
  </si>
  <si>
    <t>ORD100618</t>
  </si>
  <si>
    <t>CUST-1234</t>
  </si>
  <si>
    <t>ORD100619</t>
  </si>
  <si>
    <t>ORD100620</t>
  </si>
  <si>
    <t>ORD100621</t>
  </si>
  <si>
    <t>ORD100622</t>
  </si>
  <si>
    <t>ORD100623</t>
  </si>
  <si>
    <t>CUST-1218</t>
  </si>
  <si>
    <t>ORD100624</t>
  </si>
  <si>
    <t>ORD100625</t>
  </si>
  <si>
    <t>ORD100626</t>
  </si>
  <si>
    <t>ORD100627</t>
  </si>
  <si>
    <t>ORD100628</t>
  </si>
  <si>
    <t>ORD100629</t>
  </si>
  <si>
    <t>ORD100630</t>
  </si>
  <si>
    <t>ORD100631</t>
  </si>
  <si>
    <t>ORD100632</t>
  </si>
  <si>
    <t>ORD100633</t>
  </si>
  <si>
    <t>ORD100634</t>
  </si>
  <si>
    <t>ORD100635</t>
  </si>
  <si>
    <t>CUST-1280</t>
  </si>
  <si>
    <t>ORD100636</t>
  </si>
  <si>
    <t>ORD100637</t>
  </si>
  <si>
    <t>ORD100638</t>
  </si>
  <si>
    <t>ORD100639</t>
  </si>
  <si>
    <t>ORD100640</t>
  </si>
  <si>
    <t>ORD100641</t>
  </si>
  <si>
    <t>CUST-1258</t>
  </si>
  <si>
    <t>ORD100642</t>
  </si>
  <si>
    <t>ORD100643</t>
  </si>
  <si>
    <t>ORD100644</t>
  </si>
  <si>
    <t>ORD100645</t>
  </si>
  <si>
    <t>ORD100646</t>
  </si>
  <si>
    <t>ORD100647</t>
  </si>
  <si>
    <t>ORD100648</t>
  </si>
  <si>
    <t>ORD100649</t>
  </si>
  <si>
    <t>ORD100650</t>
  </si>
  <si>
    <t>ORD100651</t>
  </si>
  <si>
    <t>ORD100652</t>
  </si>
  <si>
    <t>ORD100653</t>
  </si>
  <si>
    <t>CUST-1204</t>
  </si>
  <si>
    <t>ORD100654</t>
  </si>
  <si>
    <t>ORD100655</t>
  </si>
  <si>
    <t>CUST-1048</t>
  </si>
  <si>
    <t>ORD100656</t>
  </si>
  <si>
    <t>CUST-1160</t>
  </si>
  <si>
    <t>ORD100657</t>
  </si>
  <si>
    <t>ORD100658</t>
  </si>
  <si>
    <t>ORD100659</t>
  </si>
  <si>
    <t>ORD100660</t>
  </si>
  <si>
    <t>ORD100661</t>
  </si>
  <si>
    <t>ORD100662</t>
  </si>
  <si>
    <t>ORD100663</t>
  </si>
  <si>
    <t>CUST-1034</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</si>
  <si>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</si>
  <si>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</si>
  <si>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</si>
  <si>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</si>
  <si>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</si>
  <si>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</si>
  <si>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</si>
  <si>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</si>
  <si>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</si>
  <si>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</si>
  <si>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</si>
  <si>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</si>
  <si>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</si>
  <si>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</si>
  <si>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</si>
  <si>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</si>
  <si>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</si>
  <si>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CUST-1216</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</si>
  <si>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</si>
  <si>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</si>
  <si>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</si>
  <si>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</si>
  <si>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</si>
  <si>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</si>
  <si>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</si>
  <si>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</si>
  <si>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</si>
  <si>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</si>
  <si>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</si>
  <si>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</si>
  <si>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</si>
  <si>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</si>
  <si>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</si>
  <si>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</si>
  <si>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</si>
  <si>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</si>
  <si>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</si>
  <si>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</si>
  <si>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</si>
  <si>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</si>
  <si>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</si>
  <si>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</si>
  <si>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</si>
  <si>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</si>
  <si>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</si>
  <si>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</si>
  <si>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</si>
  <si>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</si>
  <si>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</si>
  <si>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CUST-1003</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</si>
  <si>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</si>
  <si>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</si>
  <si>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</si>
  <si>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</si>
  <si>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</si>
  <si>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</si>
  <si>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</si>
  <si>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</si>
  <si>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</si>
  <si>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</si>
  <si>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</si>
  <si>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</si>
  <si>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</si>
  <si>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</si>
  <si>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</si>
  <si>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</si>
  <si>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</si>
  <si>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</si>
  <si>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</si>
  <si>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CUST-1290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</si>
  <si>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</si>
  <si>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</si>
  <si>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</si>
  <si>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</si>
  <si>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</si>
  <si>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</si>
  <si>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</si>
  <si>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</si>
  <si>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</si>
  <si>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</si>
  <si>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</si>
  <si>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</si>
  <si>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</si>
  <si>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</si>
  <si>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</si>
  <si>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</si>
  <si>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</si>
  <si>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</si>
  <si>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</si>
  <si>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PROD-APPA-037</t>
  </si>
  <si>
    <t>ORD100750</t>
  </si>
  <si>
    <t>ORD100751</t>
  </si>
  <si>
    <t>ORD100752</t>
  </si>
  <si>
    <t>ORD100753</t>
  </si>
  <si>
    <t>ORD100754</t>
  </si>
  <si>
    <t>ORD100755</t>
  </si>
  <si>
    <t>ORD100756</t>
  </si>
  <si>
    <t>ORD100757</t>
  </si>
  <si>
    <t>ORD100758</t>
  </si>
  <si>
    <t>ORD100759</t>
  </si>
  <si>
    <t>ORD100760</t>
  </si>
  <si>
    <t>ORD100761</t>
  </si>
  <si>
    <t>ORD100762</t>
  </si>
  <si>
    <t>ORD100763</t>
  </si>
  <si>
    <t>ORD100764</t>
  </si>
  <si>
    <t>CUST-1148</t>
  </si>
  <si>
    <t>ORD100765</t>
  </si>
  <si>
    <t>ORD100766</t>
  </si>
  <si>
    <t>ORD100767</t>
  </si>
  <si>
    <t>ORD100768</t>
  </si>
  <si>
    <t>ORD100769</t>
  </si>
  <si>
    <t>ORD100770</t>
  </si>
  <si>
    <t>ORD100771</t>
  </si>
  <si>
    <t>ORD100772</t>
  </si>
  <si>
    <t>ORD100773</t>
  </si>
  <si>
    <t>ORD100774</t>
  </si>
  <si>
    <t>ORD100775</t>
  </si>
  <si>
    <t>ORD100776</t>
  </si>
  <si>
    <t>CUST-1286</t>
  </si>
  <si>
    <t>ORD100777</t>
  </si>
  <si>
    <t>ORD100778</t>
  </si>
  <si>
    <t>ORD100779</t>
  </si>
  <si>
    <t>ORD100780</t>
  </si>
  <si>
    <t>ORD100781</t>
  </si>
  <si>
    <t>ORD100782</t>
  </si>
  <si>
    <t>ORD100783</t>
  </si>
  <si>
    <t>ORD100784</t>
  </si>
  <si>
    <t>CUST-1039</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</si>
  <si>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</si>
  <si>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</si>
  <si>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</si>
  <si>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</si>
  <si>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</si>
  <si>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</si>
  <si>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</si>
  <si>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</si>
  <si>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</si>
  <si>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</si>
  <si>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</si>
  <si>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</si>
  <si>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</si>
  <si>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</si>
  <si>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</si>
  <si>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</si>
  <si>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</si>
  <si>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</si>
  <si>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</si>
  <si>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</si>
  <si>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</si>
  <si>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</si>
  <si>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</si>
  <si>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</si>
  <si>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</si>
  <si>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</si>
  <si>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</si>
  <si>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</si>
  <si>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CUST-1086</t>
  </si>
  <si>
    <t>ORD100813</t>
  </si>
  <si>
    <t>ORD100814</t>
  </si>
  <si>
    <t>CUST-1261</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</si>
  <si>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</si>
  <si>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</si>
  <si>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</si>
  <si>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</si>
  <si>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</si>
  <si>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</si>
  <si>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</si>
  <si>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</si>
  <si>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</si>
  <si>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</si>
  <si>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</si>
  <si>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</si>
  <si>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</si>
  <si>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</si>
  <si>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</si>
  <si>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</si>
  <si>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</si>
  <si>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</si>
  <si>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</si>
  <si>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</si>
  <si>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</si>
  <si>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</si>
  <si>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</si>
  <si>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</si>
  <si>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</si>
  <si>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</si>
  <si>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</si>
  <si>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</si>
  <si>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</si>
  <si>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</si>
  <si>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</si>
  <si>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</si>
  <si>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</si>
  <si>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</si>
  <si>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</si>
  <si>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</si>
  <si>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</si>
  <si>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</si>
  <si>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</si>
  <si>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</si>
  <si>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CUST-1029</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</si>
  <si>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</si>
  <si>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</si>
  <si>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</si>
  <si>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</si>
  <si>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</si>
  <si>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</si>
  <si>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</si>
  <si>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</si>
  <si>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</si>
  <si>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</si>
  <si>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</si>
  <si>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</si>
  <si>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</si>
  <si>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</si>
  <si>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</si>
  <si>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</si>
  <si>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</si>
  <si>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</si>
  <si>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</si>
  <si>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</si>
  <si>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</si>
  <si>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CUST-1175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</si>
  <si>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</si>
  <si>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</si>
  <si>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</si>
  <si>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</si>
  <si>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</si>
  <si>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</si>
  <si>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</si>
  <si>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</si>
  <si>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</si>
  <si>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</si>
  <si>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</si>
  <si>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</si>
  <si>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</si>
  <si>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</si>
  <si>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</si>
  <si>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</si>
  <si>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</si>
  <si>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</si>
  <si>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CUST-1171</t>
  </si>
  <si>
    <t>ORD100894</t>
  </si>
  <si>
    <t>ORD100895</t>
  </si>
  <si>
    <t>ORD100896</t>
  </si>
  <si>
    <t>ORD100897</t>
  </si>
  <si>
    <t>ORD100898</t>
  </si>
  <si>
    <t>ORD100899</t>
  </si>
  <si>
    <t>ORD100900</t>
  </si>
  <si>
    <t>ORD100901</t>
  </si>
  <si>
    <t>ORD100902</t>
  </si>
  <si>
    <t>ORD100903</t>
  </si>
  <si>
    <t>ORD100904</t>
  </si>
  <si>
    <t>ORD100905</t>
  </si>
  <si>
    <t>ORD100906</t>
  </si>
  <si>
    <t>ORD100907</t>
  </si>
  <si>
    <t>ORD100908</t>
  </si>
  <si>
    <t>CUST-1200</t>
  </si>
  <si>
    <t>ORD100909</t>
  </si>
  <si>
    <t>ORD100910</t>
  </si>
  <si>
    <t>ORD100911</t>
  </si>
  <si>
    <t>ORD100912</t>
  </si>
  <si>
    <t>ORD100913</t>
  </si>
  <si>
    <t>ORD100914</t>
  </si>
  <si>
    <t>ORD100915</t>
  </si>
  <si>
    <t>CUST-1065</t>
  </si>
  <si>
    <t>ORD100916</t>
  </si>
  <si>
    <t>ORD100917</t>
  </si>
  <si>
    <t>ORD100918</t>
  </si>
  <si>
    <t>ORD100919</t>
  </si>
  <si>
    <t>ORD100920</t>
  </si>
  <si>
    <t>ORD100921</t>
  </si>
  <si>
    <t>ORD100922</t>
  </si>
  <si>
    <t>ORD100923</t>
  </si>
  <si>
    <t>ORD100924</t>
  </si>
  <si>
    <t>ORD100925</t>
  </si>
  <si>
    <t>CUST-1109</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</si>
  <si>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</si>
  <si>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</si>
  <si>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</si>
  <si>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</si>
  <si>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</si>
  <si>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</si>
  <si>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</si>
  <si>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</si>
  <si>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</si>
  <si>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</si>
  <si>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</si>
  <si>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</si>
  <si>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</si>
  <si>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</si>
  <si>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</si>
  <si>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</si>
  <si>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</si>
  <si>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</si>
  <si>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</si>
  <si>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</si>
  <si>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</si>
  <si>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</si>
  <si>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</si>
  <si>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</si>
  <si>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</si>
  <si>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</si>
  <si>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</si>
  <si>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</si>
  <si>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</si>
  <si>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</si>
  <si>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</si>
  <si>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</si>
  <si>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</si>
  <si>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</si>
  <si>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</si>
  <si>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</si>
  <si>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</si>
  <si>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</si>
  <si>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</si>
  <si>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</si>
  <si>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</si>
  <si>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</si>
  <si>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CUST-1270</t>
  </si>
  <si>
    <t>ORD100968</t>
  </si>
  <si>
    <t>ORD100969</t>
  </si>
  <si>
    <t>ORD100970</t>
  </si>
  <si>
    <t>ORD100971</t>
  </si>
  <si>
    <t>ORD100972</t>
  </si>
  <si>
    <t>ORD100973</t>
  </si>
  <si>
    <t>ORD100974</t>
  </si>
  <si>
    <t>ORD100975</t>
  </si>
  <si>
    <t>ORD100976</t>
  </si>
  <si>
    <t>ORD100977</t>
  </si>
  <si>
    <t>ORD100978</t>
  </si>
  <si>
    <t>ORD100979</t>
  </si>
  <si>
    <t>ORD100980</t>
  </si>
  <si>
    <t>ORD100981</t>
  </si>
  <si>
    <t>CUST-1042</t>
  </si>
  <si>
    <t>ORD100982</t>
  </si>
  <si>
    <t>ORD100983</t>
  </si>
  <si>
    <t>ORD100984</t>
  </si>
  <si>
    <t>ORD100985</t>
  </si>
  <si>
    <t>PROD-ELEC-077</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</si>
  <si>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</si>
  <si>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</si>
  <si>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</si>
  <si>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</si>
  <si>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</si>
  <si>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</si>
  <si>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</si>
  <si>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</si>
  <si>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</si>
  <si>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</si>
  <si>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</si>
  <si>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</si>
  <si>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</si>
  <si>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</si>
  <si>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</si>
  <si>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</si>
  <si>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</si>
  <si>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</si>
  <si>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</si>
  <si>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CUST-1163</t>
  </si>
  <si>
    <t>ORD101005</t>
  </si>
  <si>
    <t>ORD101006</t>
  </si>
  <si>
    <t>ORD101007</t>
  </si>
  <si>
    <t>ORD101008</t>
  </si>
  <si>
    <t>ORD101009</t>
  </si>
  <si>
    <t>ORD101010</t>
  </si>
  <si>
    <t>ORD101011</t>
  </si>
  <si>
    <t>ORD101012</t>
  </si>
  <si>
    <t>ORD101013</t>
  </si>
  <si>
    <t>ORD101014</t>
  </si>
  <si>
    <t>ORD101015</t>
  </si>
  <si>
    <t>CUST-1002</t>
  </si>
  <si>
    <t>ORD101016</t>
  </si>
  <si>
    <t>ORD101017</t>
  </si>
  <si>
    <t>ORD101018</t>
  </si>
  <si>
    <t>ORD101019</t>
  </si>
  <si>
    <t>ORD101020</t>
  </si>
  <si>
    <t>ORD101021</t>
  </si>
  <si>
    <t>ORD101022</t>
  </si>
  <si>
    <t>ORD101023</t>
  </si>
  <si>
    <t>ORD101024</t>
  </si>
  <si>
    <t>ORD101025</t>
  </si>
  <si>
    <t>ORD101026</t>
  </si>
  <si>
    <t>ORD101027</t>
  </si>
  <si>
    <t>ORD101028</t>
  </si>
  <si>
    <t>ORD101029</t>
  </si>
  <si>
    <t>CUST-1024</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</si>
  <si>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</si>
  <si>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</si>
  <si>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</si>
  <si>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</si>
  <si>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</si>
  <si>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</si>
  <si>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</si>
  <si>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</si>
  <si>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</si>
  <si>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</si>
  <si>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</si>
  <si>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</si>
  <si>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</si>
  <si>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</si>
  <si>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</si>
  <si>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</si>
  <si>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</si>
  <si>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</si>
  <si>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</si>
  <si>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</si>
  <si>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CUST-1095</t>
  </si>
  <si>
    <t>ORD101050</t>
  </si>
  <si>
    <t>ORD101051</t>
  </si>
  <si>
    <t>ORD101052</t>
  </si>
  <si>
    <t>ORD101053</t>
  </si>
  <si>
    <t>ORD101054</t>
  </si>
  <si>
    <t>ORD101055</t>
  </si>
  <si>
    <t>ORD101056</t>
  </si>
  <si>
    <t>ORD101057</t>
  </si>
  <si>
    <t>ORD101058</t>
  </si>
  <si>
    <t>ORD101059</t>
  </si>
  <si>
    <t>ORD101060</t>
  </si>
  <si>
    <t>CUST-1199</t>
  </si>
  <si>
    <t>ORD101061</t>
  </si>
  <si>
    <t>ORD101062</t>
  </si>
  <si>
    <t>ORD101063</t>
  </si>
  <si>
    <t>ORD101064</t>
  </si>
  <si>
    <t>ORD101065</t>
  </si>
  <si>
    <t>ORD101066</t>
  </si>
  <si>
    <t>ORD101067</t>
  </si>
  <si>
    <t>CUST-1182</t>
  </si>
  <si>
    <t>ORD101068</t>
  </si>
  <si>
    <t>ORD101069</t>
  </si>
  <si>
    <t>ORD101070</t>
  </si>
  <si>
    <t>ORD101071</t>
  </si>
  <si>
    <t>ORD101072</t>
  </si>
  <si>
    <t>ORD101073</t>
  </si>
  <si>
    <t>ORD101074</t>
  </si>
  <si>
    <t>CUST-1068</t>
  </si>
  <si>
    <t>ORD101075</t>
  </si>
  <si>
    <t>ORD101076</t>
  </si>
  <si>
    <t>ORD101077</t>
  </si>
  <si>
    <t>ORD101078</t>
  </si>
  <si>
    <t>ORD101079</t>
  </si>
  <si>
    <t>ORD101080</t>
  </si>
  <si>
    <t>ORD101081</t>
  </si>
  <si>
    <t>ORD101082</t>
  </si>
  <si>
    <t>ORD101083</t>
  </si>
  <si>
    <t>ORD101084</t>
  </si>
  <si>
    <t>ORD101085</t>
  </si>
  <si>
    <t>ORD101086</t>
  </si>
  <si>
    <t>ORD101087</t>
  </si>
  <si>
    <t>ORD101088</t>
  </si>
  <si>
    <t>CUST-1103</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</si>
  <si>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</si>
  <si>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</si>
  <si>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</si>
  <si>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</si>
  <si>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</si>
  <si>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</si>
  <si>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</si>
  <si>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</si>
  <si>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</si>
  <si>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</si>
  <si>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</si>
  <si>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</si>
  <si>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</si>
  <si>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</si>
  <si>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</si>
  <si>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</si>
  <si>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</si>
  <si>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</si>
  <si>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</si>
  <si>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</si>
  <si>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</si>
  <si>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</si>
  <si>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</si>
  <si>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</si>
  <si>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</si>
  <si>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</si>
  <si>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</si>
  <si>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</si>
  <si>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</si>
  <si>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</si>
  <si>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</si>
  <si>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</si>
  <si>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</si>
  <si>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</si>
  <si>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</si>
  <si>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</si>
  <si>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</si>
  <si>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</si>
  <si>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</si>
  <si>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</si>
  <si>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</si>
  <si>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</si>
  <si>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</si>
  <si>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</si>
  <si>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</si>
  <si>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</si>
  <si>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</si>
  <si>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</si>
  <si>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</si>
  <si>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</si>
  <si>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</si>
  <si>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</si>
  <si>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</si>
  <si>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</si>
  <si>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</si>
  <si>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</si>
  <si>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</si>
  <si>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</si>
  <si>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</si>
  <si>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</si>
  <si>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</si>
  <si>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</si>
  <si>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</si>
  <si>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</si>
  <si>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</si>
  <si>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</si>
  <si>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</si>
  <si>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</si>
  <si>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</si>
  <si>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</si>
  <si>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</si>
  <si>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</si>
  <si>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</si>
  <si>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</si>
  <si>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</si>
  <si>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</si>
  <si>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</si>
  <si>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</si>
  <si>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</si>
  <si>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</si>
  <si>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</si>
  <si>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</si>
  <si>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</si>
  <si>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</si>
  <si>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</si>
  <si>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</si>
  <si>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</si>
  <si>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</si>
  <si>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</si>
  <si>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</si>
  <si>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</si>
  <si>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</si>
  <si>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</si>
  <si>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</si>
  <si>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</si>
  <si>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CUST-1133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</si>
  <si>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</si>
  <si>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</si>
  <si>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</si>
  <si>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</si>
  <si>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</si>
  <si>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</si>
  <si>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</si>
  <si>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</si>
  <si>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</si>
  <si>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</si>
  <si>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</si>
  <si>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</si>
  <si>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</si>
  <si>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</si>
  <si>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</si>
  <si>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</si>
  <si>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</si>
  <si>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</si>
  <si>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</si>
  <si>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</si>
  <si>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</si>
  <si>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</si>
  <si>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</si>
  <si>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</si>
  <si>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</si>
  <si>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</si>
  <si>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</si>
  <si>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</si>
  <si>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</si>
  <si>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</si>
  <si>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</si>
  <si>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</si>
  <si>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</si>
  <si>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</si>
  <si>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</si>
  <si>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</si>
  <si>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</si>
  <si>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</si>
  <si>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</si>
  <si>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</si>
  <si>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</si>
  <si>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</si>
  <si>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</si>
  <si>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</si>
  <si>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</si>
  <si>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</si>
  <si>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</si>
  <si>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</si>
  <si>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</si>
  <si>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</si>
  <si>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</si>
  <si>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</si>
  <si>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</si>
  <si>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</si>
  <si>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</si>
  <si>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</si>
  <si>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</si>
  <si>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</si>
  <si>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</si>
  <si>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</si>
  <si>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</si>
  <si>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</si>
  <si>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</si>
  <si>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</si>
  <si>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</si>
  <si>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</si>
  <si>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</si>
  <si>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</si>
  <si>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</si>
  <si>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</si>
  <si>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</si>
  <si>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</si>
  <si>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</si>
  <si>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</si>
  <si>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</si>
  <si>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</si>
  <si>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CUST-1100</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</si>
  <si>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</si>
  <si>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</si>
  <si>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</si>
  <si>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</si>
  <si>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</si>
  <si>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</si>
  <si>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</si>
  <si>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</si>
  <si>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</si>
  <si>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</si>
  <si>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</si>
  <si>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</si>
  <si>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</si>
  <si>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</si>
  <si>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</si>
  <si>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</si>
  <si>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</si>
  <si>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</si>
  <si>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</si>
  <si>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</si>
  <si>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CUST-1107</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</si>
  <si>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</si>
  <si>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</si>
  <si>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</si>
  <si>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</si>
  <si>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</si>
  <si>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</si>
  <si>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</si>
  <si>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</si>
  <si>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</si>
  <si>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</si>
  <si>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</si>
  <si>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</si>
  <si>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</si>
  <si>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</si>
  <si>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</si>
  <si>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</si>
  <si>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</si>
  <si>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</si>
  <si>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</si>
  <si>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</si>
  <si>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PROD-ELEC-136</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</si>
  <si>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</si>
  <si>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</si>
  <si>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</si>
  <si>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</si>
  <si>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</si>
  <si>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</si>
  <si>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</si>
  <si>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</si>
  <si>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</si>
  <si>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</si>
  <si>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</si>
  <si>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</si>
  <si>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</si>
  <si>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</si>
  <si>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</si>
  <si>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</si>
  <si>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</si>
  <si>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</si>
  <si>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</si>
  <si>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</si>
  <si>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</si>
  <si>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</si>
  <si>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</si>
  <si>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</si>
  <si>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</si>
  <si>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</si>
  <si>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</si>
  <si>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</si>
  <si>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</si>
  <si>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</si>
  <si>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</si>
  <si>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</si>
  <si>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</si>
  <si>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</si>
  <si>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</si>
  <si>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</si>
  <si>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</si>
  <si>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</si>
  <si>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</si>
  <si>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</si>
  <si>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CUST-1201</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</si>
  <si>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</si>
  <si>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</si>
  <si>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</si>
  <si>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</si>
  <si>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</si>
  <si>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</si>
  <si>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</si>
  <si>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</si>
  <si>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</si>
  <si>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</si>
  <si>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</si>
  <si>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</si>
  <si>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</si>
  <si>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</si>
  <si>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</si>
  <si>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</si>
  <si>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</si>
  <si>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</si>
  <si>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</si>
  <si>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</si>
  <si>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</si>
  <si>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</si>
  <si>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</si>
  <si>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</si>
  <si>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</si>
  <si>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</si>
  <si>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</si>
  <si>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</si>
  <si>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</si>
  <si>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</si>
  <si>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</si>
  <si>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</si>
  <si>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</si>
  <si>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</si>
  <si>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</si>
  <si>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</si>
  <si>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</si>
  <si>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</si>
  <si>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</si>
  <si>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</si>
  <si>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</si>
  <si>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</si>
  <si>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</si>
  <si>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</si>
  <si>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</si>
  <si>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</si>
  <si>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</si>
  <si>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</si>
  <si>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</si>
  <si>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</si>
  <si>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</si>
  <si>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</si>
  <si>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</si>
  <si>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</si>
  <si>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</si>
  <si>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</si>
  <si>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</si>
  <si>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</si>
  <si>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</si>
  <si>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</si>
  <si>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</si>
  <si>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</si>
  <si>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</si>
  <si>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</si>
  <si>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</si>
  <si>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</si>
  <si>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</si>
  <si>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</si>
  <si>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</si>
  <si>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</si>
  <si>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</si>
  <si>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</si>
  <si>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</si>
  <si>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</si>
  <si>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</si>
  <si>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</si>
  <si>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</si>
  <si>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</si>
  <si>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</si>
  <si>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</si>
  <si>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</si>
  <si>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</si>
  <si>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</si>
  <si>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</si>
  <si>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</si>
  <si>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</si>
  <si>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</si>
  <si>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</si>
  <si>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</si>
  <si>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</si>
  <si>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</si>
  <si>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</si>
  <si>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</si>
  <si>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</si>
  <si>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</si>
  <si>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</si>
  <si>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</si>
  <si>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</si>
  <si>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</si>
  <si>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</si>
  <si>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</si>
  <si>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</si>
  <si>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</si>
  <si>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</si>
  <si>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</si>
  <si>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</si>
  <si>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</si>
  <si>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</si>
  <si>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</si>
  <si>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</si>
  <si>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</si>
  <si>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</si>
  <si>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</si>
  <si>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</si>
  <si>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</si>
  <si>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</si>
  <si>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</si>
  <si>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</si>
  <si>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</si>
  <si>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</si>
  <si>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</si>
  <si>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</si>
  <si>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</si>
  <si>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</si>
  <si>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</si>
  <si>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</si>
  <si>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</si>
  <si>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</si>
  <si>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</si>
  <si>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</si>
  <si>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</si>
  <si>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</si>
  <si>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</si>
  <si>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</si>
  <si>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</si>
  <si>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</si>
  <si>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</si>
  <si>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</si>
  <si>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</si>
  <si>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</si>
  <si>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</si>
  <si>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</si>
  <si>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</si>
  <si>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</si>
  <si>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</si>
  <si>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</si>
  <si>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</si>
  <si>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</si>
  <si>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</si>
  <si>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</si>
  <si>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</si>
  <si>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</si>
  <si>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</si>
  <si>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</si>
  <si>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</si>
  <si>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</si>
  <si>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</si>
  <si>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</si>
  <si>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</si>
  <si>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</si>
  <si>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Product_Name</t>
  </si>
  <si>
    <t>Category</t>
  </si>
  <si>
    <t>Unit_Price</t>
  </si>
  <si>
    <t>Shipping_Requirement</t>
  </si>
  <si>
    <t>Merchant_Reputation_Score</t>
  </si>
  <si>
    <t>Mouse Model B1</t>
  </si>
  <si>
    <t>Electronics</t>
  </si>
  <si>
    <t>Standard Physical</t>
  </si>
  <si>
    <t>Sneakers Model C2</t>
  </si>
  <si>
    <t>Apparel</t>
  </si>
  <si>
    <t>Designer Watch Model D3</t>
  </si>
  <si>
    <t>Luxury Goods</t>
  </si>
  <si>
    <t>Special Handling Required</t>
  </si>
  <si>
    <t>Keyboard Model E4</t>
  </si>
  <si>
    <t>Leather Handbag Model F5</t>
  </si>
  <si>
    <t>Premium Stream 1M Model G6</t>
  </si>
  <si>
    <t>Digital Services</t>
  </si>
  <si>
    <t>Digital (Instant)</t>
  </si>
  <si>
    <t>Smartwatch Model H7</t>
  </si>
  <si>
    <t>Toaster Model I8</t>
  </si>
  <si>
    <t>Home Goods</t>
  </si>
  <si>
    <t>Coffee Maker Model J9</t>
  </si>
  <si>
    <t>Desk Lamp Model K10</t>
  </si>
  <si>
    <t>VPN 6-Month Pass Model L11</t>
  </si>
  <si>
    <t>Cable Model M12</t>
  </si>
  <si>
    <t>Desk Lamp Model N13</t>
  </si>
  <si>
    <t>Cap Model O14</t>
  </si>
  <si>
    <t>Cap Model P15</t>
  </si>
  <si>
    <t>Blender Model Q16</t>
  </si>
  <si>
    <t>Pillow Model R17</t>
  </si>
  <si>
    <t>Leather Handbag Model S18</t>
  </si>
  <si>
    <t>Software License Tier A Model T19</t>
  </si>
  <si>
    <t>Leather Handbag Model U20</t>
  </si>
  <si>
    <t>Keyboard Model V21</t>
  </si>
  <si>
    <t>E-Book Access Model W22</t>
  </si>
  <si>
    <t>Premium Perfume Model X23</t>
  </si>
  <si>
    <t>Premium Stream 1M Model Y24</t>
  </si>
  <si>
    <t>Silk Scarf Model Z25</t>
  </si>
  <si>
    <t>Gold Bracelet Model A26</t>
  </si>
  <si>
    <t>Jacket Model B27</t>
  </si>
  <si>
    <t>Keyboard Model C28</t>
  </si>
  <si>
    <t>VPN 6-Month Pass Model D29</t>
  </si>
  <si>
    <t>VPN 6-Month Pass Model E30</t>
  </si>
  <si>
    <t>Webcam Model F31</t>
  </si>
  <si>
    <t>Premium Perfume Model G32</t>
  </si>
  <si>
    <t>Mug Model H33</t>
  </si>
  <si>
    <t>Desk Lamp Model I34</t>
  </si>
  <si>
    <t>Smartwatch Model J35</t>
  </si>
  <si>
    <t>Silk Scarf Model K36</t>
  </si>
  <si>
    <t>Jacket Model L37</t>
  </si>
  <si>
    <t>Cable Model M38</t>
  </si>
  <si>
    <t>Organizer Model N39</t>
  </si>
  <si>
    <t>Jacket Model O40</t>
  </si>
  <si>
    <t>Cloud Storage Basic Model P41</t>
  </si>
  <si>
    <t>Jeans Model Q42</t>
  </si>
  <si>
    <t>Hoodie Model R43</t>
  </si>
  <si>
    <t>Jacket Model S44</t>
  </si>
  <si>
    <t>Mug Model T45</t>
  </si>
  <si>
    <t>VPN 6-Month Pass Model U46</t>
  </si>
  <si>
    <t>Headphones Model V47</t>
  </si>
  <si>
    <t>Leather Handbag Model W48</t>
  </si>
  <si>
    <t>Keyboard Model X49</t>
  </si>
  <si>
    <t>Coffee Maker Model Y50</t>
  </si>
  <si>
    <t>Premium Stream 1M Model Z51</t>
  </si>
  <si>
    <t>Silk Scarf Model A52</t>
  </si>
  <si>
    <t>Premium Stream 1M Model B53</t>
  </si>
  <si>
    <t>Mug Model C54</t>
  </si>
  <si>
    <t>Webcam Model D55</t>
  </si>
  <si>
    <t>Charger Model E56</t>
  </si>
  <si>
    <t>Keyboard Model F57</t>
  </si>
  <si>
    <t>Socks Model G58</t>
  </si>
  <si>
    <t>Charger Model H59</t>
  </si>
  <si>
    <t>Mouse Model I60</t>
  </si>
  <si>
    <t>Mouse Model J61</t>
  </si>
  <si>
    <t>Socks Model K62</t>
  </si>
  <si>
    <t>Cloud Storage Basic Model L63</t>
  </si>
  <si>
    <t>E-Book Access Model M64</t>
  </si>
  <si>
    <t>Mug Model N65</t>
  </si>
  <si>
    <t>Gold Bracelet Model O66</t>
  </si>
  <si>
    <t>Cable Model P67</t>
  </si>
  <si>
    <t>Coffee Maker Model Q68</t>
  </si>
  <si>
    <t>Leather Handbag Model R69</t>
  </si>
  <si>
    <t>T-Shirt Model S70</t>
  </si>
  <si>
    <t>Socks Model T71</t>
  </si>
  <si>
    <t>Jacket Model U72</t>
  </si>
  <si>
    <t>VPN 6-Month Pass Model V73</t>
  </si>
  <si>
    <t>Blender Model W74</t>
  </si>
  <si>
    <t>Mug Model X75</t>
  </si>
  <si>
    <t>E-Book Access Model Y76</t>
  </si>
  <si>
    <t>Charger Model Z77</t>
  </si>
  <si>
    <t>Mouse Model A78</t>
  </si>
  <si>
    <t>Hoodie Model B79</t>
  </si>
  <si>
    <t>Toaster Model C80</t>
  </si>
  <si>
    <t>Desk Lamp Model D81</t>
  </si>
  <si>
    <t>Designer Watch Model E82</t>
  </si>
  <si>
    <t>Keyboard Model F83</t>
  </si>
  <si>
    <t>Leather Handbag Model G84</t>
  </si>
  <si>
    <t>Blender Model H85</t>
  </si>
  <si>
    <t>Gold Bracelet Model I86</t>
  </si>
  <si>
    <t>Mouse Model J87</t>
  </si>
  <si>
    <t>Mouse Model K88</t>
  </si>
  <si>
    <t>Blender Model L89</t>
  </si>
  <si>
    <t>VPN 6-Month Pass Model M90</t>
  </si>
  <si>
    <t>Jacket Model N91</t>
  </si>
  <si>
    <t>Leather Handbag Model O92</t>
  </si>
  <si>
    <t>Organizer Model P93</t>
  </si>
  <si>
    <t>Blender Model Q94</t>
  </si>
  <si>
    <t>Organizer Model R95</t>
  </si>
  <si>
    <t>Leather Handbag Model S96</t>
  </si>
  <si>
    <t>Cap Model T97</t>
  </si>
  <si>
    <t>Keyboard Model U98</t>
  </si>
  <si>
    <t>Premium Stream 1M Model V99</t>
  </si>
  <si>
    <t>Charger Model W100</t>
  </si>
  <si>
    <t>Jeans Model X101</t>
  </si>
  <si>
    <t>Organizer Model Y102</t>
  </si>
  <si>
    <t>Webcam Model Z103</t>
  </si>
  <si>
    <t>Smartwatch Model A104</t>
  </si>
  <si>
    <t>VPN 6-Month Pass Model B105</t>
  </si>
  <si>
    <t>Blender Model C106</t>
  </si>
  <si>
    <t>Mouse Model D107</t>
  </si>
  <si>
    <t>Mug Model E108</t>
  </si>
  <si>
    <t>VPN 6-Month Pass Model F109</t>
  </si>
  <si>
    <t>Cloud Storage Basic Model G110</t>
  </si>
  <si>
    <t>Hoodie Model H111</t>
  </si>
  <si>
    <t>Desk Lamp Model I112</t>
  </si>
  <si>
    <t>Desk Lamp Model J113</t>
  </si>
  <si>
    <t>E-Book Access Model K114</t>
  </si>
  <si>
    <t>Premium Stream 1M Model L115</t>
  </si>
  <si>
    <t>Designer Watch Model M116</t>
  </si>
  <si>
    <t>Silk Scarf Model N117</t>
  </si>
  <si>
    <t>Premium Stream 1M Model O118</t>
  </si>
  <si>
    <t>Sneakers Model P119</t>
  </si>
  <si>
    <t>Premium Perfume Model Q120</t>
  </si>
  <si>
    <t>Sneakers Model R121</t>
  </si>
  <si>
    <t>T-Shirt Model S122</t>
  </si>
  <si>
    <t>Designer Watch Model T123</t>
  </si>
  <si>
    <t>Leather Handbag Model U124</t>
  </si>
  <si>
    <t>Premium Stream 1M Model V125</t>
  </si>
  <si>
    <t>Smartwatch Model W126</t>
  </si>
  <si>
    <t>Gold Bracelet Model X127</t>
  </si>
  <si>
    <t>Charger Model Y128</t>
  </si>
  <si>
    <t>Silk Scarf Model Z129</t>
  </si>
  <si>
    <t>VPN 6-Month Pass Model A130</t>
  </si>
  <si>
    <t>VPN 6-Month Pass Model B131</t>
  </si>
  <si>
    <t>Software License Tier A Model C132</t>
  </si>
  <si>
    <t>Organizer Model D133</t>
  </si>
  <si>
    <t>Hoodie Model E134</t>
  </si>
  <si>
    <t>Hoodie Model F135</t>
  </si>
  <si>
    <t>Keyboard Model G136</t>
  </si>
  <si>
    <t>Sneakers Model H137</t>
  </si>
  <si>
    <t>Desk Lamp Model I138</t>
  </si>
  <si>
    <t>Software License Tier A Model J139</t>
  </si>
  <si>
    <t>Smartwatch Model K140</t>
  </si>
  <si>
    <t>Cloud Storage Basic Model L141</t>
  </si>
  <si>
    <t>Software License Tier A Model M142</t>
  </si>
  <si>
    <t>Leather Handbag Model N143</t>
  </si>
  <si>
    <t>Cloud Storage Basic Model O144</t>
  </si>
  <si>
    <t>Premium Stream 1M Model P145</t>
  </si>
  <si>
    <t>Silk Scarf Model Q146</t>
  </si>
  <si>
    <t>Designer Watch Model R147</t>
  </si>
  <si>
    <t>Premium Stream 1M Model S148</t>
  </si>
  <si>
    <t>Socks Model T149</t>
  </si>
  <si>
    <t>E-Book Access Model U150</t>
  </si>
  <si>
    <t xml:space="preserve"> </t>
  </si>
  <si>
    <t>Clean_Status</t>
  </si>
  <si>
    <t>Total_Revenue</t>
  </si>
  <si>
    <t>Row Labels</t>
  </si>
  <si>
    <t>Grand Total</t>
  </si>
  <si>
    <t>Sum of Total_Revenue</t>
  </si>
  <si>
    <t>Count of Order_ID</t>
  </si>
  <si>
    <t>cancelled</t>
  </si>
  <si>
    <t xml:space="preserve"> Order_ID</t>
  </si>
  <si>
    <t>Order ID</t>
  </si>
  <si>
    <t>Customer ID</t>
  </si>
  <si>
    <t>Order Country</t>
  </si>
  <si>
    <t>Device Used</t>
  </si>
  <si>
    <t>Payment Method</t>
  </si>
  <si>
    <t>Total Revenue</t>
  </si>
  <si>
    <t>TOTAL AUDITED DATASET</t>
  </si>
  <si>
    <t>GROSS TRANSACTION REVENUE</t>
  </si>
  <si>
    <t>TOTAL PIPELINE AT RISK</t>
  </si>
  <si>
    <t>ACTIVE DISPUTE INSTANCES</t>
  </si>
  <si>
    <t>FRAUD ANALYTICS OVERVIEW</t>
  </si>
  <si>
    <t>CRITICAL HOLDS QUEUE</t>
  </si>
  <si>
    <t>SLA BREACH STATUS</t>
  </si>
  <si>
    <t>THREAT EXP VELOCITY</t>
  </si>
  <si>
    <t>Automated Bots</t>
  </si>
  <si>
    <t>Cross-Border</t>
  </si>
  <si>
    <t>(All)</t>
  </si>
  <si>
    <t>Jan</t>
  </si>
  <si>
    <t>Feb</t>
  </si>
  <si>
    <t>Mar</t>
  </si>
  <si>
    <t>Apr</t>
  </si>
  <si>
    <t>May</t>
  </si>
  <si>
    <t>Jun</t>
  </si>
  <si>
    <t>Jul</t>
  </si>
  <si>
    <t>Aug</t>
  </si>
  <si>
    <t>Sep</t>
  </si>
  <si>
    <t>Oct</t>
  </si>
  <si>
    <t>Nov</t>
  </si>
  <si>
    <t>Dec</t>
  </si>
  <si>
    <t>delivered</t>
  </si>
  <si>
    <t>disputed</t>
  </si>
  <si>
    <t>REFUNDED</t>
  </si>
  <si>
    <t>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</si>
</sst>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409]#,##0.00"/>
  </numFmts>
  <fonts count="16" x14ac:knownFonts="1">
    <font>
      <sz val="11"/>
      <color theme="1"/>
      <name val="Calibri"/>
      <family val="2"/>
      <scheme val="minor"/>
    </font>
    <font>
      <b/>
      <sz val="11"/>
      <name val="Calibri"/>
    </font>
    <font>
      <b/>
      <sz val="11"/>
      <color theme="1"/>
      <name val="Calibri"/>
      <family val="2"/>
      <scheme val="minor"/>
    </font>
    <font>
      <b/>
      <sz val="11"/>
      <name val="Calibri"/>
      <family val="2"/>
    </font>
    <font>
      <sz val="11"/>
      <name val="Calibri"/>
      <family val="2"/>
      <scheme val="minor"/>
    </font>
    <font>
      <b/>
      <sz val="22"/>
      <color rgb="FF0070C0"/>
      <name val="Calibri"/>
      <family val="2"/>
      <scheme val="minor"/>
    </font>
    <font>
      <b/>
      <sz val="12"/>
      <color theme="0"/>
      <name val="Calibri"/>
      <family val="2"/>
      <scheme val="minor"/>
    </font>
    <font>
      <sz val="12"/>
      <name val="Calibri"/>
      <family val="2"/>
      <scheme val="minor"/>
    </font>
    <font>
      <sz val="12"/>
      <color theme="1"/>
      <name val="Calibri"/>
      <family val="2"/>
      <scheme val="minor"/>
    </font>
    <font>
      <b/>
      <sz val="11"/>
      <color rgb="FF0070C0"/>
      <name val="Calibri"/>
      <family val="2"/>
      <scheme val="minor"/>
    </font>
    <font>
      <b/>
      <sz val="12"/>
      <color theme="1" tint="0.499984740745262"/>
      <name val="Calibri"/>
      <family val="2"/>
      <scheme val="minor"/>
    </font>
    <font>
      <b/>
      <sz val="18"/>
      <color rgb="FF0070C0"/>
      <name val="Calibri"/>
      <family val="2"/>
      <scheme val="minor"/>
    </font>
    <font>
      <b/>
      <sz val="12"/>
      <color rgb="FF0070C0"/>
      <name val="Calibri"/>
      <family val="2"/>
      <scheme val="minor"/>
    </font>
    <font>
      <b/>
      <sz val="10"/>
      <color theme="1"/>
      <name val="Calibri"/>
      <family val="2"/>
      <scheme val="minor"/>
    </font>
    <font>
      <b/>
      <sz val="10"/>
      <color rgb="FF0070C0"/>
      <name val="Calibri"/>
      <family val="2"/>
      <scheme val="minor"/>
    </font>
    <font>
      <b/>
      <sz val="9"/>
      <color theme="5"/>
      <name val="Calibri"/>
      <family val="2"/>
      <scheme val="minor"/>
    </font>
  </fonts>
  <fills count="5">
    <fill>
      <patternFill patternType="none"/>
    </fill>
    <fill>
      <patternFill patternType="gray125"/>
    </fill>
    <fill>
      <patternFill patternType="solid">
        <fgColor rgb="FFF1F3F5"/>
        <bgColor indexed="64"/>
      </patternFill>
    </fill>
    <fill>
      <patternFill patternType="solid">
        <fgColor rgb="FFEDF0F3"/>
        <bgColor indexed="64"/>
      </patternFill>
    </fill>
    <fill>
      <patternFill patternType="solid">
        <fgColor theme="0" tint="-0.14999847407452621"/>
        <bgColor indexed="64"/>
      </patternFill>
    </fill>
  </fills>
  <borders count="6">
    <border>
      <left/>
      <right/>
      <top/>
      <bottom/>
      <diagonal/>
    </border>
    <border>
      <left style="thin">
        <color auto="1"/>
      </left>
      <right/>
      <top/>
      <bottom/>
      <diagonal/>
    </border>
    <border>
      <left style="thin">
        <color auto="1"/>
      </left>
      <right style="thin">
        <color auto="1"/>
      </right>
      <top/>
      <bottom style="thin">
        <color auto="1"/>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42">
    <xf numFmtId="0" fontId="0" fillId="0" borderId="0" xfId="0"/>
    <xf numFmtId="0" fontId="0" fillId="0" borderId="0" xfId="0" applyAlignment="1">
      <alignment horizontal="center" vertical="center"/>
    </xf>
    <xf numFmtId="0" fontId="0" fillId="0" borderId="0" xfId="0" applyAlignment="1">
      <alignment horizontal="left"/>
    </xf>
    <xf numFmtId="0" fontId="2" fillId="0" borderId="0" xfId="0" applyFont="1"/>
    <xf numFmtId="0" fontId="3" fillId="0" borderId="1" xfId="0" applyFont="1" applyBorder="1" applyAlignment="1">
      <alignment horizontal="right"/>
    </xf>
    <xf numFmtId="0" fontId="0" fillId="0" borderId="0" xfId="0" applyAlignment="1">
      <alignment horizontal="right"/>
    </xf>
    <xf numFmtId="0" fontId="1" fillId="0" borderId="2" xfId="0" applyFont="1" applyBorder="1" applyAlignment="1">
      <alignment horizontal="left"/>
    </xf>
    <xf numFmtId="0" fontId="3" fillId="0" borderId="2" xfId="0" applyFont="1" applyBorder="1" applyAlignment="1">
      <alignment horizontal="center" vertical="center"/>
    </xf>
    <xf numFmtId="0" fontId="1" fillId="0" borderId="2" xfId="0" applyFont="1" applyBorder="1" applyAlignment="1">
      <alignment horizontal="center" vertical="center"/>
    </xf>
    <xf numFmtId="0" fontId="0" fillId="0" borderId="0" xfId="0" pivotButton="1"/>
    <xf numFmtId="164" fontId="0" fillId="0" borderId="0" xfId="0" applyNumberFormat="1"/>
    <xf numFmtId="0" fontId="4" fillId="0" borderId="0" xfId="0" applyFont="1"/>
    <xf numFmtId="22" fontId="0" fillId="0" borderId="0" xfId="0" applyNumberFormat="1" applyAlignment="1">
      <alignment horizontal="center" vertical="center"/>
    </xf>
    <xf numFmtId="0" fontId="0" fillId="2" borderId="0" xfId="0" applyFill="1" applyBorder="1"/>
    <xf numFmtId="0" fontId="10" fillId="2" borderId="0" xfId="0" applyFont="1" applyFill="1" applyBorder="1" applyAlignment="1">
      <alignment horizontal="center" vertical="center"/>
    </xf>
    <xf numFmtId="165" fontId="0" fillId="2" borderId="0" xfId="0" applyNumberFormat="1" applyFill="1" applyBorder="1"/>
    <xf numFmtId="0" fontId="9" fillId="2" borderId="0" xfId="0" applyFont="1" applyFill="1" applyBorder="1"/>
    <xf numFmtId="0" fontId="13" fillId="2" borderId="0" xfId="0" applyFont="1" applyFill="1" applyBorder="1" applyAlignment="1">
      <alignment horizontal="center" vertical="center"/>
    </xf>
    <xf numFmtId="165" fontId="2" fillId="2" borderId="0" xfId="0" applyNumberFormat="1" applyFont="1" applyFill="1" applyBorder="1" applyAlignment="1">
      <alignment horizontal="center" vertical="center" wrapText="1"/>
    </xf>
    <xf numFmtId="0" fontId="6" fillId="2" borderId="0" xfId="0" applyFont="1" applyFill="1" applyBorder="1" applyAlignment="1">
      <alignment horizontal="center" vertical="center"/>
    </xf>
    <xf numFmtId="0" fontId="6" fillId="2" borderId="0" xfId="0" applyFont="1" applyFill="1" applyBorder="1" applyAlignment="1">
      <alignment vertical="center"/>
    </xf>
    <xf numFmtId="0" fontId="7" fillId="2" borderId="0" xfId="0" applyFont="1" applyFill="1" applyBorder="1" applyAlignment="1">
      <alignment vertical="center"/>
    </xf>
    <xf numFmtId="0" fontId="8" fillId="2" borderId="0" xfId="0" applyFont="1" applyFill="1" applyBorder="1"/>
    <xf numFmtId="0" fontId="0" fillId="2" borderId="3" xfId="0" applyFill="1" applyBorder="1"/>
    <xf numFmtId="0" fontId="0" fillId="2" borderId="5" xfId="0" applyFill="1" applyBorder="1"/>
    <xf numFmtId="0" fontId="7" fillId="2" borderId="5" xfId="0" applyFont="1" applyFill="1" applyBorder="1" applyAlignment="1">
      <alignment vertical="center"/>
    </xf>
    <xf numFmtId="165" fontId="0" fillId="2" borderId="5" xfId="0" applyNumberFormat="1" applyFill="1" applyBorder="1"/>
    <xf numFmtId="0" fontId="0" fillId="2" borderId="4" xfId="0" applyFill="1" applyBorder="1"/>
    <xf numFmtId="0" fontId="11" fillId="2" borderId="0" xfId="0" applyFont="1" applyFill="1" applyBorder="1" applyAlignment="1">
      <alignment horizontal="center"/>
    </xf>
    <xf numFmtId="0" fontId="9" fillId="2" borderId="0" xfId="0" applyFont="1" applyFill="1" applyBorder="1" applyAlignment="1">
      <alignment horizontal="center" vertical="center"/>
    </xf>
    <xf numFmtId="0" fontId="14" fillId="4" borderId="0" xfId="0" applyFont="1" applyFill="1" applyBorder="1" applyAlignment="1">
      <alignment horizontal="center" vertical="center"/>
    </xf>
    <xf numFmtId="0" fontId="9" fillId="4" borderId="0" xfId="0" applyFont="1" applyFill="1" applyBorder="1" applyAlignment="1">
      <alignment horizontal="center" vertical="center"/>
    </xf>
    <xf numFmtId="0" fontId="15" fillId="2" borderId="0" xfId="0" applyFont="1" applyFill="1" applyBorder="1" applyAlignment="1">
      <alignment horizontal="center" vertical="center"/>
    </xf>
    <xf numFmtId="0" fontId="12" fillId="2" borderId="0" xfId="0" applyFont="1" applyFill="1" applyBorder="1" applyAlignment="1">
      <alignment horizontal="center" vertical="center"/>
    </xf>
    <xf numFmtId="0" fontId="5" fillId="4" borderId="0" xfId="0" applyFont="1" applyFill="1" applyBorder="1" applyAlignment="1">
      <alignment horizontal="center" vertical="center"/>
    </xf>
    <xf numFmtId="0" fontId="0" fillId="4" borderId="0" xfId="0" applyFill="1" applyBorder="1" applyAlignment="1">
      <alignment horizontal="center" vertical="center"/>
    </xf>
    <xf numFmtId="0" fontId="5" fillId="4" borderId="0" xfId="0" applyFont="1" applyFill="1" applyBorder="1" applyAlignment="1">
      <alignment horizontal="center" vertical="center" wrapText="1"/>
    </xf>
    <xf numFmtId="165" fontId="5" fillId="4" borderId="0" xfId="0" applyNumberFormat="1" applyFont="1" applyFill="1" applyBorder="1" applyAlignment="1">
      <alignment horizontal="center" vertical="center"/>
    </xf>
    <xf numFmtId="0" fontId="10" fillId="2" borderId="0" xfId="0" applyFont="1" applyFill="1" applyBorder="1" applyAlignment="1">
      <alignment horizontal="center" vertical="center"/>
    </xf>
    <xf numFmtId="0" fontId="0" fillId="3" borderId="0" xfId="0" applyFill="1" applyBorder="1" applyAlignment="1">
      <alignment horizontal="center" vertical="center"/>
    </xf>
    <xf numFmtId="0" fontId="0" fillId="0" borderId="0" xfId="0" applyNumberFormat="1"/>
    <xf numFmtId="10" fontId="2" fillId="2" borderId="0" xfId="0" applyNumberFormat="1" applyFont="1" applyFill="1" applyBorder="1" applyAlignment="1">
      <alignment horizontal="center" vertical="center"/>
    </xf>
  </cellXfs>
  <cellStyles count="1">
    <cellStyle name="Normal" xfId="0" builtinId="0"/>
  </cellStyles>
  <dxfs count="8750">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style="thin">
          <color indexed="64"/>
        </right>
      </border>
    </dxf>
    <dxf>
      <border>
        <right/>
        <vertical/>
        <horizontal/>
      </border>
    </dxf>
    <dxf>
      <border>
        <right/>
        <vertical/>
        <horizontal/>
      </border>
    </dxf>
    <dxf>
      <border>
        <right style="thin">
          <color indexed="64"/>
        </right>
      </border>
    </dxf>
    <dxf>
      <border>
        <right/>
        <vertical/>
        <horizontal/>
      </border>
    </dxf>
    <dxf>
      <border>
        <right/>
        <vertical/>
        <horizontal/>
      </border>
    </dxf>
    <dxf>
      <border>
        <right style="thin">
          <color indexed="64"/>
        </right>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border>
        <right/>
        <vertical/>
        <horizontal/>
      </border>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ont>
        <sz val="10"/>
      </font>
    </dxf>
    <dxf>
      <font>
        <sz val="10"/>
      </font>
    </dxf>
    <dxf>
      <font>
        <sz val="10"/>
      </font>
    </dxf>
    <dxf>
      <font>
        <sz val="10"/>
      </font>
    </dxf>
    <dxf>
      <font>
        <sz val="10"/>
      </font>
    </dxf>
    <dxf>
      <numFmt numFmtId="165" formatCode="[$$-409]#,##0.00"/>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409]#,##0.00"/>
    </dxf>
    <dxf>
      <numFmt numFmtId="165" formatCode="[$$-409]#,##0.00"/>
    </dxf>
    <dxf>
      <font>
        <b/>
      </font>
    </dxf>
    <dxf>
      <font>
        <b/>
      </font>
    </dxf>
    <dxf>
      <font>
        <b/>
      </font>
    </dxf>
    <dxf>
      <font>
        <b/>
      </font>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fill>
        <patternFill>
          <bgColor rgb="FFF1F3F5"/>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outline="0">
        <top style="thin">
          <color auto="1"/>
        </top>
      </border>
    </dxf>
    <dxf>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bottom"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font>
    </dxf>
    <dxf>
      <font>
        <b/>
      </font>
    </dxf>
    <dxf>
      <font>
        <b/>
      </font>
    </dxf>
    <dxf>
      <font>
        <b/>
      </font>
    </dxf>
    <dxf>
      <font>
        <b/>
      </font>
    </dxf>
    <dxf>
      <numFmt numFmtId="165" formatCode="[$$-409]#,##0.00"/>
    </dxf>
    <dxf>
      <numFmt numFmtId="165" formatCode="[$$-409]#,##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fill>
        <patternFill>
          <bgColor rgb="FFF8F9FA"/>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numFmt numFmtId="165" formatCode="[$$-409]#,##0.00"/>
    </dxf>
    <dxf>
      <font>
        <sz val="10"/>
      </font>
    </dxf>
    <dxf>
      <font>
        <sz val="10"/>
      </font>
    </dxf>
    <dxf>
      <font>
        <sz val="10"/>
      </font>
    </dxf>
    <dxf>
      <font>
        <sz val="10"/>
      </font>
    </dxf>
    <dxf>
      <font>
        <sz val="10"/>
      </font>
    </dxf>
  </dxfs>
  <tableStyles count="0" defaultTableStyle="TableStyleMedium9" defaultPivotStyle="PivotStyleLight16"/>
  <colors>
    <mruColors>
      <color rgb="FFF1F3F5"/>
      <color rgb="FFEDF0F3"/>
      <color rgb="FFF8F9FA"/>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[Fraud_Risk_Analytics_Dataset.xlsx]Pivot!PivotTable5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Network Device Abuse Tracker</a:t>
            </a:r>
          </a:p>
        </c:rich>
      </c:tx>
      <c:layout>
        <c:manualLayout>
          <c:xMode val="edge"/>
          <c:yMode val="edge"/>
          <c:x val="0.26230309133205598"/>
          <c:y val="2.2435897435897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Pivot!$C$35:$C$36</c:f>
              <c:strCache>
                <c:ptCount val="1"/>
                <c:pt idx="0">
                  <c:v>cancelled</c:v>
                </c:pt>
              </c:strCache>
            </c:strRef>
          </c:tx>
          <c:spPr>
            <a:solidFill>
              <a:srgbClr val="C00000"/>
            </a:solidFill>
            <a:ln>
              <a:noFill/>
            </a:ln>
            <a:effectLst/>
          </c:spPr>
          <c:invertIfNegative val="0"/>
          <c:cat>
            <c:strRef>
              <c:f>Pivot!$B$37:$B$42</c:f>
              <c:strCache>
                <c:ptCount val="5"/>
                <c:pt idx="0">
                  <c:v>Bot_Server</c:v>
                </c:pt>
                <c:pt idx="1">
                  <c:v>Desktop</c:v>
                </c:pt>
                <c:pt idx="2">
                  <c:v>Mobile_App</c:v>
                </c:pt>
                <c:pt idx="3">
                  <c:v>Mobile_Emulator</c:v>
                </c:pt>
                <c:pt idx="4">
                  <c:v>Mobile_Web</c:v>
                </c:pt>
              </c:strCache>
            </c:strRef>
          </c:cat>
          <c:val>
            <c:numRef>
              <c:f>Pivot!$C$37:$C$42</c:f>
              <c:numCache>
                <c:formatCode>General</c:formatCode>
                <c:ptCount val="5"/>
                <c:pt idx="0">
                  <c:v>49</c:v>
                </c:pt>
                <c:pt idx="1">
                  <c:v>48</c:v>
                </c:pt>
                <c:pt idx="2">
                  <c:v>12</c:v>
                </c:pt>
                <c:pt idx="3">
                  <c:v>61</c:v>
                </c:pt>
                <c:pt idx="4">
                  <c:v>8</c:v>
                </c:pt>
              </c:numCache>
            </c:numRef>
          </c:val>
          <c:extLst>
            <c:ext xmlns:c16="http://schemas.microsoft.com/office/drawing/2014/chart" uri="{C3380CC4-5D6E-409C-BE32-E72D297353CC}">
              <c16:uniqueId val="{00000000-63B6-4CD9-8DCF-C8B1D4ADBF45}"/>
            </c:ext>
          </c:extLst>
        </c:ser>
        <c:ser>
          <c:idx val="1"/>
          <c:order val="1"/>
          <c:tx>
            <c:strRef>
              <c:f>Pivot!$D$35:$D$36</c:f>
              <c:strCache>
                <c:ptCount val="1"/>
                <c:pt idx="0">
                  <c:v>delivered</c:v>
                </c:pt>
              </c:strCache>
            </c:strRef>
          </c:tx>
          <c:spPr>
            <a:solidFill>
              <a:srgbClr val="92D050"/>
            </a:solidFill>
            <a:ln>
              <a:noFill/>
            </a:ln>
            <a:effectLst/>
          </c:spPr>
          <c:invertIfNegative val="0"/>
          <c:cat>
            <c:strRef>
              <c:f>Pivot!$B$37:$B$42</c:f>
              <c:strCache>
                <c:ptCount val="5"/>
                <c:pt idx="0">
                  <c:v>Bot_Server</c:v>
                </c:pt>
                <c:pt idx="1">
                  <c:v>Desktop</c:v>
                </c:pt>
                <c:pt idx="2">
                  <c:v>Mobile_App</c:v>
                </c:pt>
                <c:pt idx="3">
                  <c:v>Mobile_Emulator</c:v>
                </c:pt>
                <c:pt idx="4">
                  <c:v>Mobile_Web</c:v>
                </c:pt>
              </c:strCache>
            </c:strRef>
          </c:cat>
          <c:val>
            <c:numRef>
              <c:f>Pivot!$D$37:$D$42</c:f>
              <c:numCache>
                <c:formatCode>General</c:formatCode>
                <c:ptCount val="5"/>
                <c:pt idx="1">
                  <c:v>274</c:v>
                </c:pt>
                <c:pt idx="2">
                  <c:v>279</c:v>
                </c:pt>
                <c:pt idx="4">
                  <c:v>109</c:v>
                </c:pt>
              </c:numCache>
            </c:numRef>
          </c:val>
          <c:extLst>
            <c:ext xmlns:c16="http://schemas.microsoft.com/office/drawing/2014/chart" uri="{C3380CC4-5D6E-409C-BE32-E72D297353CC}">
              <c16:uniqueId val="{0000000E-1FAE-4999-9B52-79FDFA92839C}"/>
            </c:ext>
          </c:extLst>
        </c:ser>
        <c:ser>
          <c:idx val="2"/>
          <c:order val="2"/>
          <c:tx>
            <c:strRef>
              <c:f>Pivot!$E$35:$E$36</c:f>
              <c:strCache>
                <c:ptCount val="1"/>
                <c:pt idx="0">
                  <c:v>disputed</c:v>
                </c:pt>
              </c:strCache>
            </c:strRef>
          </c:tx>
          <c:spPr>
            <a:solidFill>
              <a:srgbClr val="FFC000"/>
            </a:solidFill>
            <a:ln>
              <a:noFill/>
            </a:ln>
            <a:effectLst/>
          </c:spPr>
          <c:invertIfNegative val="0"/>
          <c:cat>
            <c:strRef>
              <c:f>Pivot!$B$37:$B$42</c:f>
              <c:strCache>
                <c:ptCount val="5"/>
                <c:pt idx="0">
                  <c:v>Bot_Server</c:v>
                </c:pt>
                <c:pt idx="1">
                  <c:v>Desktop</c:v>
                </c:pt>
                <c:pt idx="2">
                  <c:v>Mobile_App</c:v>
                </c:pt>
                <c:pt idx="3">
                  <c:v>Mobile_Emulator</c:v>
                </c:pt>
                <c:pt idx="4">
                  <c:v>Mobile_Web</c:v>
                </c:pt>
              </c:strCache>
            </c:strRef>
          </c:cat>
          <c:val>
            <c:numRef>
              <c:f>Pivot!$E$37:$E$42</c:f>
              <c:numCache>
                <c:formatCode>General</c:formatCode>
                <c:ptCount val="5"/>
                <c:pt idx="0">
                  <c:v>60</c:v>
                </c:pt>
                <c:pt idx="1">
                  <c:v>60</c:v>
                </c:pt>
                <c:pt idx="2">
                  <c:v>9</c:v>
                </c:pt>
                <c:pt idx="3">
                  <c:v>59</c:v>
                </c:pt>
                <c:pt idx="4">
                  <c:v>2</c:v>
                </c:pt>
              </c:numCache>
            </c:numRef>
          </c:val>
          <c:extLst>
            <c:ext xmlns:c16="http://schemas.microsoft.com/office/drawing/2014/chart" uri="{C3380CC4-5D6E-409C-BE32-E72D297353CC}">
              <c16:uniqueId val="{0000000F-1FAE-4999-9B52-79FDFA92839C}"/>
            </c:ext>
          </c:extLst>
        </c:ser>
        <c:ser>
          <c:idx val="3"/>
          <c:order val="3"/>
          <c:tx>
            <c:strRef>
              <c:f>Pivot!$F$35:$F$36</c:f>
              <c:strCache>
                <c:ptCount val="1"/>
                <c:pt idx="0">
                  <c:v>PENDING_REVIEW</c:v>
                </c:pt>
              </c:strCache>
            </c:strRef>
          </c:tx>
          <c:spPr>
            <a:solidFill>
              <a:srgbClr val="FFFF00"/>
            </a:solidFill>
            <a:ln>
              <a:noFill/>
            </a:ln>
            <a:effectLst/>
          </c:spPr>
          <c:invertIfNegative val="0"/>
          <c:cat>
            <c:strRef>
              <c:f>Pivot!$B$37:$B$42</c:f>
              <c:strCache>
                <c:ptCount val="5"/>
                <c:pt idx="0">
                  <c:v>Bot_Server</c:v>
                </c:pt>
                <c:pt idx="1">
                  <c:v>Desktop</c:v>
                </c:pt>
                <c:pt idx="2">
                  <c:v>Mobile_App</c:v>
                </c:pt>
                <c:pt idx="3">
                  <c:v>Mobile_Emulator</c:v>
                </c:pt>
                <c:pt idx="4">
                  <c:v>Mobile_Web</c:v>
                </c:pt>
              </c:strCache>
            </c:strRef>
          </c:cat>
          <c:val>
            <c:numRef>
              <c:f>Pivot!$F$37:$F$42</c:f>
              <c:numCache>
                <c:formatCode>General</c:formatCode>
                <c:ptCount val="5"/>
                <c:pt idx="0">
                  <c:v>41</c:v>
                </c:pt>
                <c:pt idx="1">
                  <c:v>80</c:v>
                </c:pt>
                <c:pt idx="2">
                  <c:v>10</c:v>
                </c:pt>
                <c:pt idx="3">
                  <c:v>45</c:v>
                </c:pt>
                <c:pt idx="4">
                  <c:v>7</c:v>
                </c:pt>
              </c:numCache>
            </c:numRef>
          </c:val>
          <c:extLst>
            <c:ext xmlns:c16="http://schemas.microsoft.com/office/drawing/2014/chart" uri="{C3380CC4-5D6E-409C-BE32-E72D297353CC}">
              <c16:uniqueId val="{00000010-1FAE-4999-9B52-79FDFA92839C}"/>
            </c:ext>
          </c:extLst>
        </c:ser>
        <c:ser>
          <c:idx val="4"/>
          <c:order val="4"/>
          <c:tx>
            <c:strRef>
              <c:f>Pivot!$G$35:$G$36</c:f>
              <c:strCache>
                <c:ptCount val="1"/>
                <c:pt idx="0">
                  <c:v>REFUNDED</c:v>
                </c:pt>
              </c:strCache>
            </c:strRef>
          </c:tx>
          <c:spPr>
            <a:solidFill>
              <a:srgbClr val="FF0000"/>
            </a:solidFill>
            <a:ln>
              <a:noFill/>
            </a:ln>
            <a:effectLst/>
          </c:spPr>
          <c:invertIfNegative val="0"/>
          <c:cat>
            <c:strRef>
              <c:f>Pivot!$B$37:$B$42</c:f>
              <c:strCache>
                <c:ptCount val="5"/>
                <c:pt idx="0">
                  <c:v>Bot_Server</c:v>
                </c:pt>
                <c:pt idx="1">
                  <c:v>Desktop</c:v>
                </c:pt>
                <c:pt idx="2">
                  <c:v>Mobile_App</c:v>
                </c:pt>
                <c:pt idx="3">
                  <c:v>Mobile_Emulator</c:v>
                </c:pt>
                <c:pt idx="4">
                  <c:v>Mobile_Web</c:v>
                </c:pt>
              </c:strCache>
            </c:strRef>
          </c:cat>
          <c:val>
            <c:numRef>
              <c:f>Pivot!$G$37:$G$42</c:f>
              <c:numCache>
                <c:formatCode>General</c:formatCode>
                <c:ptCount val="5"/>
                <c:pt idx="0">
                  <c:v>59</c:v>
                </c:pt>
                <c:pt idx="1">
                  <c:v>78</c:v>
                </c:pt>
                <c:pt idx="2">
                  <c:v>13</c:v>
                </c:pt>
                <c:pt idx="3">
                  <c:v>42</c:v>
                </c:pt>
                <c:pt idx="4">
                  <c:v>4</c:v>
                </c:pt>
              </c:numCache>
            </c:numRef>
          </c:val>
          <c:extLst>
            <c:ext xmlns:c16="http://schemas.microsoft.com/office/drawing/2014/chart" uri="{C3380CC4-5D6E-409C-BE32-E72D297353CC}">
              <c16:uniqueId val="{00000011-1FAE-4999-9B52-79FDFA92839C}"/>
            </c:ext>
          </c:extLst>
        </c:ser>
        <c:ser>
          <c:idx val="5"/>
          <c:order val="5"/>
          <c:tx>
            <c:strRef>
              <c:f>Pivot!$H$35:$H$36</c:f>
              <c:strCache>
                <c:ptCount val="1"/>
                <c:pt idx="0">
                  <c:v>SHIPPED</c:v>
                </c:pt>
              </c:strCache>
            </c:strRef>
          </c:tx>
          <c:spPr>
            <a:solidFill>
              <a:srgbClr val="00B0F0"/>
            </a:solidFill>
            <a:ln>
              <a:noFill/>
            </a:ln>
            <a:effectLst/>
          </c:spPr>
          <c:invertIfNegative val="0"/>
          <c:cat>
            <c:strRef>
              <c:f>Pivot!$B$37:$B$42</c:f>
              <c:strCache>
                <c:ptCount val="5"/>
                <c:pt idx="0">
                  <c:v>Bot_Server</c:v>
                </c:pt>
                <c:pt idx="1">
                  <c:v>Desktop</c:v>
                </c:pt>
                <c:pt idx="2">
                  <c:v>Mobile_App</c:v>
                </c:pt>
                <c:pt idx="3">
                  <c:v>Mobile_Emulator</c:v>
                </c:pt>
                <c:pt idx="4">
                  <c:v>Mobile_Web</c:v>
                </c:pt>
              </c:strCache>
            </c:strRef>
          </c:cat>
          <c:val>
            <c:numRef>
              <c:f>Pivot!$H$37:$H$42</c:f>
              <c:numCache>
                <c:formatCode>General</c:formatCode>
                <c:ptCount val="5"/>
                <c:pt idx="1">
                  <c:v>29</c:v>
                </c:pt>
                <c:pt idx="2">
                  <c:v>46</c:v>
                </c:pt>
                <c:pt idx="4">
                  <c:v>16</c:v>
                </c:pt>
              </c:numCache>
            </c:numRef>
          </c:val>
          <c:extLst>
            <c:ext xmlns:c16="http://schemas.microsoft.com/office/drawing/2014/chart" uri="{C3380CC4-5D6E-409C-BE32-E72D297353CC}">
              <c16:uniqueId val="{00000012-1FAE-4999-9B52-79FDFA92839C}"/>
            </c:ext>
          </c:extLst>
        </c:ser>
        <c:dLbls>
          <c:showLegendKey val="0"/>
          <c:showVal val="0"/>
          <c:showCatName val="0"/>
          <c:showSerName val="0"/>
          <c:showPercent val="0"/>
          <c:showBubbleSize val="0"/>
        </c:dLbls>
        <c:gapWidth val="150"/>
        <c:overlap val="100"/>
        <c:axId val="1605662527"/>
        <c:axId val="7998064"/>
      </c:barChart>
      <c:catAx>
        <c:axId val="1605662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8064"/>
        <c:crosses val="autoZero"/>
        <c:auto val="1"/>
        <c:lblAlgn val="ctr"/>
        <c:lblOffset val="100"/>
        <c:noMultiLvlLbl val="0"/>
      </c:catAx>
      <c:valAx>
        <c:axId val="799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662527"/>
        <c:crosses val="autoZero"/>
        <c:crossBetween val="between"/>
      </c:valAx>
      <c:spPr>
        <a:noFill/>
        <a:ln>
          <a:noFill/>
        </a:ln>
        <a:effectLst/>
      </c:spPr>
    </c:plotArea>
    <c:legend>
      <c:legendPos val="r"/>
      <c:layout>
        <c:manualLayout>
          <c:xMode val="edge"/>
          <c:yMode val="edge"/>
          <c:x val="0.78787019295767424"/>
          <c:y val="0.11993463557439937"/>
          <c:w val="0.17914959206337716"/>
          <c:h val="0.32773228346456695"/>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[Fraud_Risk_Analytics_Dataset.xlsx]Pivot!PivotTable4</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Regional CHART</a:t>
            </a:r>
            <a:endParaRPr lang="en-US"/>
          </a:p>
        </c:rich>
      </c:tx>
      <c:layout>
        <c:manualLayout>
          <c:xMode val="edge"/>
          <c:yMode val="edge"/>
          <c:x val="0.34061996394097149"/>
          <c:y val="1.923076923076923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Pivot!$C$20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DCF-404D-81D4-52DF8121D71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DCF-404D-81D4-52DF8121D71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DCF-404D-81D4-52DF8121D71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DCF-404D-81D4-52DF8121D71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DCF-404D-81D4-52DF8121D71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DCF-404D-81D4-52DF8121D71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DCF-404D-81D4-52DF8121D7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Pivot!$B$21:$B$28</c:f>
              <c:strCache>
                <c:ptCount val="7"/>
                <c:pt idx="0">
                  <c:v>Canada</c:v>
                </c:pt>
                <c:pt idx="1">
                  <c:v>France</c:v>
                </c:pt>
                <c:pt idx="2">
                  <c:v>Germany</c:v>
                </c:pt>
                <c:pt idx="3">
                  <c:v>High-Risk Country Proxy</c:v>
                </c:pt>
                <c:pt idx="4">
                  <c:v>United Kingdom</c:v>
                </c:pt>
                <c:pt idx="5">
                  <c:v>United States</c:v>
                </c:pt>
                <c:pt idx="6">
                  <c:v>Unknown Blacklisted Zone</c:v>
                </c:pt>
              </c:strCache>
            </c:strRef>
          </c:cat>
          <c:val>
            <c:numRef>
              <c:f>Pivot!$C$21:$C$28</c:f>
              <c:numCache>
                <c:formatCode>General</c:formatCode>
                <c:ptCount val="7"/>
                <c:pt idx="0">
                  <c:v>204</c:v>
                </c:pt>
                <c:pt idx="1">
                  <c:v>230</c:v>
                </c:pt>
                <c:pt idx="2">
                  <c:v>203</c:v>
                </c:pt>
                <c:pt idx="3">
                  <c:v>210</c:v>
                </c:pt>
                <c:pt idx="4">
                  <c:v>192</c:v>
                </c:pt>
                <c:pt idx="5">
                  <c:v>238</c:v>
                </c:pt>
                <c:pt idx="6">
                  <c:v>223</c:v>
                </c:pt>
              </c:numCache>
            </c:numRef>
          </c:val>
          <c:extLst>
            <c:ext xmlns:c16="http://schemas.microsoft.com/office/drawing/2014/chart" uri="{C3380CC4-5D6E-409C-BE32-E72D297353CC}">
              <c16:uniqueId val="{0000000E-7DCF-404D-81D4-52DF8121D71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698699264801844"/>
          <c:y val="7.6865536038764379E-2"/>
          <c:w val="0.27600257150176671"/>
          <c:h val="0.85296739349888973"/>
        </c:manualLayout>
      </c:layout>
      <c:overlay val="0"/>
      <c:spPr>
        <a:noFill/>
        <a:ln>
          <a:noFill/>
        </a:ln>
        <a:effectLst/>
      </c:spPr>
      <c:txPr>
        <a:bodyPr rot="0" spcFirstLastPara="1" vertOverflow="ellipsis" vert="horz" wrap="square" anchor="ctr" anchorCtr="1"/>
        <a:lstStyle/>
        <a:p>
          <a:pPr>
            <a:defRPr sz="95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[Fraud_Risk_Analytics_Dataset.xlsx]Pivot!PivotTable9</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t>Month-on-Month Fraud Escalation Trend</a:t>
            </a:r>
            <a:endParaRPr lang="en-US" sz="1600"/>
          </a:p>
        </c:rich>
      </c:tx>
      <c:layout>
        <c:manualLayout>
          <c:xMode val="edge"/>
          <c:yMode val="edge"/>
          <c:x val="0.16670822397200349"/>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Pivot!$J$50</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Pivot!$I$51:$I$63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Pivot!$J$51:$J$63</c:f>
              <c:numCache>
                <c:formatCode>General</c:formatCode>
                <c:ptCount val="12"/>
                <c:pt idx="0">
                  <c:v>138</c:v>
                </c:pt>
                <c:pt idx="1">
                  <c:v>119</c:v>
                </c:pt>
                <c:pt idx="2">
                  <c:v>139</c:v>
                </c:pt>
                <c:pt idx="3">
                  <c:v>120</c:v>
                </c:pt>
                <c:pt idx="4">
                  <c:v>120</c:v>
                </c:pt>
                <c:pt idx="5">
                  <c:v>120</c:v>
                </c:pt>
                <c:pt idx="6">
                  <c:v>144</c:v>
                </c:pt>
                <c:pt idx="7">
                  <c:v>119</c:v>
                </c:pt>
                <c:pt idx="8">
                  <c:v>100</c:v>
                </c:pt>
                <c:pt idx="9">
                  <c:v>147</c:v>
                </c:pt>
                <c:pt idx="10">
                  <c:v>111</c:v>
                </c:pt>
                <c:pt idx="11">
                  <c:v>123</c:v>
                </c:pt>
              </c:numCache>
            </c:numRef>
          </c:val>
          <c:smooth val="0"/>
          <c:extLst>
            <c:ext xmlns:c16="http://schemas.microsoft.com/office/drawing/2014/chart" uri="{C3380CC4-5D6E-409C-BE32-E72D297353CC}">
              <c16:uniqueId val="{00000000-79AF-4AB5-BAF0-E819F02F49E2}"/>
            </c:ext>
          </c:extLst>
        </c:ser>
        <c:dLbls>
          <c:dLblPos val="ctr"/>
          <c:showLegendKey val="0"/>
          <c:showVal val="1"/>
          <c:showCatName val="0"/>
          <c:showSerName val="0"/>
          <c:showPercent val="0"/>
          <c:showBubbleSize val="0"/>
        </c:dLbls>
        <c:marker val="1"/>
        <c:smooth val="0"/>
        <c:axId val="134777264"/>
        <c:axId val="30369584"/>
      </c:lineChart>
      <c:catAx>
        <c:axId val="134777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369584"/>
        <c:crosses val="autoZero"/>
        <c:auto val="1"/>
        <c:lblAlgn val="ctr"/>
        <c:lblOffset val="100"/>
        <c:noMultiLvlLbl val="0"/>
      </c:catAx>
      <c:valAx>
        <c:axId val="303695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47772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8F9FA"/>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[Fraud_Risk_Analytics_Dataset.xlsx]Pivot!PivotTable3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Distribution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1.819505094614264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2-EF6A-47FB-9321-DEA58BA940B0}"/>
              </c:ext>
            </c:extLst>
          </c:dPt>
          <c:dLbls>
            <c:dLbl>
              <c:idx val="4"/>
              <c:layout>
                <c:manualLayout>
                  <c:x val="0"/>
                  <c:y val="1.81950509461426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A-47FB-9321-DEA58BA940B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Pivot!$B$6:$B$11</c:f>
              <c:strCache>
                <c:ptCount val="5"/>
                <c:pt idx="0">
                  <c:v>Apparel</c:v>
                </c:pt>
                <c:pt idx="1">
                  <c:v>Digital Services</c:v>
                </c:pt>
                <c:pt idx="2">
                  <c:v>Electronics</c:v>
                </c:pt>
                <c:pt idx="3">
                  <c:v>Home Goods</c:v>
                </c:pt>
                <c:pt idx="4">
                  <c:v>Luxury Goods</c:v>
                </c:pt>
              </c:strCache>
            </c:strRef>
          </c:cat>
          <c:val>
            <c:numRef>
              <c:f>Pivot!$C$6:$C$11</c:f>
              <c:numCache>
                <c:formatCode>"₹"\ #,##0.00</c:formatCode>
                <c:ptCount val="5"/>
                <c:pt idx="0">
                  <c:v>30888.910000000018</c:v>
                </c:pt>
                <c:pt idx="1">
                  <c:v>29011.849999999995</c:v>
                </c:pt>
                <c:pt idx="2">
                  <c:v>85098.229999999923</c:v>
                </c:pt>
                <c:pt idx="3">
                  <c:v>52396.009999999995</c:v>
                </c:pt>
                <c:pt idx="4">
                  <c:v>1140720.2400000005</c:v>
                </c:pt>
              </c:numCache>
            </c:numRef>
          </c:val>
          <c:extLst>
            <c:ext xmlns:c16="http://schemas.microsoft.com/office/drawing/2014/chart" uri="{C3380CC4-5D6E-409C-BE32-E72D297353CC}">
              <c16:uniqueId val="{00000000-EF6A-47FB-9321-DEA58BA940B0}"/>
            </c:ext>
          </c:extLst>
        </c:ser>
        <c:dLbls>
          <c:showLegendKey val="0"/>
          <c:showVal val="0"/>
          <c:showCatName val="0"/>
          <c:showSerName val="0"/>
          <c:showPercent val="0"/>
          <c:showBubbleSize val="0"/>
        </c:dLbls>
        <c:gapWidth val="218"/>
        <c:overlap val="-3"/>
        <c:axId val="1605707535"/>
        <c:axId val="8011984"/>
      </c:barChart>
      <c:catAx>
        <c:axId val="16057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Category</a:t>
                </a:r>
              </a:p>
            </c:rich>
          </c:tx>
          <c:layout>
            <c:manualLayout>
              <c:xMode val="edge"/>
              <c:yMode val="edge"/>
              <c:x val="0.46048212623581797"/>
              <c:y val="0.911498705682384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1984"/>
        <c:crosses val="autoZero"/>
        <c:auto val="1"/>
        <c:lblAlgn val="ctr"/>
        <c:lblOffset val="100"/>
        <c:noMultiLvlLbl val="0"/>
      </c:catAx>
      <c:valAx>
        <c:axId val="8011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r>
                  <a:rPr lang="en-IN" b="1" baseline="0"/>
                  <a:t> Revenue</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0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7620</xdr:colOff>
      <xdr:row>5</xdr:row>
      <xdr:rowOff>337456</xdr:rowOff>
    </xdr:to>
    <mc:AlternateContent xmlns:mc="http://schemas.openxmlformats.org/markup-compatibility/2006" xmlns:a14="http://schemas.microsoft.com/office/drawing/2010/main">
      <mc:Choice Requires="a14">
        <xdr:graphicFrame macro="">
          <xdr:nvGraphicFramePr>
            <xdr:cNvPr id="2" name="Clean_Status">
              <a:extLst>
                <a:ext uri="{FF2B5EF4-FFF2-40B4-BE49-F238E27FC236}">
                  <a16:creationId xmlns:a16="http://schemas.microsoft.com/office/drawing/2014/main" id="{8AE4B133-9373-4DCB-980F-C893B9055114}"/>
                </a:ext>
              </a:extLst>
            </xdr:cNvPr>
            <xdr:cNvGraphicFramePr/>
          </xdr:nvGraphicFramePr>
          <xdr:xfrm>
            <a:off x="0" y="0"/>
            <a:ext cx="0" cy="0"/>
          </xdr:xfrm>
          <a:graphic>
            <a:graphicData uri="http://schemas.microsoft.com/office/drawing/2010/slicer">
              <sle:slicer xmlns:sle="http://schemas.microsoft.com/office/drawing/2010/slicer" name="Clean_Status"/>
            </a:graphicData>
          </a:graphic>
        </xdr:graphicFrame>
      </mc:Choice>
      <mc:Fallback xmlns="">
        <xdr:sp macro="" textlink="">
          <xdr:nvSpPr>
            <xdr:cNvPr id="0" name=""/>
            <xdr:cNvSpPr>
              <a:spLocks noTextEdit="1"/>
            </xdr:cNvSpPr>
          </xdr:nvSpPr>
          <xdr:spPr>
            <a:xfrm>
              <a:off x="0" y="0"/>
              <a:ext cx="1847306" cy="2051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174172</xdr:rowOff>
    </xdr:from>
    <xdr:to>
      <xdr:col>1</xdr:col>
      <xdr:colOff>0</xdr:colOff>
      <xdr:row>15</xdr:row>
      <xdr:rowOff>0</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645D00ED-6A56-4347-950A-8D7ED5A3515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2264228"/>
              <a:ext cx="1839686" cy="1761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729343</xdr:colOff>
      <xdr:row>8</xdr:row>
      <xdr:rowOff>0</xdr:rowOff>
    </xdr:from>
    <xdr:to>
      <xdr:col>7</xdr:col>
      <xdr:colOff>38100</xdr:colOff>
      <xdr:row>24</xdr:row>
      <xdr:rowOff>0</xdr:rowOff>
    </xdr:to>
    <xdr:graphicFrame macro="">
      <xdr:nvGraphicFramePr>
        <xdr:cNvPr id="4" name="Chart 3">
          <a:extLst>
            <a:ext uri="{FF2B5EF4-FFF2-40B4-BE49-F238E27FC236}">
              <a16:creationId xmlns:a16="http://schemas.microsoft.com/office/drawing/2014/main" id="{3AC2BFDB-24AC-422F-A721-6E84AAD17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931818</xdr:colOff>
      <xdr:row>8</xdr:row>
      <xdr:rowOff>0</xdr:rowOff>
    </xdr:from>
    <xdr:to>
      <xdr:col>13</xdr:col>
      <xdr:colOff>38100</xdr:colOff>
      <xdr:row>24</xdr:row>
      <xdr:rowOff>0</xdr:rowOff>
    </xdr:to>
    <xdr:graphicFrame macro="">
      <xdr:nvGraphicFramePr>
        <xdr:cNvPr id="5" name="Chart 4">
          <a:extLst>
            <a:ext uri="{FF2B5EF4-FFF2-40B4-BE49-F238E27FC236}">
              <a16:creationId xmlns:a16="http://schemas.microsoft.com/office/drawing/2014/main" id="{E563E5B0-32AB-44D3-8665-98C5E0133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738413</xdr:colOff>
      <xdr:row>24</xdr:row>
      <xdr:rowOff>172357</xdr:rowOff>
    </xdr:from>
    <xdr:to>
      <xdr:col>7</xdr:col>
      <xdr:colOff>0</xdr:colOff>
      <xdr:row>41</xdr:row>
      <xdr:rowOff>30843</xdr:rowOff>
    </xdr:to>
    <xdr:graphicFrame macro="">
      <xdr:nvGraphicFramePr>
        <xdr:cNvPr id="6" name="Chart 5">
          <a:extLst>
            <a:ext uri="{FF2B5EF4-FFF2-40B4-BE49-F238E27FC236}">
              <a16:creationId xmlns:a16="http://schemas.microsoft.com/office/drawing/2014/main" id="{5A763235-D694-419B-90C4-A03D3530F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929640</xdr:colOff>
      <xdr:row>25</xdr:row>
      <xdr:rowOff>5080</xdr:rowOff>
    </xdr:from>
    <xdr:to>
      <xdr:col>9</xdr:col>
      <xdr:colOff>0</xdr:colOff>
      <xdr:row>26</xdr:row>
      <xdr:rowOff>0</xdr:rowOff>
    </xdr:to>
    <xdr:sp macro="" textlink="">
      <xdr:nvSpPr>
        <xdr:cNvPr id="7" name="Rectangle 6">
          <a:extLst>
            <a:ext uri="{FF2B5EF4-FFF2-40B4-BE49-F238E27FC236}">
              <a16:creationId xmlns:a16="http://schemas.microsoft.com/office/drawing/2014/main" id="{94F9E03F-580D-314D-643E-11B795D80A50}"/>
            </a:ext>
          </a:extLst>
        </xdr:cNvPr>
        <xdr:cNvSpPr/>
      </xdr:nvSpPr>
      <xdr:spPr>
        <a:xfrm>
          <a:off x="9692640" y="6901180"/>
          <a:ext cx="1394460" cy="363220"/>
        </a:xfrm>
        <a:prstGeom prst="rect">
          <a:avLst/>
        </a:prstGeom>
        <a:solidFill>
          <a:srgbClr val="EDF0F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0070C0"/>
              </a:solidFill>
            </a:rPr>
            <a:t>ORDER ID</a:t>
          </a:r>
        </a:p>
      </xdr:txBody>
    </xdr:sp>
    <xdr:clientData/>
  </xdr:twoCellAnchor>
  <xdr:twoCellAnchor>
    <xdr:from>
      <xdr:col>9</xdr:col>
      <xdr:colOff>0</xdr:colOff>
      <xdr:row>25</xdr:row>
      <xdr:rowOff>5080</xdr:rowOff>
    </xdr:from>
    <xdr:to>
      <xdr:col>10</xdr:col>
      <xdr:colOff>0</xdr:colOff>
      <xdr:row>26</xdr:row>
      <xdr:rowOff>0</xdr:rowOff>
    </xdr:to>
    <xdr:sp macro="" textlink="">
      <xdr:nvSpPr>
        <xdr:cNvPr id="9" name="Rectangle 8">
          <a:extLst>
            <a:ext uri="{FF2B5EF4-FFF2-40B4-BE49-F238E27FC236}">
              <a16:creationId xmlns:a16="http://schemas.microsoft.com/office/drawing/2014/main" id="{EA237246-93FD-4242-BD0C-5FA83100EB25}"/>
            </a:ext>
          </a:extLst>
        </xdr:cNvPr>
        <xdr:cNvSpPr/>
      </xdr:nvSpPr>
      <xdr:spPr>
        <a:xfrm>
          <a:off x="10911840" y="6238240"/>
          <a:ext cx="1226820" cy="360680"/>
        </a:xfrm>
        <a:prstGeom prst="rect">
          <a:avLst/>
        </a:prstGeom>
        <a:solidFill>
          <a:srgbClr val="EDF0F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0070C0"/>
              </a:solidFill>
            </a:rPr>
            <a:t>CUSTOMER ID</a:t>
          </a:r>
        </a:p>
      </xdr:txBody>
    </xdr:sp>
    <xdr:clientData/>
  </xdr:twoCellAnchor>
  <xdr:twoCellAnchor>
    <xdr:from>
      <xdr:col>10</xdr:col>
      <xdr:colOff>0</xdr:colOff>
      <xdr:row>25</xdr:row>
      <xdr:rowOff>5080</xdr:rowOff>
    </xdr:from>
    <xdr:to>
      <xdr:col>11</xdr:col>
      <xdr:colOff>0</xdr:colOff>
      <xdr:row>26</xdr:row>
      <xdr:rowOff>0</xdr:rowOff>
    </xdr:to>
    <xdr:sp macro="" textlink="">
      <xdr:nvSpPr>
        <xdr:cNvPr id="10" name="Rectangle 9">
          <a:extLst>
            <a:ext uri="{FF2B5EF4-FFF2-40B4-BE49-F238E27FC236}">
              <a16:creationId xmlns:a16="http://schemas.microsoft.com/office/drawing/2014/main" id="{D4151A1D-A774-4273-926E-747C67F86428}"/>
            </a:ext>
          </a:extLst>
        </xdr:cNvPr>
        <xdr:cNvSpPr/>
      </xdr:nvSpPr>
      <xdr:spPr>
        <a:xfrm>
          <a:off x="12138660" y="6238240"/>
          <a:ext cx="1211580" cy="360680"/>
        </a:xfrm>
        <a:prstGeom prst="rect">
          <a:avLst/>
        </a:prstGeom>
        <a:solidFill>
          <a:srgbClr val="EDF0F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0070C0"/>
              </a:solidFill>
            </a:rPr>
            <a:t>PRODUCT CATEGORY</a:t>
          </a:r>
        </a:p>
      </xdr:txBody>
    </xdr:sp>
    <xdr:clientData/>
  </xdr:twoCellAnchor>
  <xdr:twoCellAnchor>
    <xdr:from>
      <xdr:col>11</xdr:col>
      <xdr:colOff>0</xdr:colOff>
      <xdr:row>25</xdr:row>
      <xdr:rowOff>5080</xdr:rowOff>
    </xdr:from>
    <xdr:to>
      <xdr:col>12</xdr:col>
      <xdr:colOff>15240</xdr:colOff>
      <xdr:row>26</xdr:row>
      <xdr:rowOff>0</xdr:rowOff>
    </xdr:to>
    <xdr:sp macro="" textlink="">
      <xdr:nvSpPr>
        <xdr:cNvPr id="11" name="Rectangle 10">
          <a:extLst>
            <a:ext uri="{FF2B5EF4-FFF2-40B4-BE49-F238E27FC236}">
              <a16:creationId xmlns:a16="http://schemas.microsoft.com/office/drawing/2014/main" id="{C1EABDFD-26CF-4F61-8EE8-010C1D18A4DF}"/>
            </a:ext>
          </a:extLst>
        </xdr:cNvPr>
        <xdr:cNvSpPr/>
      </xdr:nvSpPr>
      <xdr:spPr>
        <a:xfrm>
          <a:off x="13350240" y="6238240"/>
          <a:ext cx="1318260" cy="360680"/>
        </a:xfrm>
        <a:prstGeom prst="rect">
          <a:avLst/>
        </a:prstGeom>
        <a:solidFill>
          <a:srgbClr val="EDF0F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0070C0"/>
              </a:solidFill>
            </a:rPr>
            <a:t>DEVICE SIGNATURE</a:t>
          </a:r>
        </a:p>
      </xdr:txBody>
    </xdr:sp>
    <xdr:clientData/>
  </xdr:twoCellAnchor>
  <xdr:twoCellAnchor>
    <xdr:from>
      <xdr:col>12</xdr:col>
      <xdr:colOff>7620</xdr:colOff>
      <xdr:row>25</xdr:row>
      <xdr:rowOff>5080</xdr:rowOff>
    </xdr:from>
    <xdr:to>
      <xdr:col>13</xdr:col>
      <xdr:colOff>7620</xdr:colOff>
      <xdr:row>26</xdr:row>
      <xdr:rowOff>0</xdr:rowOff>
    </xdr:to>
    <xdr:sp macro="" textlink="">
      <xdr:nvSpPr>
        <xdr:cNvPr id="12" name="Rectangle 11">
          <a:extLst>
            <a:ext uri="{FF2B5EF4-FFF2-40B4-BE49-F238E27FC236}">
              <a16:creationId xmlns:a16="http://schemas.microsoft.com/office/drawing/2014/main" id="{B6C720A0-81E1-4C39-AAE7-660599811536}"/>
            </a:ext>
          </a:extLst>
        </xdr:cNvPr>
        <xdr:cNvSpPr/>
      </xdr:nvSpPr>
      <xdr:spPr>
        <a:xfrm>
          <a:off x="14660880" y="6238240"/>
          <a:ext cx="1242060" cy="360680"/>
        </a:xfrm>
        <a:prstGeom prst="rect">
          <a:avLst/>
        </a:prstGeom>
        <a:solidFill>
          <a:srgbClr val="EDF0F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solidFill>
                <a:srgbClr val="0070C0"/>
              </a:solidFill>
            </a:rPr>
            <a:t>TOP REVENUE AMOUNT</a:t>
          </a:r>
        </a:p>
      </xdr:txBody>
    </xdr:sp>
    <xdr:clientData/>
  </xdr:twoCellAnchor>
  <xdr:twoCellAnchor>
    <xdr:from>
      <xdr:col>1</xdr:col>
      <xdr:colOff>457199</xdr:colOff>
      <xdr:row>7</xdr:row>
      <xdr:rowOff>138545</xdr:rowOff>
    </xdr:from>
    <xdr:to>
      <xdr:col>7</xdr:col>
      <xdr:colOff>290945</xdr:colOff>
      <xdr:row>24</xdr:row>
      <xdr:rowOff>96982</xdr:rowOff>
    </xdr:to>
    <xdr:sp macro="" textlink="">
      <xdr:nvSpPr>
        <xdr:cNvPr id="13" name="Rectangle 12">
          <a:extLst>
            <a:ext uri="{FF2B5EF4-FFF2-40B4-BE49-F238E27FC236}">
              <a16:creationId xmlns:a16="http://schemas.microsoft.com/office/drawing/2014/main" id="{1B1A5788-002D-408F-94C0-63B104A3EB8A}"/>
            </a:ext>
          </a:extLst>
        </xdr:cNvPr>
        <xdr:cNvSpPr/>
      </xdr:nvSpPr>
      <xdr:spPr>
        <a:xfrm>
          <a:off x="2299854" y="1898072"/>
          <a:ext cx="6761018" cy="419792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457199</xdr:colOff>
      <xdr:row>24</xdr:row>
      <xdr:rowOff>96982</xdr:rowOff>
    </xdr:from>
    <xdr:to>
      <xdr:col>7</xdr:col>
      <xdr:colOff>290945</xdr:colOff>
      <xdr:row>43</xdr:row>
      <xdr:rowOff>124692</xdr:rowOff>
    </xdr:to>
    <xdr:sp macro="" textlink="">
      <xdr:nvSpPr>
        <xdr:cNvPr id="14" name="Rectangle 13">
          <a:extLst>
            <a:ext uri="{FF2B5EF4-FFF2-40B4-BE49-F238E27FC236}">
              <a16:creationId xmlns:a16="http://schemas.microsoft.com/office/drawing/2014/main" id="{94107242-C269-4320-A61D-C24DD2D2100F}"/>
            </a:ext>
          </a:extLst>
        </xdr:cNvPr>
        <xdr:cNvSpPr/>
      </xdr:nvSpPr>
      <xdr:spPr>
        <a:xfrm>
          <a:off x="2299854" y="6096000"/>
          <a:ext cx="6761018" cy="419792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637309</xdr:colOff>
      <xdr:row>7</xdr:row>
      <xdr:rowOff>110837</xdr:rowOff>
    </xdr:from>
    <xdr:to>
      <xdr:col>13</xdr:col>
      <xdr:colOff>304799</xdr:colOff>
      <xdr:row>24</xdr:row>
      <xdr:rowOff>124692</xdr:rowOff>
    </xdr:to>
    <xdr:sp macro="" textlink="">
      <xdr:nvSpPr>
        <xdr:cNvPr id="15" name="Rectangle 14">
          <a:extLst>
            <a:ext uri="{FF2B5EF4-FFF2-40B4-BE49-F238E27FC236}">
              <a16:creationId xmlns:a16="http://schemas.microsoft.com/office/drawing/2014/main" id="{9B8E3C0E-2FAB-4ED2-BFBD-FE57C1470F3C}"/>
            </a:ext>
          </a:extLst>
        </xdr:cNvPr>
        <xdr:cNvSpPr/>
      </xdr:nvSpPr>
      <xdr:spPr>
        <a:xfrm>
          <a:off x="9407236" y="1870364"/>
          <a:ext cx="7107381" cy="425334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637309</xdr:colOff>
      <xdr:row>24</xdr:row>
      <xdr:rowOff>124692</xdr:rowOff>
    </xdr:from>
    <xdr:to>
      <xdr:col>13</xdr:col>
      <xdr:colOff>304800</xdr:colOff>
      <xdr:row>43</xdr:row>
      <xdr:rowOff>152402</xdr:rowOff>
    </xdr:to>
    <xdr:sp macro="" textlink="">
      <xdr:nvSpPr>
        <xdr:cNvPr id="16" name="Rectangle 15">
          <a:extLst>
            <a:ext uri="{FF2B5EF4-FFF2-40B4-BE49-F238E27FC236}">
              <a16:creationId xmlns:a16="http://schemas.microsoft.com/office/drawing/2014/main" id="{1DB7AFA4-852A-42C8-9F37-C95CC3E565E6}"/>
            </a:ext>
          </a:extLst>
        </xdr:cNvPr>
        <xdr:cNvSpPr/>
      </xdr:nvSpPr>
      <xdr:spPr>
        <a:xfrm>
          <a:off x="9407236" y="6123710"/>
          <a:ext cx="7107382" cy="419792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1828800</xdr:colOff>
      <xdr:row>0</xdr:row>
      <xdr:rowOff>27710</xdr:rowOff>
    </xdr:from>
    <xdr:to>
      <xdr:col>13</xdr:col>
      <xdr:colOff>13855</xdr:colOff>
      <xdr:row>1</xdr:row>
      <xdr:rowOff>41563</xdr:rowOff>
    </xdr:to>
    <xdr:sp macro="" textlink="">
      <xdr:nvSpPr>
        <xdr:cNvPr id="17" name="Rectangle 16">
          <a:extLst>
            <a:ext uri="{FF2B5EF4-FFF2-40B4-BE49-F238E27FC236}">
              <a16:creationId xmlns:a16="http://schemas.microsoft.com/office/drawing/2014/main" id="{ECD9CE85-A421-4902-A036-E859DC9003D4}"/>
            </a:ext>
          </a:extLst>
        </xdr:cNvPr>
        <xdr:cNvSpPr/>
      </xdr:nvSpPr>
      <xdr:spPr>
        <a:xfrm>
          <a:off x="1828800" y="27710"/>
          <a:ext cx="14394873" cy="63730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1828800</xdr:colOff>
      <xdr:row>1</xdr:row>
      <xdr:rowOff>55416</xdr:rowOff>
    </xdr:from>
    <xdr:to>
      <xdr:col>13</xdr:col>
      <xdr:colOff>13854</xdr:colOff>
      <xdr:row>3</xdr:row>
      <xdr:rowOff>96981</xdr:rowOff>
    </xdr:to>
    <xdr:sp macro="" textlink="">
      <xdr:nvSpPr>
        <xdr:cNvPr id="18" name="Rectangle 17">
          <a:extLst>
            <a:ext uri="{FF2B5EF4-FFF2-40B4-BE49-F238E27FC236}">
              <a16:creationId xmlns:a16="http://schemas.microsoft.com/office/drawing/2014/main" id="{6BA01155-1F33-46A1-A361-8E4D67E67917}"/>
            </a:ext>
          </a:extLst>
        </xdr:cNvPr>
        <xdr:cNvSpPr/>
      </xdr:nvSpPr>
      <xdr:spPr>
        <a:xfrm>
          <a:off x="1828800" y="678871"/>
          <a:ext cx="14394872" cy="65116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13855</xdr:colOff>
      <xdr:row>3</xdr:row>
      <xdr:rowOff>249380</xdr:rowOff>
    </xdr:from>
    <xdr:to>
      <xdr:col>3</xdr:col>
      <xdr:colOff>0</xdr:colOff>
      <xdr:row>5</xdr:row>
      <xdr:rowOff>335644</xdr:rowOff>
    </xdr:to>
    <xdr:sp macro="" textlink="">
      <xdr:nvSpPr>
        <xdr:cNvPr id="19" name="Rectangle 18">
          <a:extLst>
            <a:ext uri="{FF2B5EF4-FFF2-40B4-BE49-F238E27FC236}">
              <a16:creationId xmlns:a16="http://schemas.microsoft.com/office/drawing/2014/main" id="{0AEB19AB-0C34-42FB-A518-01A683FA2C17}"/>
            </a:ext>
          </a:extLst>
        </xdr:cNvPr>
        <xdr:cNvSpPr/>
      </xdr:nvSpPr>
      <xdr:spPr>
        <a:xfrm>
          <a:off x="1846284" y="1483094"/>
          <a:ext cx="2553359" cy="6940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651163</xdr:colOff>
      <xdr:row>3</xdr:row>
      <xdr:rowOff>235526</xdr:rowOff>
    </xdr:from>
    <xdr:to>
      <xdr:col>9</xdr:col>
      <xdr:colOff>13854</xdr:colOff>
      <xdr:row>6</xdr:row>
      <xdr:rowOff>18143</xdr:rowOff>
    </xdr:to>
    <xdr:sp macro="" textlink="">
      <xdr:nvSpPr>
        <xdr:cNvPr id="20" name="Rectangle 19">
          <a:extLst>
            <a:ext uri="{FF2B5EF4-FFF2-40B4-BE49-F238E27FC236}">
              <a16:creationId xmlns:a16="http://schemas.microsoft.com/office/drawing/2014/main" id="{08F26012-8345-4156-B495-BC22B9930994}"/>
            </a:ext>
          </a:extLst>
        </xdr:cNvPr>
        <xdr:cNvSpPr/>
      </xdr:nvSpPr>
      <xdr:spPr>
        <a:xfrm>
          <a:off x="8742877" y="1469240"/>
          <a:ext cx="2356263" cy="74418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480786</xdr:colOff>
      <xdr:row>3</xdr:row>
      <xdr:rowOff>249381</xdr:rowOff>
    </xdr:from>
    <xdr:to>
      <xdr:col>5</xdr:col>
      <xdr:colOff>1801091</xdr:colOff>
      <xdr:row>6</xdr:row>
      <xdr:rowOff>1</xdr:rowOff>
    </xdr:to>
    <xdr:sp macro="" textlink="">
      <xdr:nvSpPr>
        <xdr:cNvPr id="21" name="Rectangle 20">
          <a:extLst>
            <a:ext uri="{FF2B5EF4-FFF2-40B4-BE49-F238E27FC236}">
              <a16:creationId xmlns:a16="http://schemas.microsoft.com/office/drawing/2014/main" id="{29B39483-E40B-40CF-8B0E-B24936D38667}"/>
            </a:ext>
          </a:extLst>
        </xdr:cNvPr>
        <xdr:cNvSpPr/>
      </xdr:nvSpPr>
      <xdr:spPr>
        <a:xfrm>
          <a:off x="4880429" y="1483095"/>
          <a:ext cx="3189019" cy="71219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1093848</xdr:colOff>
      <xdr:row>3</xdr:row>
      <xdr:rowOff>251855</xdr:rowOff>
    </xdr:from>
    <xdr:to>
      <xdr:col>11</xdr:col>
      <xdr:colOff>1542143</xdr:colOff>
      <xdr:row>6</xdr:row>
      <xdr:rowOff>0</xdr:rowOff>
    </xdr:to>
    <xdr:sp macro="" textlink="">
      <xdr:nvSpPr>
        <xdr:cNvPr id="22" name="Rectangle 21">
          <a:extLst>
            <a:ext uri="{FF2B5EF4-FFF2-40B4-BE49-F238E27FC236}">
              <a16:creationId xmlns:a16="http://schemas.microsoft.com/office/drawing/2014/main" id="{B6C0423C-901D-47AB-9423-9793D8739C1D}"/>
            </a:ext>
          </a:extLst>
        </xdr:cNvPr>
        <xdr:cNvSpPr/>
      </xdr:nvSpPr>
      <xdr:spPr>
        <a:xfrm>
          <a:off x="12179134" y="1485569"/>
          <a:ext cx="2779652" cy="70971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17</xdr:row>
      <xdr:rowOff>238494</xdr:rowOff>
    </xdr:from>
    <xdr:to>
      <xdr:col>1</xdr:col>
      <xdr:colOff>1</xdr:colOff>
      <xdr:row>20</xdr:row>
      <xdr:rowOff>25400</xdr:rowOff>
    </xdr:to>
    <xdr:sp macro="" textlink="">
      <xdr:nvSpPr>
        <xdr:cNvPr id="23" name="Rectangle 22">
          <a:extLst>
            <a:ext uri="{FF2B5EF4-FFF2-40B4-BE49-F238E27FC236}">
              <a16:creationId xmlns:a16="http://schemas.microsoft.com/office/drawing/2014/main" id="{AFF18141-E078-491B-A366-6CFE69E5FAED}"/>
            </a:ext>
          </a:extLst>
        </xdr:cNvPr>
        <xdr:cNvSpPr/>
      </xdr:nvSpPr>
      <xdr:spPr>
        <a:xfrm>
          <a:off x="1" y="5166094"/>
          <a:ext cx="1841500" cy="54890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20</xdr:row>
      <xdr:rowOff>238494</xdr:rowOff>
    </xdr:from>
    <xdr:to>
      <xdr:col>1</xdr:col>
      <xdr:colOff>1</xdr:colOff>
      <xdr:row>23</xdr:row>
      <xdr:rowOff>25400</xdr:rowOff>
    </xdr:to>
    <xdr:sp macro="" textlink="">
      <xdr:nvSpPr>
        <xdr:cNvPr id="24" name="Rectangle 23">
          <a:extLst>
            <a:ext uri="{FF2B5EF4-FFF2-40B4-BE49-F238E27FC236}">
              <a16:creationId xmlns:a16="http://schemas.microsoft.com/office/drawing/2014/main" id="{3A1DB18A-CE70-45A2-A360-06F868ECE4E0}"/>
            </a:ext>
          </a:extLst>
        </xdr:cNvPr>
        <xdr:cNvSpPr/>
      </xdr:nvSpPr>
      <xdr:spPr>
        <a:xfrm>
          <a:off x="1" y="5928094"/>
          <a:ext cx="1841500" cy="54890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25</xdr:row>
      <xdr:rowOff>0</xdr:rowOff>
    </xdr:from>
    <xdr:to>
      <xdr:col>1</xdr:col>
      <xdr:colOff>12701</xdr:colOff>
      <xdr:row>31</xdr:row>
      <xdr:rowOff>215900</xdr:rowOff>
    </xdr:to>
    <xdr:sp macro="" textlink="">
      <xdr:nvSpPr>
        <xdr:cNvPr id="26" name="Rectangle 25">
          <a:extLst>
            <a:ext uri="{FF2B5EF4-FFF2-40B4-BE49-F238E27FC236}">
              <a16:creationId xmlns:a16="http://schemas.microsoft.com/office/drawing/2014/main" id="{2106DD9A-84FC-437D-ADE1-7BD8B33C3969}"/>
            </a:ext>
          </a:extLst>
        </xdr:cNvPr>
        <xdr:cNvSpPr/>
      </xdr:nvSpPr>
      <xdr:spPr>
        <a:xfrm>
          <a:off x="1" y="6896100"/>
          <a:ext cx="1854200" cy="1778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2</xdr:row>
      <xdr:rowOff>76200</xdr:rowOff>
    </xdr:from>
    <xdr:to>
      <xdr:col>8</xdr:col>
      <xdr:colOff>990600</xdr:colOff>
      <xdr:row>16</xdr:row>
      <xdr:rowOff>91440</xdr:rowOff>
    </xdr:to>
    <xdr:graphicFrame macro="">
      <xdr:nvGraphicFramePr>
        <xdr:cNvPr id="2" name="Chart 1">
          <a:extLst>
            <a:ext uri="{FF2B5EF4-FFF2-40B4-BE49-F238E27FC236}">
              <a16:creationId xmlns:a16="http://schemas.microsoft.com/office/drawing/2014/main" id="{04608007-396E-24ED-2F3C-30DB6F735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thi Nathan" refreshedDate="46264.350128124999" createdVersion="8" refreshedVersion="8" minRefreshableVersion="3" recordCount="1500" xr:uid="{E499DEA0-3CC6-4067-B6A5-E10DB06B4EF5}">
  <cacheSource type="worksheet">
    <worksheetSource name="Table2"/>
  </cacheSource>
  <cacheFields count="15">
    <cacheField name="Order_ID" numFmtId="0">
      <sharedItems count="1500">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haredItems>
    </cacheField>
    <cacheField name="Customer_ID" numFmtId="0">
      <sharedItems count="300">
        <s v="CUST-1129"/>
        <s v="CUST-1041"/>
        <s v="CUST-1240"/>
        <s v="CUST-1009"/>
        <s v="CUST-1276"/>
        <s v="CUST-1026"/>
        <s v="CUST-1179"/>
        <s v="CUST-1114"/>
        <s v="CUST-1035"/>
        <s v="CUST-1020"/>
        <s v="CUST-1015"/>
        <s v="CUST-1126"/>
        <s v="CUST-1102"/>
        <s v="CUST-1010"/>
        <s v="CUST-1078"/>
        <s v="CUST-1122"/>
        <s v="CUST-1064"/>
        <s v="CUST-1242"/>
        <s v="CUST-1058"/>
        <s v="CUST-1288"/>
        <s v="CUST-1111"/>
        <s v="CUST-1238"/>
        <s v="CUST-1131"/>
        <s v="CUST-1188"/>
        <s v="CUST-1085"/>
        <s v="CUST-1083"/>
        <s v="CUST-1159"/>
        <s v="CUST-1055"/>
        <s v="CUST-1296"/>
        <s v="CUST-1013"/>
        <s v="CUST-1294"/>
        <s v="CUST-1192"/>
        <s v="CUST-1203"/>
        <s v="CUST-1101"/>
        <s v="CUST-1038"/>
        <s v="CUST-1124"/>
        <s v="CUST-1052"/>
        <s v="CUST-1154"/>
        <s v="CUST-1061"/>
        <s v="CUST-1289"/>
        <s v="CUST-1021"/>
        <s v="CUST-1177"/>
        <s v="CUST-1272"/>
        <s v="CUST-1219"/>
        <s v="CUST-1189"/>
        <s v="CUST-1259"/>
        <s v="CUST-1174"/>
        <s v="CUST-1006"/>
        <s v="CUST-1215"/>
        <s v="CUST-1250"/>
        <s v="CUST-1054"/>
        <s v="CUST-1221"/>
        <s v="CUST-1185"/>
        <s v="CUST-1235"/>
        <s v="CUST-1222"/>
        <s v="CUST-1090"/>
        <s v="CUST-1267"/>
        <s v="CUST-1138"/>
        <s v="CUST-1275"/>
        <s v="CUST-1247"/>
        <s v="CUST-1223"/>
        <s v="CUST-1137"/>
        <s v="CUST-1165"/>
        <s v="CUST-1125"/>
        <s v="CUST-1044"/>
        <s v="CUST-1142"/>
        <s v="CUST-1230"/>
        <s v="CUST-1237"/>
        <s v="CUST-1291"/>
        <s v="CUST-1194"/>
        <s v="CUST-1172"/>
        <s v="CUST-1014"/>
        <s v="CUST-1253"/>
        <s v="CUST-1166"/>
        <s v="CUST-1093"/>
        <s v="CUST-1249"/>
        <s v="CUST-1108"/>
        <s v="CUST-1181"/>
        <s v="CUST-1132"/>
        <s v="CUST-1143"/>
        <s v="CUST-1141"/>
        <s v="CUST-1284"/>
        <s v="CUST-1005"/>
        <s v="CUST-1264"/>
        <s v="CUST-1097"/>
        <s v="CUST-1043"/>
        <s v="CUST-1123"/>
        <s v="CUST-1208"/>
        <s v="CUST-1243"/>
        <s v="CUST-1251"/>
        <s v="CUST-1229"/>
        <s v="CUST-1008"/>
        <s v="CUST-1047"/>
        <s v="CUST-1150"/>
        <s v="CUST-1113"/>
        <s v="CUST-1207"/>
        <s v="CUST-1156"/>
        <s v="CUST-1297"/>
        <s v="CUST-1283"/>
        <s v="CUST-1271"/>
        <s v="CUST-1176"/>
        <s v="CUST-1217"/>
        <s v="CUST-1281"/>
        <s v="CUST-1169"/>
        <s v="CUST-1180"/>
        <s v="CUST-1232"/>
        <s v="CUST-1128"/>
        <s v="CUST-1118"/>
        <s v="CUST-1098"/>
        <s v="CUST-1161"/>
        <s v="CUST-1274"/>
        <s v="CUST-1094"/>
        <s v="CUST-1110"/>
        <s v="CUST-1268"/>
        <s v="CUST-1144"/>
        <s v="CUST-1051"/>
        <s v="CUST-1099"/>
        <s v="CUST-1151"/>
        <s v="CUST-1116"/>
        <s v="CUST-1184"/>
        <s v="CUST-1091"/>
        <s v="CUST-1007"/>
        <s v="CUST-1273"/>
        <s v="CUST-1140"/>
        <s v="CUST-1023"/>
        <s v="CUST-1027"/>
        <s v="CUST-1149"/>
        <s v="CUST-1293"/>
        <s v="CUST-1145"/>
        <s v="CUST-1245"/>
        <s v="CUST-1225"/>
        <s v="CUST-1244"/>
        <s v="CUST-1033"/>
        <s v="CUST-1205"/>
        <s v="CUST-1037"/>
        <s v="CUST-1295"/>
        <s v="CUST-1077"/>
        <s v="CUST-1076"/>
        <s v="CUST-1155"/>
        <s v="CUST-1127"/>
        <s v="CUST-1060"/>
        <s v="CUST-1285"/>
        <s v="CUST-1213"/>
        <s v="CUST-1115"/>
        <s v="CUST-1226"/>
        <s v="CUST-1152"/>
        <s v="CUST-1030"/>
        <s v="CUST-1050"/>
        <s v="CUST-1106"/>
        <s v="CUST-1135"/>
        <s v="CUST-1080"/>
        <s v="CUST-1088"/>
        <s v="CUST-1282"/>
        <s v="CUST-1001"/>
        <s v="CUST-1209"/>
        <s v="CUST-1016"/>
        <s v="CUST-1147"/>
        <s v="CUST-1036"/>
        <s v="CUST-1119"/>
        <s v="CUST-1278"/>
        <s v="CUST-1136"/>
        <s v="CUST-1072"/>
        <s v="CUST-1084"/>
        <s v="CUST-1157"/>
        <s v="CUST-1224"/>
        <s v="CUST-1063"/>
        <s v="CUST-1239"/>
        <s v="CUST-1206"/>
        <s v="CUST-1139"/>
        <s v="CUST-1256"/>
        <s v="CUST-1252"/>
        <s v="CUST-1046"/>
        <s v="CUST-1117"/>
        <s v="CUST-1300"/>
        <s v="CUST-1089"/>
        <s v="CUST-1265"/>
        <s v="CUST-1092"/>
        <s v="CUST-1299"/>
        <s v="CUST-1178"/>
        <s v="CUST-1170"/>
        <s v="CUST-1164"/>
        <s v="CUST-1053"/>
        <s v="CUST-1082"/>
        <s v="CUST-1168"/>
        <s v="CUST-1210"/>
        <s v="CUST-1018"/>
        <s v="CUST-1045"/>
        <s v="CUST-1059"/>
        <s v="CUST-1263"/>
        <s v="CUST-1000"/>
        <s v="CUST-1277"/>
        <s v="CUST-1236"/>
        <s v="CUST-1211"/>
        <s v="CUST-1096"/>
        <s v="CUST-1255"/>
        <s v="CUST-1104"/>
        <s v="CUST-1067"/>
        <s v="CUST-1248"/>
        <s v="CUST-1062"/>
        <s v="CUST-1081"/>
        <s v="CUST-1260"/>
        <s v="CUST-1212"/>
        <s v="CUST-1241"/>
        <s v="CUST-1233"/>
        <s v="CUST-1074"/>
        <s v="CUST-1196"/>
        <s v="CUST-1069"/>
        <s v="CUST-1228"/>
        <s v="CUST-1193"/>
        <s v="CUST-1292"/>
        <s v="CUST-1022"/>
        <s v="CUST-1162"/>
        <s v="CUST-1195"/>
        <s v="CUST-1197"/>
        <s v="CUST-1257"/>
        <s v="CUST-1269"/>
        <s v="CUST-1073"/>
        <s v="CUST-1079"/>
        <s v="CUST-1173"/>
        <s v="CUST-1120"/>
        <s v="CUST-1227"/>
        <s v="CUST-1153"/>
        <s v="CUST-1028"/>
        <s v="CUST-1183"/>
        <s v="CUST-1191"/>
        <s v="CUST-1220"/>
        <s v="CUST-1087"/>
        <s v="CUST-1040"/>
        <s v="CUST-1254"/>
        <s v="CUST-1298"/>
        <s v="CUST-1130"/>
        <s v="CUST-1004"/>
        <s v="CUST-1279"/>
        <s v="CUST-1121"/>
        <s v="CUST-1011"/>
        <s v="CUST-1202"/>
        <s v="CUST-1025"/>
        <s v="CUST-1146"/>
        <s v="CUST-1112"/>
        <s v="CUST-1070"/>
        <s v="CUST-1049"/>
        <s v="CUST-1158"/>
        <s v="CUST-1017"/>
        <s v="CUST-1186"/>
        <s v="CUST-1167"/>
        <s v="CUST-1187"/>
        <s v="CUST-1246"/>
        <s v="CUST-1134"/>
        <s v="CUST-1190"/>
        <s v="CUST-1012"/>
        <s v="CUST-1287"/>
        <s v="CUST-1032"/>
        <s v="CUST-1071"/>
        <s v="CUST-1019"/>
        <s v="CUST-1198"/>
        <s v="CUST-1214"/>
        <s v="CUST-1031"/>
        <s v="CUST-1105"/>
        <s v="CUST-1075"/>
        <s v="CUST-1066"/>
        <s v="CUST-1056"/>
        <s v="CUST-1262"/>
        <s v="CUST-1231"/>
        <s v="CUST-1266"/>
        <s v="CUST-1234"/>
        <s v="CUST-1218"/>
        <s v="CUST-1280"/>
        <s v="CUST-1258"/>
        <s v="CUST-1204"/>
        <s v="CUST-1048"/>
        <s v="CUST-1160"/>
        <s v="CUST-1034"/>
        <s v="CUST-1216"/>
        <s v="CUST-1003"/>
        <s v="CUST-1290"/>
        <s v="CUST-1148"/>
        <s v="CUST-1286"/>
        <s v="CUST-1039"/>
        <s v="CUST-1086"/>
        <s v="CUST-1261"/>
        <s v="CUST-1029"/>
        <s v="CUST-1175"/>
        <s v="CUST-1171"/>
        <s v="CUST-1200"/>
        <s v="CUST-1065"/>
        <s v="CUST-1109"/>
        <s v="CUST-1270"/>
        <s v="CUST-1042"/>
        <s v="CUST-1163"/>
        <s v="CUST-1002"/>
        <s v="CUST-1024"/>
        <s v="CUST-1095"/>
        <s v="CUST-1199"/>
        <s v="CUST-1182"/>
        <s v="CUST-1068"/>
        <s v="CUST-1103"/>
        <s v="CUST-1133"/>
        <s v="CUST-1100"/>
        <s v="CUST-1107"/>
        <s v="CUST-1201"/>
      </sharedItems>
    </cacheField>
    <cacheField name="Product_SKU" numFmtId="0">
      <sharedItems/>
    </cacheField>
    <cacheField name="Quantity" numFmtId="0">
      <sharedItems containsSemiMixedTypes="0" containsString="0" containsNumber="1" containsInteger="1" minValue="1" maxValue="5"/>
    </cacheField>
    <cacheField name="Order_Timestamp" numFmtId="22">
      <sharedItems containsSemiMixedTypes="0" containsNonDate="0" containsDate="1" containsString="0" minDate="2025-01-01T07:17:00" maxDate="2025-12-27T17:47:00" count="1499">
        <d v="2025-05-19T19:11:00"/>
        <d v="2025-12-23T09:16:00"/>
        <d v="2025-03-12T03:43:00"/>
        <d v="2025-11-12T20:01:00"/>
        <d v="2025-05-03T08:16:00"/>
        <d v="2025-01-26T22:51:00"/>
        <d v="2025-09-29T07:42:00"/>
        <d v="2025-11-23T07:56:00"/>
        <d v="2025-01-27T03:25:00"/>
        <d v="2025-07-31T11:16:00"/>
        <d v="2025-08-30T03:25:00"/>
        <d v="2025-12-15T04:41:00"/>
        <d v="2025-01-03T18:47:00"/>
        <d v="2025-03-22T13:53:00"/>
        <d v="2025-12-01T16:14:00"/>
        <d v="2025-09-02T22:12:00"/>
        <d v="2025-04-13T09:48:00"/>
        <d v="2025-06-14T09:44:00"/>
        <d v="2025-11-27T02:01:00"/>
        <d v="2025-02-15T22:15:00"/>
        <d v="2025-10-21T07:55:00"/>
        <d v="2025-10-01T01:16:00"/>
        <d v="2025-03-31T14:15:00"/>
        <d v="2025-04-01T01:14:00"/>
        <d v="2025-07-23T16:54:00"/>
        <d v="2025-04-06T09:52:00"/>
        <d v="2025-01-20T00:18:00"/>
        <d v="2025-06-02T19:23:00"/>
        <d v="2025-11-05T03:39:00"/>
        <d v="2025-06-21T09:42:00"/>
        <d v="2025-08-21T21:53:00"/>
        <d v="2025-10-06T17:53:00"/>
        <d v="2025-09-10T04:34:00"/>
        <d v="2025-09-16T15:58:00"/>
        <d v="2025-05-20T06:34:00"/>
        <d v="2025-02-27T11:17:00"/>
        <d v="2025-03-25T15:39:00"/>
        <d v="2025-11-28T08:46:00"/>
        <d v="2025-04-06T00:28:00"/>
        <d v="2025-06-22T10:04:00"/>
        <d v="2025-10-18T23:01:00"/>
        <d v="2025-04-09T05:59:00"/>
        <d v="2025-11-09T21:48:00"/>
        <d v="2025-07-27T14:35:00"/>
        <d v="2025-09-21T11:11:00"/>
        <d v="2025-02-14T13:40:00"/>
        <d v="2025-12-09T03:15:00"/>
        <d v="2025-04-05T04:47:00"/>
        <d v="2025-09-02T11:02:00"/>
        <d v="2025-05-08T00:13:00"/>
        <d v="2025-05-14T13:05:00"/>
        <d v="2025-05-01T15:14:00"/>
        <d v="2025-05-17T11:15:00"/>
        <d v="2025-06-04T19:52:00"/>
        <d v="2025-10-21T00:23:00"/>
        <d v="2025-05-14T22:18:00"/>
        <d v="2025-07-04T23:38:00"/>
        <d v="2025-05-01T02:07:00"/>
        <d v="2025-12-08T04:02:00"/>
        <d v="2025-08-27T10:28:00"/>
        <d v="2025-03-23T13:50:00"/>
        <d v="2025-12-18T17:09:00"/>
        <d v="2025-12-27T10:36:00"/>
        <d v="2025-12-20T04:00:00"/>
        <d v="2025-11-24T10:04:00"/>
        <d v="2025-07-08T20:58:00"/>
        <d v="2025-04-24T07:28:00"/>
        <d v="2025-03-10T16:19:00"/>
        <d v="2025-03-20T15:31:00"/>
        <d v="2025-11-07T12:45:00"/>
        <d v="2025-08-01T23:57:00"/>
        <d v="2025-10-09T16:04:00"/>
        <d v="2025-10-03T22:40:00"/>
        <d v="2025-04-22T08:26:00"/>
        <d v="2025-12-15T20:20:00"/>
        <d v="2025-02-11T17:56:00"/>
        <d v="2025-08-17T18:01:00"/>
        <d v="2025-12-27T12:20:00"/>
        <d v="2025-02-09T19:15:00"/>
        <d v="2025-02-27T02:06:00"/>
        <d v="2025-10-08T17:15:00"/>
        <d v="2025-04-14T19:32:00"/>
        <d v="2025-10-02T05:06:00"/>
        <d v="2025-03-26T11:11:00"/>
        <d v="2025-09-24T15:04:00"/>
        <d v="2025-03-01T23:13:00"/>
        <d v="2025-04-16T19:54:00"/>
        <d v="2025-09-08T03:06:00"/>
        <d v="2025-09-19T15:12:00"/>
        <d v="2025-01-29T15:28:00"/>
        <d v="2025-03-09T17:31:00"/>
        <d v="2025-08-01T15:35:00"/>
        <d v="2025-10-16T01:58:00"/>
        <d v="2025-10-14T15:46:00"/>
        <d v="2025-12-11T10:31:00"/>
        <d v="2025-01-12T13:30:00"/>
        <d v="2025-05-11T00:06:00"/>
        <d v="2025-04-22T19:44:00"/>
        <d v="2025-02-07T01:32:00"/>
        <d v="2025-08-05T11:45:00"/>
        <d v="2025-12-25T02:10:00"/>
        <d v="2025-10-05T02:03:00"/>
        <d v="2025-02-05T16:06:00"/>
        <d v="2025-01-17T09:47:00"/>
        <d v="2025-07-29T06:08:00"/>
        <d v="2025-03-11T21:53:00"/>
        <d v="2025-11-27T14:20:00"/>
        <d v="2025-07-11T13:03:00"/>
        <d v="2025-08-18T12:53:00"/>
        <d v="2025-07-12T02:44:00"/>
        <d v="2025-12-16T22:35:00"/>
        <d v="2025-10-04T04:32:00"/>
        <d v="2025-12-01T11:52:00"/>
        <d v="2025-03-02T06:05:00"/>
        <d v="2025-10-03T13:24:00"/>
        <d v="2025-09-28T04:20:00"/>
        <d v="2025-04-25T00:07:00"/>
        <d v="2025-01-12T10:11:00"/>
        <d v="2025-08-26T22:59:00"/>
        <d v="2025-10-06T14:28:00"/>
        <d v="2025-09-30T12:56:00"/>
        <d v="2025-04-28T08:26:00"/>
        <d v="2025-08-24T11:48:00"/>
        <d v="2025-03-21T09:24:00"/>
        <d v="2025-04-07T03:51:00"/>
        <d v="2025-01-17T22:32:00"/>
        <d v="2025-08-03T20:59:00"/>
        <d v="2025-01-09T08:12:00"/>
        <d v="2025-04-16T02:17:00"/>
        <d v="2025-02-21T20:16:00"/>
        <d v="2025-01-18T15:14:00"/>
        <d v="2025-11-03T22:56:00"/>
        <d v="2025-12-27T01:39:00"/>
        <d v="2025-05-06T01:30:00"/>
        <d v="2025-07-25T14:58:00"/>
        <d v="2025-04-30T18:25:00"/>
        <d v="2025-04-22T01:55:00"/>
        <d v="2025-03-13T17:11:00"/>
        <d v="2025-05-29T07:59:00"/>
        <d v="2025-10-22T10:53:00"/>
        <d v="2025-10-23T20:24:00"/>
        <d v="2025-12-11T10:56:00"/>
        <d v="2025-05-02T10:18:00"/>
        <d v="2025-03-15T22:32:00"/>
        <d v="2025-09-24T07:32:00"/>
        <d v="2025-07-31T10:15:00"/>
        <d v="2025-05-21T02:04:00"/>
        <d v="2025-10-13T20:11:00"/>
        <d v="2025-03-31T21:22:00"/>
        <d v="2025-12-14T14:34:00"/>
        <d v="2025-10-12T16:55:00"/>
        <d v="2025-01-25T11:45:00"/>
        <d v="2025-11-26T22:54:00"/>
        <d v="2025-07-15T17:54:00"/>
        <d v="2025-06-13T23:46:00"/>
        <d v="2025-08-02T13:56:00"/>
        <d v="2025-03-18T10:14:00"/>
        <d v="2025-07-12T06:16:00"/>
        <d v="2025-10-03T16:09:00"/>
        <d v="2025-05-04T07:41:00"/>
        <d v="2025-06-03T04:55:00"/>
        <d v="2025-08-26T01:58:00"/>
        <d v="2025-10-15T14:05:00"/>
        <d v="2025-08-02T19:01:00"/>
        <d v="2025-09-29T04:34:00"/>
        <d v="2025-07-18T08:17:00"/>
        <d v="2025-05-11T06:56:00"/>
        <d v="2025-06-19T22:04:00"/>
        <d v="2025-02-10T15:21:00"/>
        <d v="2025-07-09T03:09:00"/>
        <d v="2025-10-02T06:30:00"/>
        <d v="2025-01-27T09:09:00"/>
        <d v="2025-07-13T22:59:00"/>
        <d v="2025-11-06T20:34:00"/>
        <d v="2025-01-21T02:29:00"/>
        <d v="2025-04-07T20:03:00"/>
        <d v="2025-12-10T19:04:00"/>
        <d v="2025-04-22T16:21:00"/>
        <d v="2025-04-17T11:21:00"/>
        <d v="2025-06-05T00:31:00"/>
        <d v="2025-04-19T06:29:00"/>
        <d v="2025-03-02T16:20:00"/>
        <d v="2025-05-05T23:44:00"/>
        <d v="2025-11-06T06:58:00"/>
        <d v="2025-07-23T08:10:00"/>
        <d v="2025-10-10T10:58:00"/>
        <d v="2025-05-25T12:59:00"/>
        <d v="2025-08-27T18:12:00"/>
        <d v="2025-11-29T12:15:00"/>
        <d v="2025-06-07T08:55:00"/>
        <d v="2025-07-04T17:30:00"/>
        <d v="2025-09-12T15:54:00"/>
        <d v="2025-02-20T16:01:00"/>
        <d v="2025-06-13T06:56:00"/>
        <d v="2025-07-09T10:40:00"/>
        <d v="2025-07-31T01:33:00"/>
        <d v="2025-10-16T07:33:00"/>
        <d v="2025-03-16T00:33:00"/>
        <d v="2025-05-14T18:53:00"/>
        <d v="2025-10-27T19:46:00"/>
        <d v="2025-08-02T10:04:00"/>
        <d v="2025-03-20T06:41:00"/>
        <d v="2025-06-18T07:51:00"/>
        <d v="2025-07-14T19:26:00"/>
        <d v="2025-05-06T17:02:00"/>
        <d v="2025-10-09T22:20:00"/>
        <d v="2025-12-17T11:31:00"/>
        <d v="2025-05-12T16:40:00"/>
        <d v="2025-11-25T16:44:00"/>
        <d v="2025-08-24T05:44:00"/>
        <d v="2025-06-30T05:46:00"/>
        <d v="2025-03-13T18:39:00"/>
        <d v="2025-09-08T06:16:00"/>
        <d v="2025-10-05T21:54:00"/>
        <d v="2025-01-31T17:53:00"/>
        <d v="2025-01-18T02:32:00"/>
        <d v="2025-12-09T01:39:00"/>
        <d v="2025-01-04T14:04:00"/>
        <d v="2025-03-12T21:31:00"/>
        <d v="2025-04-29T02:19:00"/>
        <d v="2025-03-19T00:18:00"/>
        <d v="2025-04-22T17:15:00"/>
        <d v="2025-08-22T12:44:00"/>
        <d v="2025-01-31T21:05:00"/>
        <d v="2025-11-23T22:45:00"/>
        <d v="2025-11-12T16:29:00"/>
        <d v="2025-12-04T16:39:00"/>
        <d v="2025-01-09T00:13:00"/>
        <d v="2025-09-30T18:49:00"/>
        <d v="2025-07-30T00:24:00"/>
        <d v="2025-01-09T18:04:00"/>
        <d v="2025-05-21T18:17:00"/>
        <d v="2025-05-27T00:35:00"/>
        <d v="2025-09-15T23:49:00"/>
        <d v="2025-12-12T14:41:00"/>
        <d v="2025-04-02T03:39:00"/>
        <d v="2025-02-19T17:53:00"/>
        <d v="2025-03-18T08:13:00"/>
        <d v="2025-04-09T21:09:00"/>
        <d v="2025-09-27T08:36:00"/>
        <d v="2025-07-01T09:07:00"/>
        <d v="2025-07-23T02:41:00"/>
        <d v="2025-07-11T13:51:00"/>
        <d v="2025-08-24T19:17:00"/>
        <d v="2025-05-05T23:47:00"/>
        <d v="2025-04-26T10:14:00"/>
        <d v="2025-12-17T02:45:00"/>
        <d v="2025-12-01T22:10:00"/>
        <d v="2025-01-17T03:11:00"/>
        <d v="2025-07-27T12:56:00"/>
        <d v="2025-07-13T18:51:00"/>
        <d v="2025-09-01T01:54:00"/>
        <d v="2025-11-23T00:19:00"/>
        <d v="2025-12-26T05:50:00"/>
        <d v="2025-02-12T17:03:00"/>
        <d v="2025-08-11T22:00:00"/>
        <d v="2025-06-19T19:18:00"/>
        <d v="2025-02-18T18:01:00"/>
        <d v="2025-01-22T07:50:00"/>
        <d v="2025-04-19T23:37:00"/>
        <d v="2025-10-18T16:13:00"/>
        <d v="2025-05-19T01:35:00"/>
        <d v="2025-02-08T23:21:00"/>
        <d v="2025-05-24T18:32:00"/>
        <d v="2025-10-16T22:27:00"/>
        <d v="2025-01-17T06:07:00"/>
        <d v="2025-06-11T00:32:00"/>
        <d v="2025-04-17T20:02:00"/>
        <d v="2025-03-15T13:35:00"/>
        <d v="2025-02-09T10:12:00"/>
        <d v="2025-03-25T19:14:00"/>
        <d v="2025-05-04T19:20:00"/>
        <d v="2025-07-19T23:06:00"/>
        <d v="2025-10-04T11:19:00"/>
        <d v="2025-07-16T04:46:00"/>
        <d v="2025-12-19T02:40:00"/>
        <d v="2025-09-14T11:48:00"/>
        <d v="2025-01-28T03:20:00"/>
        <d v="2025-08-12T07:55:00"/>
        <d v="2025-02-08T11:37:00"/>
        <d v="2025-11-06T20:57:00"/>
        <d v="2025-11-01T13:32:00"/>
        <d v="2025-06-17T01:00:00"/>
        <d v="2025-11-21T09:19:00"/>
        <d v="2025-08-19T16:44:00"/>
        <d v="2025-04-27T12:08:00"/>
        <d v="2025-10-11T12:48:00"/>
        <d v="2025-08-10T06:20:00"/>
        <d v="2025-12-15T19:59:00"/>
        <d v="2025-12-05T12:58:00"/>
        <d v="2025-02-13T21:06:00"/>
        <d v="2025-06-01T08:24:00"/>
        <d v="2025-02-07T02:48:00"/>
        <d v="2025-05-18T05:15:00"/>
        <d v="2025-07-14T21:38:00"/>
        <d v="2025-03-20T13:17:00"/>
        <d v="2025-06-12T12:18:00"/>
        <d v="2025-02-24T03:07:00"/>
        <d v="2025-01-03T10:31:00"/>
        <d v="2025-08-16T12:17:00"/>
        <d v="2025-05-19T03:29:00"/>
        <d v="2025-03-09T02:58:00"/>
        <d v="2025-04-06T14:42:00"/>
        <d v="2025-08-18T19:00:00"/>
        <d v="2025-10-12T17:29:00"/>
        <d v="2025-07-28T03:31:00"/>
        <d v="2025-01-14T03:03:00"/>
        <d v="2025-07-01T18:55:00"/>
        <d v="2025-02-17T20:22:00"/>
        <d v="2025-11-03T11:04:00"/>
        <d v="2025-07-17T00:25:00"/>
        <d v="2025-05-30T14:07:00"/>
        <d v="2025-07-18T02:53:00"/>
        <d v="2025-10-14T08:17:00"/>
        <d v="2025-10-20T17:47:00"/>
        <d v="2025-03-28T23:23:00"/>
        <d v="2025-07-14T05:47:00"/>
        <d v="2025-03-13T09:10:00"/>
        <d v="2025-06-04T09:09:00"/>
        <d v="2025-09-10T04:58:00"/>
        <d v="2025-02-02T05:42:00"/>
        <d v="2025-08-11T09:25:00"/>
        <d v="2025-08-04T10:13:00"/>
        <d v="2025-09-05T02:37:00"/>
        <d v="2025-07-04T08:35:00"/>
        <d v="2025-05-07T21:20:00"/>
        <d v="2025-09-11T20:16:00"/>
        <d v="2025-11-12T06:40:00"/>
        <d v="2025-08-23T03:39:00"/>
        <d v="2025-03-11T10:23:00"/>
        <d v="2025-01-04T13:30:00"/>
        <d v="2025-06-20T21:10:00"/>
        <d v="2025-07-14T11:14:00"/>
        <d v="2025-08-14T11:25:00"/>
        <d v="2025-08-09T22:13:00"/>
        <d v="2025-11-01T04:38:00"/>
        <d v="2025-06-03T10:56:00"/>
        <d v="2025-11-05T23:43:00"/>
        <d v="2025-04-13T16:21:00"/>
        <d v="2025-06-10T06:03:00"/>
        <d v="2025-07-23T10:53:00"/>
        <d v="2025-05-30T23:43:00"/>
        <d v="2025-11-21T16:45:00"/>
        <d v="2025-10-22T08:16:00"/>
        <d v="2025-06-16T12:50:00"/>
        <d v="2025-05-24T13:24:00"/>
        <d v="2025-07-06T03:53:00"/>
        <d v="2025-10-16T06:49:00"/>
        <d v="2025-10-31T18:37:00"/>
        <d v="2025-04-03T23:16:00"/>
        <d v="2025-10-09T00:55:00"/>
        <d v="2025-08-25T07:09:00"/>
        <d v="2025-08-13T09:56:00"/>
        <d v="2025-12-21T02:21:00"/>
        <d v="2025-07-29T22:58:00"/>
        <d v="2025-09-13T04:45:00"/>
        <d v="2025-11-21T10:20:00"/>
        <d v="2025-05-04T08:37:00"/>
        <d v="2025-12-04T05:15:00"/>
        <d v="2025-08-05T12:52:00"/>
        <d v="2025-02-07T15:19:00"/>
        <d v="2025-11-03T16:21:00"/>
        <d v="2025-10-26T13:40:00"/>
        <d v="2025-10-01T17:17:00"/>
        <d v="2025-12-21T14:16:00"/>
        <d v="2025-10-06T01:15:00"/>
        <d v="2025-07-04T23:56:00"/>
        <d v="2025-10-02T20:16:00"/>
        <d v="2025-11-23T02:54:00"/>
        <d v="2025-02-25T08:28:00"/>
        <d v="2025-12-03T22:41:00"/>
        <d v="2025-07-01T05:40:00"/>
        <d v="2025-11-28T20:54:00"/>
        <d v="2025-01-23T19:13:00"/>
        <d v="2025-11-27T23:07:00"/>
        <d v="2025-11-28T13:38:00"/>
        <d v="2025-06-19T14:41:00"/>
        <d v="2025-02-24T00:21:00"/>
        <d v="2025-02-20T08:49:00"/>
        <d v="2025-04-24T17:25:00"/>
        <d v="2025-09-23T19:02:00"/>
        <d v="2025-10-25T23:28:00"/>
        <d v="2025-10-22T07:32:00"/>
        <d v="2025-08-17T12:46:00"/>
        <d v="2025-07-20T15:48:00"/>
        <d v="2025-12-14T20:05:00"/>
        <d v="2025-12-20T17:04:00"/>
        <d v="2025-03-19T11:46:00"/>
        <d v="2025-01-13T16:28:00"/>
        <d v="2025-02-23T10:05:00"/>
        <d v="2025-08-01T02:55:00"/>
        <d v="2025-03-01T04:50:00"/>
        <d v="2025-06-28T10:38:00"/>
        <d v="2025-06-25T15:32:00"/>
        <d v="2025-04-16T17:47:00"/>
        <d v="2025-09-05T11:53:00"/>
        <d v="2025-09-01T03:19:00"/>
        <d v="2025-08-13T23:46:00"/>
        <d v="2025-08-20T10:53:00"/>
        <d v="2025-02-04T10:14:00"/>
        <d v="2025-01-23T03:55:00"/>
        <d v="2025-01-12T11:42:00"/>
        <d v="2025-11-28T03:43:00"/>
        <d v="2025-12-13T05:36:00"/>
        <d v="2025-05-05T17:36:00"/>
        <d v="2025-03-31T18:50:00"/>
        <d v="2025-03-23T11:17:00"/>
        <d v="2025-10-14T14:33:00"/>
        <d v="2025-08-25T07:54:00"/>
        <d v="2025-07-27T21:29:00"/>
        <d v="2025-04-05T06:21:00"/>
        <d v="2025-11-24T22:26:00"/>
        <d v="2025-08-10T13:30:00"/>
        <d v="2025-01-15T20:57:00"/>
        <d v="2025-04-12T15:20:00"/>
        <d v="2025-10-31T14:39:00"/>
        <d v="2025-07-19T00:09:00"/>
        <d v="2025-12-27T07:19:00"/>
        <d v="2025-04-16T09:30:00"/>
        <d v="2025-12-27T02:08:00"/>
        <d v="2025-10-23T03:28:00"/>
        <d v="2025-10-02T06:22:00"/>
        <d v="2025-07-07T11:07:00"/>
        <d v="2025-04-11T15:37:00"/>
        <d v="2025-02-28T08:57:00"/>
        <d v="2025-12-10T16:42:00"/>
        <d v="2025-09-28T21:48:00"/>
        <d v="2025-06-10T20:22:00"/>
        <d v="2025-07-18T20:51:00"/>
        <d v="2025-07-20T20:02:00"/>
        <d v="2025-02-28T11:52:00"/>
        <d v="2025-06-30T15:37:00"/>
        <d v="2025-11-13T05:53:00"/>
        <d v="2025-12-11T10:09:00"/>
        <d v="2025-11-11T20:08:00"/>
        <d v="2025-02-13T22:56:00"/>
        <d v="2025-03-10T10:41:00"/>
        <d v="2025-03-02T08:08:00"/>
        <d v="2025-06-06T03:59:00"/>
        <d v="2025-04-04T12:44:00"/>
        <d v="2025-12-22T04:49:00"/>
        <d v="2025-09-19T13:15:00"/>
        <d v="2025-08-03T20:21:00"/>
        <d v="2025-03-12T19:37:00"/>
        <d v="2025-07-16T14:26:00"/>
        <d v="2025-04-06T16:36:00"/>
        <d v="2025-11-22T18:20:00"/>
        <d v="2025-12-22T22:01:00"/>
        <d v="2025-03-30T18:56:00"/>
        <d v="2025-03-27T16:42:00"/>
        <d v="2025-05-28T04:47:00"/>
        <d v="2025-04-06T10:44:00"/>
        <d v="2025-08-19T21:08:00"/>
        <d v="2025-01-28T12:15:00"/>
        <d v="2025-01-05T16:32:00"/>
        <d v="2025-03-11T06:39:00"/>
        <d v="2025-07-16T19:10:00"/>
        <d v="2025-09-16T22:17:00"/>
        <d v="2025-09-11T13:57:00"/>
        <d v="2025-12-17T16:47:00"/>
        <d v="2025-08-01T15:09:00"/>
        <d v="2025-09-08T05:42:00"/>
        <d v="2025-02-12T19:17:00"/>
        <d v="2025-01-16T07:31:00"/>
        <d v="2025-05-30T01:06:00"/>
        <d v="2025-05-21T07:40:00"/>
        <d v="2025-10-03T09:51:00"/>
        <d v="2025-03-28T15:36:00"/>
        <d v="2025-10-17T16:54:00"/>
        <d v="2025-10-09T17:26:00"/>
        <d v="2025-02-27T19:32:00"/>
        <d v="2025-02-28T09:08:00"/>
        <d v="2025-10-06T12:31:00"/>
        <d v="2025-10-05T01:25:00"/>
        <d v="2025-08-14T18:38:00"/>
        <d v="2025-04-22T14:30:00"/>
        <d v="2025-02-22T22:18:00"/>
        <d v="2025-05-07T10:09:00"/>
        <d v="2025-01-17T15:21:00"/>
        <d v="2025-05-15T11:53:00"/>
        <d v="2025-02-14T14:59:00"/>
        <d v="2025-03-02T08:05:00"/>
        <d v="2025-04-18T20:04:00"/>
        <d v="2025-12-19T11:58:00"/>
        <d v="2025-11-09T21:35:00"/>
        <d v="2025-08-08T05:39:00"/>
        <d v="2025-11-12T04:45:00"/>
        <d v="2025-04-16T07:03:00"/>
        <d v="2025-01-31T19:27:00"/>
        <d v="2025-06-29T18:10:00"/>
        <d v="2025-05-24T20:22:00"/>
        <d v="2025-10-03T05:44:00"/>
        <d v="2025-06-15T09:59:00"/>
        <d v="2025-05-29T19:32:00"/>
        <d v="2025-05-17T17:33:00"/>
        <d v="2025-12-14T03:15:00"/>
        <d v="2025-03-11T14:02:00"/>
        <d v="2025-01-31T09:27:00"/>
        <d v="2025-12-02T04:19:00"/>
        <d v="2025-12-26T04:31:00"/>
        <d v="2025-05-08T04:59:00"/>
        <d v="2025-06-14T08:26:00"/>
        <d v="2025-12-13T13:24:00"/>
        <d v="2025-09-08T04:51:00"/>
        <d v="2025-10-23T21:35:00"/>
        <d v="2025-05-18T21:25:00"/>
        <d v="2025-08-01T12:48:00"/>
        <d v="2025-08-20T02:34:00"/>
        <d v="2025-11-21T03:10:00"/>
        <d v="2025-07-26T17:35:00"/>
        <d v="2025-05-23T23:42:00"/>
        <d v="2025-07-08T15:31:00"/>
        <d v="2025-09-07T11:10:00"/>
        <d v="2025-10-25T00:05:00"/>
        <d v="2025-02-17T15:38:00"/>
        <d v="2025-11-22T22:40:00"/>
        <d v="2025-12-24T12:13:00"/>
        <d v="2025-02-02T18:14:00"/>
        <d v="2025-07-23T07:26:00"/>
        <d v="2025-08-08T07:13:00"/>
        <d v="2025-09-11T09:09:00"/>
        <d v="2025-06-15T09:40:00"/>
        <d v="2025-06-22T18:40:00"/>
        <d v="2025-10-23T04:27:00"/>
        <d v="2025-10-17T16:33:00"/>
        <d v="2025-06-25T23:17:00"/>
        <d v="2025-01-25T01:34:00"/>
        <d v="2025-02-20T21:22:00"/>
        <d v="2025-08-24T00:33:00"/>
        <d v="2025-03-05T05:23:00"/>
        <d v="2025-08-14T15:34:00"/>
        <d v="2025-01-01T14:36:00"/>
        <d v="2025-04-14T23:30:00"/>
        <d v="2025-03-09T22:11:00"/>
        <d v="2025-06-04T05:25:00"/>
        <d v="2025-05-21T03:11:00"/>
        <d v="2025-12-02T12:18:00"/>
        <d v="2025-05-09T02:48:00"/>
        <d v="2025-07-10T22:40:00"/>
        <d v="2025-11-29T05:38:00"/>
        <d v="2025-01-27T13:31:00"/>
        <d v="2025-11-17T10:25:00"/>
        <d v="2025-12-25T07:59:00"/>
        <d v="2025-08-08T22:22:00"/>
        <d v="2025-02-16T03:14:00"/>
        <d v="2025-01-01T07:17:00"/>
        <d v="2025-09-02T02:39:00"/>
        <d v="2025-03-09T20:15:00"/>
        <d v="2025-04-26T17:43:00"/>
        <d v="2025-12-15T15:11:00"/>
        <d v="2025-01-05T00:16:00"/>
        <d v="2025-12-23T11:43:00"/>
        <d v="2025-03-03T14:24:00"/>
        <d v="2025-12-22T04:30:00"/>
        <d v="2025-09-02T02:25:00"/>
        <d v="2025-04-28T13:04:00"/>
        <d v="2025-02-15T03:29:00"/>
        <d v="2025-02-22T10:41:00"/>
        <d v="2025-07-08T10:12:00"/>
        <d v="2025-03-12T13:03:00"/>
        <d v="2025-03-10T21:53:00"/>
        <d v="2025-12-13T04:52:00"/>
        <d v="2025-02-05T18:06:00"/>
        <d v="2025-10-16T00:17:00"/>
        <d v="2025-11-09T22:11:00"/>
        <d v="2025-03-26T15:01:00"/>
        <d v="2025-06-29T07:16:00"/>
        <d v="2025-11-18T05:10:00"/>
        <d v="2025-07-30T21:01:00"/>
        <d v="2025-12-18T15:06:00"/>
        <d v="2025-04-22T02:57:00"/>
        <d v="2025-02-21T04:46:00"/>
        <d v="2025-03-05T20:07:00"/>
        <d v="2025-07-16T11:59:00"/>
        <d v="2025-08-08T10:44:00"/>
        <d v="2025-03-13T08:27:00"/>
        <d v="2025-05-22T22:00:00"/>
        <d v="2025-02-13T08:28:00"/>
        <d v="2025-10-11T20:30:00"/>
        <d v="2025-11-04T20:44:00"/>
        <d v="2025-05-26T23:34:00"/>
        <d v="2025-01-14T22:28:00"/>
        <d v="2025-06-04T07:00:00"/>
        <d v="2025-09-23T20:42:00"/>
        <d v="2025-09-18T06:26:00"/>
        <d v="2025-07-20T10:05:00"/>
        <d v="2025-11-27T01:51:00"/>
        <d v="2025-05-03T16:53:00"/>
        <d v="2025-07-17T03:50:00"/>
        <d v="2025-05-04T17:03:00"/>
        <d v="2025-11-23T20:16:00"/>
        <d v="2025-02-06T18:01:00"/>
        <d v="2025-01-07T12:19:00"/>
        <d v="2025-06-12T04:30:00"/>
        <d v="2025-07-18T19:24:00"/>
        <d v="2025-08-04T12:28:00"/>
        <d v="2025-10-07T23:18:00"/>
        <d v="2025-03-30T16:04:00"/>
        <d v="2025-02-07T00:34:00"/>
        <d v="2025-10-28T02:18:00"/>
        <d v="2025-01-08T08:56:00"/>
        <d v="2025-04-21T01:21:00"/>
        <d v="2025-01-31T13:35:00"/>
        <d v="2025-09-17T09:46:00"/>
        <d v="2025-11-18T17:06:00"/>
        <d v="2025-08-01T14:27:00"/>
        <d v="2025-12-26T13:43:00"/>
        <d v="2025-02-12T21:51:00"/>
        <d v="2025-10-02T18:21:00"/>
        <d v="2025-11-12T05:12:00"/>
        <d v="2025-05-23T02:51:00"/>
        <d v="2025-06-08T02:41:00"/>
        <d v="2025-09-19T06:56:00"/>
        <d v="2025-03-21T18:18:00"/>
        <d v="2025-06-17T13:20:00"/>
        <d v="2025-10-28T21:39:00"/>
        <d v="2025-11-29T23:14:00"/>
        <d v="2025-11-26T02:15:00"/>
        <d v="2025-06-08T23:50:00"/>
        <d v="2025-08-12T08:08:00"/>
        <d v="2025-01-30T08:20:00"/>
        <d v="2025-02-14T14:49:00"/>
        <d v="2025-03-01T15:28:00"/>
        <d v="2025-11-10T20:46:00"/>
        <d v="2025-01-29T10:33:00"/>
        <d v="2025-12-08T22:27:00"/>
        <d v="2025-03-31T04:04:00"/>
        <d v="2025-01-07T04:41:00"/>
        <d v="2025-12-26T00:23:00"/>
        <d v="2025-03-25T16:56:00"/>
        <d v="2025-06-27T17:51:00"/>
        <d v="2025-09-22T08:50:00"/>
        <d v="2025-03-27T12:41:00"/>
        <d v="2025-03-06T09:10:00"/>
        <d v="2025-03-02T01:00:00"/>
        <d v="2025-06-21T14:39:00"/>
        <d v="2025-05-20T17:52:00"/>
        <d v="2025-02-02T08:58:00"/>
        <d v="2025-10-23T21:25:00"/>
        <d v="2025-02-09T16:56:00"/>
        <d v="2025-08-22T17:26:00"/>
        <d v="2025-07-04T01:53:00"/>
        <d v="2025-09-13T19:20:00"/>
        <d v="2025-03-27T12:33:00"/>
        <d v="2025-03-22T08:42:00"/>
        <d v="2025-02-22T19:35:00"/>
        <d v="2025-12-12T03:56:00"/>
        <d v="2025-04-27T17:22:00"/>
        <d v="2025-01-02T01:30:00"/>
        <d v="2025-01-07T08:20:00"/>
        <d v="2025-01-24T16:06:00"/>
        <d v="2025-07-06T13:04:00"/>
        <d v="2025-03-18T06:06:00"/>
        <d v="2025-01-19T18:52:00"/>
        <d v="2025-12-02T14:18:00"/>
        <d v="2025-04-25T10:59:00"/>
        <d v="2025-05-08T14:12:00"/>
        <d v="2025-06-13T09:15:00"/>
        <d v="2025-02-09T19:30:00"/>
        <d v="2025-07-10T04:04:00"/>
        <d v="2025-09-15T22:58:00"/>
        <d v="2025-01-27T06:07:00"/>
        <d v="2025-04-25T17:36:00"/>
        <d v="2025-01-24T13:41:00"/>
        <d v="2025-02-05T15:52:00"/>
        <d v="2025-05-25T10:36:00"/>
        <d v="2025-06-17T02:56:00"/>
        <d v="2025-10-11T15:35:00"/>
        <d v="2025-01-05T12:35:00"/>
        <d v="2025-04-13T09:57:00"/>
        <d v="2025-10-16T10:22:00"/>
        <d v="2025-11-15T08:16:00"/>
        <d v="2025-08-26T12:34:00"/>
        <d v="2025-10-30T16:50:00"/>
        <d v="2025-04-11T18:39:00"/>
        <d v="2025-05-06T05:08:00"/>
        <d v="2025-01-04T13:59:00"/>
        <d v="2025-01-13T07:57:00"/>
        <d v="2025-10-05T11:49:00"/>
        <d v="2025-11-22T23:40:00"/>
        <d v="2025-01-05T11:26:00"/>
        <d v="2025-01-01T22:26:00"/>
        <d v="2025-07-12T10:29:00"/>
        <d v="2025-02-23T07:00:00"/>
        <d v="2025-09-29T08:07:00"/>
        <d v="2025-08-03T16:47:00"/>
        <d v="2025-01-31T04:51:00"/>
        <d v="2025-05-24T03:10:00"/>
        <d v="2025-01-23T07:54:00"/>
        <d v="2025-09-24T14:05:00"/>
        <d v="2025-12-25T12:42:00"/>
        <d v="2025-08-23T02:53:00"/>
        <d v="2025-10-25T03:15:00"/>
        <d v="2025-09-16T04:33:00"/>
        <d v="2025-11-23T13:27:00"/>
        <d v="2025-02-08T20:12:00"/>
        <d v="2025-10-18T02:07:00"/>
        <d v="2025-08-11T22:36:00"/>
        <d v="2025-03-08T08:04:00"/>
        <d v="2025-05-30T08:54:00"/>
        <d v="2025-06-11T13:24:00"/>
        <d v="2025-12-25T11:08:00"/>
        <d v="2025-06-12T15:27:00"/>
        <d v="2025-05-20T07:58:00"/>
        <d v="2025-02-08T06:55:00"/>
        <d v="2025-03-11T19:57:00"/>
        <d v="2025-02-25T05:18:00"/>
        <d v="2025-02-24T05:36:00"/>
        <d v="2025-08-19T15:54:00"/>
        <d v="2025-06-10T13:52:00"/>
        <d v="2025-03-03T18:17:00"/>
        <d v="2025-07-03T07:05:00"/>
        <d v="2025-08-20T10:31:00"/>
        <d v="2025-08-26T09:02:00"/>
        <d v="2025-03-03T03:05:00"/>
        <d v="2025-03-22T23:25:00"/>
        <d v="2025-06-05T23:47:00"/>
        <d v="2025-11-05T01:22:00"/>
        <d v="2025-04-21T11:11:00"/>
        <d v="2025-03-17T03:06:00"/>
        <d v="2025-05-08T12:08:00"/>
        <d v="2025-07-22T17:31:00"/>
        <d v="2025-01-26T23:06:00"/>
        <d v="2025-06-03T08:52:00"/>
        <d v="2025-03-31T01:03:00"/>
        <d v="2025-07-27T15:26:00"/>
        <d v="2025-10-12T18:46:00"/>
        <d v="2025-05-08T03:13:00"/>
        <d v="2025-08-25T03:28:00"/>
        <d v="2025-03-13T04:08:00"/>
        <d v="2025-01-07T02:06:00"/>
        <d v="2025-04-24T04:27:00"/>
        <d v="2025-04-12T13:40:00"/>
        <d v="2025-07-10T23:25:00"/>
        <d v="2025-11-19T22:00:00"/>
        <d v="2025-02-13T19:52:00"/>
        <d v="2025-10-28T08:50:00"/>
        <d v="2025-02-08T00:44:00"/>
        <d v="2025-02-03T06:44:00"/>
        <d v="2025-11-27T15:08:00"/>
        <d v="2025-03-07T03:08:00"/>
        <d v="2025-06-19T04:10:00"/>
        <d v="2025-01-22T15:44:00"/>
        <d v="2025-01-26T05:44:00"/>
        <d v="2025-10-21T14:47:00"/>
        <d v="2025-07-22T16:56:00"/>
        <d v="2025-01-16T13:03:00"/>
        <d v="2025-12-16T14:33:00"/>
        <d v="2025-03-30T12:04:00"/>
        <d v="2025-04-20T06:23:00"/>
        <d v="2025-05-21T09:33:00"/>
        <d v="2025-08-17T05:04:00"/>
        <d v="2025-01-18T20:57:00"/>
        <d v="2025-11-14T21:03:00"/>
        <d v="2025-05-06T22:05:00"/>
        <d v="2025-06-01T17:01:00"/>
        <d v="2025-07-30T18:47:00"/>
        <d v="2025-09-03T02:04:00"/>
        <d v="2025-02-14T09:32:00"/>
        <d v="2025-07-16T04:41:00"/>
        <d v="2025-08-03T06:48:00"/>
        <d v="2025-11-26T17:56:00"/>
        <d v="2025-05-08T21:31:00"/>
        <d v="2025-10-06T00:39:00"/>
        <d v="2025-07-15T12:15:00"/>
        <d v="2025-09-03T18:35:00"/>
        <d v="2025-09-06T11:44:00"/>
        <d v="2025-10-17T17:08:00"/>
        <d v="2025-06-14T13:15:00"/>
        <d v="2025-05-19T06:08:00"/>
        <d v="2025-01-14T10:53:00"/>
        <d v="2025-11-02T07:28:00"/>
        <d v="2025-01-16T09:35:00"/>
        <d v="2025-01-30T16:06:00"/>
        <d v="2025-09-29T12:12:00"/>
        <d v="2025-10-27T07:56:00"/>
        <d v="2025-03-23T03:25:00"/>
        <d v="2025-05-07T22:25:00"/>
        <d v="2025-05-04T09:05:00"/>
        <d v="2025-10-01T01:54:00"/>
        <d v="2025-04-23T19:39:00"/>
        <d v="2025-07-18T12:06:00"/>
        <d v="2025-03-30T06:00:00"/>
        <d v="2025-05-02T20:13:00"/>
        <d v="2025-06-12T23:48:00"/>
        <d v="2025-07-03T20:11:00"/>
        <d v="2025-01-16T00:00:00"/>
        <d v="2025-12-25T12:00:00"/>
        <d v="2025-10-18T19:14:00"/>
        <d v="2025-03-14T19:13:00"/>
        <d v="2025-04-07T16:48:00"/>
        <d v="2025-10-05T10:32:00"/>
        <d v="2025-03-31T16:44:00"/>
        <d v="2025-01-20T03:04:00"/>
        <d v="2025-01-29T07:56:00"/>
        <d v="2025-11-05T07:28:00"/>
        <d v="2025-01-11T17:58:00"/>
        <d v="2025-09-02T00:01:00"/>
        <d v="2025-06-19T20:57:00"/>
        <d v="2025-04-14T04:27:00"/>
        <d v="2025-06-24T06:03:00"/>
        <d v="2025-06-15T02:01:00"/>
        <d v="2025-01-12T05:02:00"/>
        <d v="2025-10-28T04:50:00"/>
        <d v="2025-02-26T17:57:00"/>
        <d v="2025-07-06T02:28:00"/>
        <d v="2025-07-11T22:36:00"/>
        <d v="2025-07-22T20:00:00"/>
        <d v="2025-02-21T11:29:00"/>
        <d v="2025-06-04T11:00:00"/>
        <d v="2025-03-11T05:22:00"/>
        <d v="2025-08-12T21:49:00"/>
        <d v="2025-09-07T22:09:00"/>
        <d v="2025-06-12T05:56:00"/>
        <d v="2025-10-15T23:40:00"/>
        <d v="2025-11-11T12:10:00"/>
        <d v="2025-04-25T22:43:00"/>
        <d v="2025-10-29T05:59:00"/>
        <d v="2025-07-13T10:28:00"/>
        <d v="2025-12-19T10:03:00"/>
        <d v="2025-03-07T06:03:00"/>
        <d v="2025-01-01T23:57:00"/>
        <d v="2025-10-21T13:21:00"/>
        <d v="2025-10-18T01:06:00"/>
        <d v="2025-04-04T20:33:00"/>
        <d v="2025-06-12T20:52:00"/>
        <d v="2025-04-24T21:49:00"/>
        <d v="2025-10-17T03:33:00"/>
        <d v="2025-09-12T04:48:00"/>
        <d v="2025-06-19T02:39:00"/>
        <d v="2025-05-02T11:50:00"/>
        <d v="2025-06-13T05:43:00"/>
        <d v="2025-11-22T03:01:00"/>
        <d v="2025-12-10T21:48:00"/>
        <d v="2025-06-21T15:14:00"/>
        <d v="2025-01-06T09:03:00"/>
        <d v="2025-04-18T08:31:00"/>
        <d v="2025-12-21T02:18:00"/>
        <d v="2025-06-29T08:45:00"/>
        <d v="2025-02-25T00:02:00"/>
        <d v="2025-01-25T13:10:00"/>
        <d v="2025-08-13T14:19:00"/>
        <d v="2025-03-27T14:07:00"/>
        <d v="2025-09-10T12:55:00"/>
        <d v="2025-06-29T18:38:00"/>
        <d v="2025-07-12T03:27:00"/>
        <d v="2025-09-03T19:43:00"/>
        <d v="2025-11-30T23:27:00"/>
        <d v="2025-04-26T05:33:00"/>
        <d v="2025-08-20T02:30:00"/>
        <d v="2025-01-18T10:03:00"/>
        <d v="2025-01-11T10:52:00"/>
        <d v="2025-05-14T03:34:00"/>
        <d v="2025-02-07T11:40:00"/>
        <d v="2025-03-29T12:48:00"/>
        <d v="2025-03-24T02:33:00"/>
        <d v="2025-10-08T03:10:00"/>
        <d v="2025-06-23T20:16:00"/>
        <d v="2025-11-11T16:28:00"/>
        <d v="2025-12-27T01:03:00"/>
        <d v="2025-08-09T22:18:00"/>
        <d v="2025-03-26T20:43:00"/>
        <d v="2025-08-11T05:21:00"/>
        <d v="2025-01-28T03:27:00"/>
        <d v="2025-06-19T07:00:00"/>
        <d v="2025-04-08T13:58:00"/>
        <d v="2025-12-23T18:54:00"/>
        <d v="2025-10-04T09:03:00"/>
        <d v="2025-12-05T09:36:00"/>
        <d v="2025-06-02T08:06:00"/>
        <d v="2025-02-19T01:41:00"/>
        <d v="2025-07-21T19:30:00"/>
        <d v="2025-10-09T16:45:00"/>
        <d v="2025-03-20T01:51:00"/>
        <d v="2025-07-04T00:07:00"/>
        <d v="2025-08-07T02:59:00"/>
        <d v="2025-05-31T22:35:00"/>
        <d v="2025-11-17T20:29:00"/>
        <d v="2025-09-03T06:48:00"/>
        <d v="2025-02-19T00:52:00"/>
        <d v="2025-04-16T05:49:00"/>
        <d v="2025-11-23T09:57:00"/>
        <d v="2025-02-11T16:09:00"/>
        <d v="2025-03-01T10:31:00"/>
        <d v="2025-07-23T16:04:00"/>
        <d v="2025-09-08T22:33:00"/>
        <d v="2025-05-16T03:06:00"/>
        <d v="2025-11-25T18:34:00"/>
        <d v="2025-07-18T06:18:00"/>
        <d v="2025-07-09T13:01:00"/>
        <d v="2025-07-09T06:22:00"/>
        <d v="2025-08-17T01:31:00"/>
        <d v="2025-05-15T15:00:00"/>
        <d v="2025-08-27T08:59:00"/>
        <d v="2025-04-26T09:10:00"/>
        <d v="2025-10-16T02:06:00"/>
        <d v="2025-03-19T23:46:00"/>
        <d v="2025-12-08T03:18:00"/>
        <d v="2025-02-13T22:48:00"/>
        <d v="2025-06-26T18:28:00"/>
        <d v="2025-07-31T20:07:00"/>
        <d v="2025-04-27T18:53:00"/>
        <d v="2025-02-01T13:12:00"/>
        <d v="2025-09-25T14:17:00"/>
        <d v="2025-10-02T23:27:00"/>
        <d v="2025-09-01T19:32:00"/>
        <d v="2025-05-01T16:15:00"/>
        <d v="2025-06-03T02:41:00"/>
        <d v="2025-07-22T01:11:00"/>
        <d v="2025-09-15T19:29:00"/>
        <d v="2025-09-22T19:30:00"/>
        <d v="2025-12-13T21:10:00"/>
        <d v="2025-03-17T04:06:00"/>
        <d v="2025-08-18T05:54:00"/>
        <d v="2025-03-27T07:13:00"/>
        <d v="2025-04-09T04:18:00"/>
        <d v="2025-01-22T14:27:00"/>
        <d v="2025-02-10T23:19:00"/>
        <d v="2025-08-11T06:53:00"/>
        <d v="2025-11-18T05:02:00"/>
        <d v="2025-11-01T08:48:00"/>
        <d v="2025-06-13T02:17:00"/>
        <d v="2025-02-14T13:14:00"/>
        <d v="2025-10-12T13:33:00"/>
        <d v="2025-10-10T11:07:00"/>
        <d v="2025-05-22T17:44:00"/>
        <d v="2025-08-23T00:25:00"/>
        <d v="2025-12-25T21:16:00"/>
        <d v="2025-10-28T17:50:00"/>
        <d v="2025-08-03T03:50:00"/>
        <d v="2025-08-01T05:06:00"/>
        <d v="2025-03-17T19:20:00"/>
        <d v="2025-10-29T19:53:00"/>
        <d v="2025-02-21T03:36:00"/>
        <d v="2025-10-16T03:26:00"/>
        <d v="2025-05-27T18:16:00"/>
        <d v="2025-06-26T14:01:00"/>
        <d v="2025-05-16T13:04:00"/>
        <d v="2025-12-02T16:34:00"/>
        <d v="2025-10-20T20:47:00"/>
        <d v="2025-08-31T01:16:00"/>
        <d v="2025-03-30T09:24:00"/>
        <d v="2025-07-26T04:54:00"/>
        <d v="2025-11-13T20:46:00"/>
        <d v="2025-12-15T23:40:00"/>
        <d v="2025-07-25T01:19:00"/>
        <d v="2025-07-22T11:18:00"/>
        <d v="2025-12-20T08:06:00"/>
        <d v="2025-01-26T16:13:00"/>
        <d v="2025-05-18T12:42:00"/>
        <d v="2025-01-11T11:31:00"/>
        <d v="2025-06-05T10:36:00"/>
        <d v="2025-05-24T16:46:00"/>
        <d v="2025-12-23T23:22:00"/>
        <d v="2025-02-20T07:46:00"/>
        <d v="2025-03-10T10:15:00"/>
        <d v="2025-08-15T10:57:00"/>
        <d v="2025-05-18T14:13:00"/>
        <d v="2025-11-06T22:02:00"/>
        <d v="2025-02-15T06:24:00"/>
        <d v="2025-08-15T07:12:00"/>
        <d v="2025-07-28T16:32:00"/>
        <d v="2025-09-22T12:45:00"/>
        <d v="2025-01-29T17:35:00"/>
        <d v="2025-03-23T02:14:00"/>
        <d v="2025-06-09T17:17:00"/>
        <d v="2025-07-26T04:37:00"/>
        <d v="2025-09-26T19:24:00"/>
        <d v="2025-01-15T05:55:00"/>
        <d v="2025-04-09T06:51:00"/>
        <d v="2025-01-30T08:30:00"/>
        <d v="2025-01-17T15:34:00"/>
        <d v="2025-01-26T12:18:00"/>
        <d v="2025-12-27T06:47:00"/>
        <d v="2025-05-21T12:34:00"/>
        <d v="2025-08-26T17:14:00"/>
        <d v="2025-07-23T21:41:00"/>
        <d v="2025-03-05T23:15:00"/>
        <d v="2025-01-16T08:15:00"/>
        <d v="2025-07-10T16:41:00"/>
        <d v="2025-11-01T15:13:00"/>
        <d v="2025-04-01T16:11:00"/>
        <d v="2025-10-28T18:49:00"/>
        <d v="2025-06-29T11:45:00"/>
        <d v="2025-03-25T08:49:00"/>
        <d v="2025-12-19T03:05:00"/>
        <d v="2025-05-26T00:56:00"/>
        <d v="2025-07-17T01:41:00"/>
        <d v="2025-03-25T19:31:00"/>
        <d v="2025-04-20T07:33:00"/>
        <d v="2025-11-28T07:41:00"/>
        <d v="2025-12-13T07:03:00"/>
        <d v="2025-05-18T22:14:00"/>
        <d v="2025-07-29T17:31:00"/>
        <d v="2025-01-11T23:17:00"/>
        <d v="2025-01-05T16:10:00"/>
        <d v="2025-03-09T22:05:00"/>
        <d v="2025-03-30T20:31:00"/>
        <d v="2025-01-05T07:38:00"/>
        <d v="2025-05-10T20:45:00"/>
        <d v="2025-06-06T21:56:00"/>
        <d v="2025-05-21T14:27:00"/>
        <d v="2025-07-12T11:54:00"/>
        <d v="2025-08-24T08:36:00"/>
        <d v="2025-04-22T15:55:00"/>
        <d v="2025-06-04T23:06:00"/>
        <d v="2025-09-24T21:17:00"/>
        <d v="2025-07-23T19:57:00"/>
        <d v="2025-02-22T00:15:00"/>
        <d v="2025-09-19T22:36:00"/>
        <d v="2025-07-11T19:09:00"/>
        <d v="2025-11-28T20:16:00"/>
        <d v="2025-11-08T09:38:00"/>
        <d v="2025-06-02T23:21:00"/>
        <d v="2025-02-25T16:26:00"/>
        <d v="2025-02-02T11:28:00"/>
        <d v="2025-05-22T21:51:00"/>
        <d v="2025-06-16T09:27:00"/>
        <d v="2025-05-14T22:23:00"/>
        <d v="2025-11-30T10:11:00"/>
        <d v="2025-04-07T05:07:00"/>
        <d v="2025-09-22T08:12:00"/>
        <d v="2025-01-30T20:28:00"/>
        <d v="2025-07-26T22:32:00"/>
        <d v="2025-06-13T23:14:00"/>
        <d v="2025-03-13T00:52:00"/>
        <d v="2025-12-02T16:58:00"/>
        <d v="2025-06-01T08:51:00"/>
        <d v="2025-08-03T13:48:00"/>
        <d v="2025-07-18T01:12:00"/>
        <d v="2025-10-26T19:31:00"/>
        <d v="2025-04-08T11:42:00"/>
        <d v="2025-04-24T23:25:00"/>
        <d v="2025-10-01T21:47:00"/>
        <d v="2025-09-01T22:55:00"/>
        <d v="2025-07-03T17:18:00"/>
        <d v="2025-06-03T05:48:00"/>
        <d v="2025-12-03T19:03:00"/>
        <d v="2025-04-03T10:01:00"/>
        <d v="2025-02-19T16:04:00"/>
        <d v="2025-03-07T08:49:00"/>
        <d v="2025-10-14T06:14:00"/>
        <d v="2025-12-15T11:27:00"/>
        <d v="2025-12-02T03:02:00"/>
        <d v="2025-04-24T12:07:00"/>
        <d v="2025-04-25T10:28:00"/>
        <d v="2025-08-04T11:18:00"/>
        <d v="2025-07-10T08:53:00"/>
        <d v="2025-10-27T10:02:00"/>
        <d v="2025-08-26T04:01:00"/>
        <d v="2025-08-29T01:49:00"/>
        <d v="2025-11-21T19:55:00"/>
        <d v="2025-10-25T21:11:00"/>
        <d v="2025-02-06T16:07:00"/>
        <d v="2025-04-10T17:04:00"/>
        <d v="2025-03-03T23:14:00"/>
        <d v="2025-07-15T18:05:00"/>
        <d v="2025-06-02T14:06:00"/>
        <d v="2025-01-28T05:08:00"/>
        <d v="2025-03-12T06:50:00"/>
        <d v="2025-06-25T13:58:00"/>
        <d v="2025-10-19T15:37:00"/>
        <d v="2025-03-15T10:47:00"/>
        <d v="2025-04-03T02:45:00"/>
        <d v="2025-09-07T11:21:00"/>
        <d v="2025-11-20T06:02:00"/>
        <d v="2025-06-10T21:39:00"/>
        <d v="2025-01-30T00:09:00"/>
        <d v="2025-08-20T09:20:00"/>
        <d v="2025-04-18T05:45:00"/>
        <d v="2025-10-23T05:24:00"/>
        <d v="2025-09-08T03:00:00"/>
        <d v="2025-03-08T20:58:00"/>
        <d v="2025-08-11T21:37:00"/>
        <d v="2025-08-08T13:46:00"/>
        <d v="2025-08-08T16:17:00"/>
        <d v="2025-07-16T00:09:00"/>
        <d v="2025-01-20T18:13:00"/>
        <d v="2025-04-13T12:44:00"/>
        <d v="2025-01-08T10:59:00"/>
        <d v="2025-09-29T06:30:00"/>
        <d v="2025-01-10T23:05:00"/>
        <d v="2025-01-03T21:23:00"/>
        <d v="2025-05-08T07:43:00"/>
        <d v="2025-12-22T11:45:00"/>
        <d v="2025-06-09T04:24:00"/>
        <d v="2025-02-22T13:05:00"/>
        <d v="2025-09-15T20:05:00"/>
        <d v="2025-06-06T05:42:00"/>
        <d v="2025-02-03T01:33:00"/>
        <d v="2025-06-02T09:55:00"/>
        <d v="2025-08-22T17:45:00"/>
        <d v="2025-11-02T17:53:00"/>
        <d v="2025-06-22T14:48:00"/>
        <d v="2025-12-18T04:34:00"/>
        <d v="2025-06-25T16:43:00"/>
        <d v="2025-07-03T06:25:00"/>
        <d v="2025-03-26T13:46:00"/>
        <d v="2025-01-10T07:47:00"/>
        <d v="2025-04-25T04:28:00"/>
        <d v="2025-04-19T00:44:00"/>
        <d v="2025-10-29T17:13:00"/>
        <d v="2025-03-28T04:12:00"/>
        <d v="2025-07-07T22:12:00"/>
        <d v="2025-01-20T12:48:00"/>
        <d v="2025-11-24T08:43:00"/>
        <d v="2025-10-01T21:16:00"/>
        <d v="2025-01-25T20:16:00"/>
        <d v="2025-01-25T22:35:00"/>
        <d v="2025-02-25T22:18:00"/>
        <d v="2025-01-11T01:38:00"/>
        <d v="2025-12-20T03:57:00"/>
        <d v="2025-08-02T15:09:00"/>
        <d v="2025-07-14T04:13:00"/>
        <d v="2025-10-08T08:37:00"/>
        <d v="2025-08-31T23:57:00"/>
        <d v="2025-03-20T07:00:00"/>
        <d v="2025-12-22T23:24:00"/>
        <d v="2025-11-19T00:19:00"/>
        <d v="2025-06-04T14:21:00"/>
        <d v="2025-12-05T03:26:00"/>
        <d v="2025-12-06T17:45:00"/>
        <d v="2025-05-19T21:15:00"/>
        <d v="2025-11-07T23:55:00"/>
        <d v="2025-03-12T14:17:00"/>
        <d v="2025-02-23T17:27:00"/>
        <d v="2025-11-13T04:01:00"/>
        <d v="2025-05-25T03:53:00"/>
        <d v="2025-02-24T16:59:00"/>
        <d v="2025-04-12T20:47:00"/>
        <d v="2025-04-13T08:58:00"/>
        <d v="2025-09-25T06:53:00"/>
        <d v="2025-07-04T00:00:00"/>
        <d v="2025-07-29T10:04:00"/>
        <d v="2025-03-24T01:20:00"/>
        <d v="2025-10-08T16:56:00"/>
        <d v="2025-04-17T23:29:00"/>
        <d v="2025-09-04T11:17:00"/>
        <d v="2025-05-01T00:05:00"/>
        <d v="2025-01-07T22:55:00"/>
        <d v="2025-02-15T03:46:00"/>
        <d v="2025-10-21T22:50:00"/>
        <d v="2025-09-10T05:05:00"/>
        <d v="2025-02-16T17:27:00"/>
        <d v="2025-02-08T03:27:00"/>
        <d v="2025-05-12T21:59:00"/>
        <d v="2025-04-29T15:35:00"/>
        <d v="2025-06-01T09:00:00"/>
        <d v="2025-08-26T01:42:00"/>
        <d v="2025-02-21T05:57:00"/>
        <d v="2025-01-21T09:55:00"/>
        <d v="2025-07-04T23:06:00"/>
        <d v="2025-06-10T14:32:00"/>
        <d v="2025-03-01T03:14:00"/>
        <d v="2025-01-24T00:19:00"/>
        <d v="2025-03-12T22:38:00"/>
        <d v="2025-11-28T05:49:00"/>
        <d v="2025-06-18T12:12:00"/>
        <d v="2025-08-13T21:13:00"/>
        <d v="2025-05-18T03:10:00"/>
        <d v="2025-07-10T11:41:00"/>
        <d v="2025-04-04T03:53:00"/>
        <d v="2025-07-25T13:39:00"/>
        <d v="2025-08-22T09:16:00"/>
        <d v="2025-07-17T23:32:00"/>
        <d v="2025-09-02T14:23:00"/>
        <d v="2025-11-29T05:41:00"/>
        <d v="2025-02-27T04:31:00"/>
        <d v="2025-12-23T02:00:00"/>
        <d v="2025-03-23T03:32:00"/>
        <d v="2025-08-02T20:09:00"/>
        <d v="2025-09-05T19:25:00"/>
        <d v="2025-12-14T14:57:00"/>
        <d v="2025-04-03T20:51:00"/>
        <d v="2025-07-14T12:14:00"/>
        <d v="2025-11-10T00:59:00"/>
        <d v="2025-12-17T04:27:00"/>
        <d v="2025-09-05T16:39:00"/>
        <d v="2025-02-27T14:02:00"/>
        <d v="2025-08-14T01:34:00"/>
        <d v="2025-02-02T08:55:00"/>
        <d v="2025-12-02T10:43:00"/>
        <d v="2025-01-07T23:08:00"/>
        <d v="2025-09-26T19:40:00"/>
        <d v="2025-10-17T07:38:00"/>
        <d v="2025-12-09T11:32:00"/>
        <d v="2025-09-23T17:51:00"/>
        <d v="2025-12-19T23:54:00"/>
        <d v="2025-11-13T03:15:00"/>
        <d v="2025-08-10T22:35:00"/>
        <d v="2025-05-08T16:26:00"/>
        <d v="2025-06-27T22:39:00"/>
        <d v="2025-12-13T21:53:00"/>
        <d v="2025-07-17T05:04:00"/>
        <d v="2025-10-13T20:55:00"/>
        <d v="2025-01-28T00:23:00"/>
        <d v="2025-11-26T05:21:00"/>
        <d v="2025-09-16T16:01:00"/>
        <d v="2025-09-11T05:38:00"/>
        <d v="2025-02-08T16:46:00"/>
        <d v="2025-06-14T08:13:00"/>
        <d v="2025-06-19T09:29:00"/>
        <d v="2025-01-26T17:18:00"/>
        <d v="2025-04-25T18:47:00"/>
        <d v="2025-11-26T12:55:00"/>
        <d v="2025-07-26T08:01:00"/>
        <d v="2025-02-10T15:40:00"/>
        <d v="2025-08-16T19:33:00"/>
        <d v="2025-08-18T03:00:00"/>
        <d v="2025-09-13T15:15:00"/>
        <d v="2025-06-11T04:03:00"/>
        <d v="2025-09-12T22:18:00"/>
        <d v="2025-01-10T03:30:00"/>
        <d v="2025-07-26T14:04:00"/>
        <d v="2025-01-19T19:01:00"/>
        <d v="2025-10-09T00:00:00"/>
        <d v="2025-02-16T20:37:00"/>
        <d v="2025-11-13T21:45:00"/>
        <d v="2025-06-05T17:21:00"/>
        <d v="2025-10-15T07:03:00"/>
        <d v="2025-12-02T22:55:00"/>
        <d v="2025-08-22T11:38:00"/>
        <d v="2025-07-06T01:51:00"/>
        <d v="2025-04-25T15:30:00"/>
        <d v="2025-06-19T19:07:00"/>
        <d v="2025-11-14T20:28:00"/>
        <d v="2025-08-31T22:25:00"/>
        <d v="2025-07-06T15:26:00"/>
        <d v="2025-02-28T03:19:00"/>
        <d v="2025-12-04T07:34:00"/>
        <d v="2025-01-02T11:39:00"/>
        <d v="2025-07-01T21:37:00"/>
        <d v="2025-05-30T18:41:00"/>
        <d v="2025-09-25T12:45:00"/>
        <d v="2025-12-26T03:37:00"/>
        <d v="2025-01-24T05:36:00"/>
        <d v="2025-09-10T04:47:00"/>
        <d v="2025-07-29T03:39:00"/>
        <d v="2025-05-11T20:51:00"/>
        <d v="2025-04-11T06:24:00"/>
        <d v="2025-03-03T13:24:00"/>
        <d v="2025-04-21T15:36:00"/>
        <d v="2025-04-08T11:32:00"/>
        <d v="2025-02-25T14:08:00"/>
        <d v="2025-01-24T21:36:00"/>
        <d v="2025-12-11T20:05:00"/>
        <d v="2025-03-05T15:22:00"/>
        <d v="2025-08-23T22:28:00"/>
        <d v="2025-10-29T17:12:00"/>
        <d v="2025-03-10T17:01:00"/>
        <d v="2025-01-03T18:06:00"/>
        <d v="2025-01-25T18:53:00"/>
        <d v="2025-08-10T19:58:00"/>
        <d v="2025-09-05T17:21:00"/>
        <d v="2025-04-01T23:36:00"/>
        <d v="2025-10-24T05:55:00"/>
        <d v="2025-03-07T03:32:00"/>
        <d v="2025-07-18T22:26:00"/>
        <d v="2025-11-04T20:41:00"/>
        <d v="2025-06-14T17:12:00"/>
        <d v="2025-07-16T14:17:00"/>
        <d v="2025-11-08T23:38:00"/>
        <d v="2025-05-08T09:20:00"/>
        <d v="2025-07-23T11:42:00"/>
        <d v="2025-05-31T15:27:00"/>
        <d v="2025-03-10T04:42:00"/>
        <d v="2025-07-31T20:33:00"/>
        <d v="2025-12-25T17:29:00"/>
        <d v="2025-06-03T23:56:00"/>
        <d v="2025-10-08T10:42:00"/>
        <d v="2025-10-11T21:35:00"/>
        <d v="2025-04-22T06:51:00"/>
        <d v="2025-04-18T21:18:00"/>
        <d v="2025-05-29T23:26:00"/>
        <d v="2025-06-26T22:57:00"/>
        <d v="2025-04-02T17:11:00"/>
        <d v="2025-10-05T23:41:00"/>
        <d v="2025-11-23T11:00:00"/>
        <d v="2025-03-01T12:01:00"/>
        <d v="2025-10-15T16:23:00"/>
        <d v="2025-10-26T19:28:00"/>
        <d v="2025-12-08T14:14:00"/>
        <d v="2025-12-12T18:13:00"/>
        <d v="2025-05-27T14:25:00"/>
        <d v="2025-01-07T17:50:00"/>
        <d v="2025-02-24T00:51:00"/>
        <d v="2025-07-15T04:57:00"/>
        <d v="2025-01-28T22:52:00"/>
        <d v="2025-01-29T06:49:00"/>
        <d v="2025-05-17T05:29:00"/>
        <d v="2025-05-27T23:19:00"/>
        <d v="2025-05-09T04:59:00"/>
        <d v="2025-02-01T23:34:00"/>
        <d v="2025-06-01T06:57:00"/>
        <d v="2025-10-05T01:06:00"/>
        <d v="2025-07-03T15:26:00"/>
        <d v="2025-02-22T21:01:00"/>
        <d v="2025-12-12T19:10:00"/>
        <d v="2025-04-25T22:05:00"/>
        <d v="2025-10-15T13:16:00"/>
        <d v="2025-05-02T17:26:00"/>
        <d v="2025-12-23T09:49:00"/>
        <d v="2025-12-21T22:40:00"/>
        <d v="2025-01-25T13:01:00"/>
        <d v="2025-07-18T14:13:00"/>
        <d v="2025-12-17T10:40:00"/>
        <d v="2025-10-10T01:50:00"/>
        <d v="2025-01-07T08:34:00"/>
        <d v="2025-04-14T21:10:00"/>
        <d v="2025-08-15T07:41:00"/>
        <d v="2025-11-21T22:06:00"/>
        <d v="2025-07-08T20:05:00"/>
        <d v="2025-10-07T20:35:00"/>
        <d v="2025-04-11T06:36:00"/>
        <d v="2025-05-31T15:19:00"/>
        <d v="2025-04-01T23:18:00"/>
        <d v="2025-02-08T06:22:00"/>
        <d v="2025-03-30T17:32:00"/>
        <d v="2025-03-03T12:52:00"/>
        <d v="2025-01-21T14:37:00"/>
        <d v="2025-05-23T18:59:00"/>
        <d v="2025-05-16T04:26:00"/>
        <d v="2025-03-24T19:56:00"/>
        <d v="2025-05-11T00:11:00"/>
        <d v="2025-06-19T15:55:00"/>
        <d v="2025-03-21T01:21:00"/>
        <d v="2025-03-20T11:00:00"/>
        <d v="2025-11-02T01:44:00"/>
        <d v="2025-11-17T21:00:00"/>
        <d v="2025-12-05T10:16:00"/>
        <d v="2025-09-09T19:32:00"/>
        <d v="2025-10-09T12:13:00"/>
        <d v="2025-02-07T10:50:00"/>
        <d v="2025-09-27T07:30:00"/>
        <d v="2025-04-05T17:46:00"/>
        <d v="2025-02-04T17:14:00"/>
        <d v="2025-03-23T14:11:00"/>
        <d v="2025-10-06T18:19:00"/>
        <d v="2025-07-26T03:08:00"/>
        <d v="2025-06-28T07:33:00"/>
        <d v="2025-04-20T22:38:00"/>
        <d v="2025-06-19T11:18:00"/>
        <d v="2025-07-04T10:01:00"/>
        <d v="2025-04-22T21:06:00"/>
        <d v="2025-09-29T16:12:00"/>
        <d v="2025-10-15T22:09:00"/>
        <d v="2025-01-05T03:54:00"/>
        <d v="2025-12-09T11:48:00"/>
        <d v="2025-08-17T08:12:00"/>
        <d v="2025-11-25T20:56:00"/>
        <d v="2025-11-15T08:19:00"/>
        <d v="2025-01-21T23:17:00"/>
        <d v="2025-06-14T13:01:00"/>
        <d v="2025-02-28T13:10:00"/>
        <d v="2025-05-12T18:26:00"/>
        <d v="2025-05-25T00:50:00"/>
        <d v="2025-09-22T12:47:00"/>
        <d v="2025-09-21T17:21:00"/>
        <d v="2025-08-17T16:36:00"/>
        <d v="2025-01-23T10:07:00"/>
        <d v="2025-11-30T06:34:00"/>
        <d v="2025-06-14T17:32:00"/>
        <d v="2025-02-12T03:16:00"/>
        <d v="2025-03-27T18:21:00"/>
        <d v="2025-10-01T00:15:00"/>
        <d v="2025-11-17T02:14:00"/>
        <d v="2025-04-18T22:52:00"/>
        <d v="2025-11-19T07:16:00"/>
        <d v="2025-12-17T14:28:00"/>
        <d v="2025-02-23T07:01:00"/>
        <d v="2025-10-03T23:59:00"/>
        <d v="2025-08-11T22:04:00"/>
        <d v="2025-02-06T23:25:00"/>
        <d v="2025-03-20T00:48:00"/>
        <d v="2025-08-24T11:19:00"/>
        <d v="2025-01-20T02:59:00"/>
        <d v="2025-02-07T01:51:00"/>
        <d v="2025-04-02T08:35:00"/>
        <d v="2025-10-13T02:24:00"/>
        <d v="2025-10-22T07:46:00"/>
        <d v="2025-05-13T13:54:00"/>
        <d v="2025-07-18T15:23:00"/>
        <d v="2025-11-19T13:48:00"/>
        <d v="2025-08-10T10:47:00"/>
        <d v="2025-01-09T13:17:00"/>
        <d v="2025-12-11T04:02:00"/>
        <d v="2025-10-01T00:12:00"/>
        <d v="2025-11-25T21:06:00"/>
        <d v="2025-02-02T19:59:00"/>
        <d v="2025-01-24T23:55:00"/>
        <d v="2025-02-07T12:12:00"/>
        <d v="2025-09-15T03:37:00"/>
        <d v="2025-05-29T23:24:00"/>
        <d v="2025-06-04T20:42:00"/>
        <d v="2025-02-14T09:36:00"/>
        <d v="2025-08-13T13:01:00"/>
        <d v="2025-07-22T22:33:00"/>
        <d v="2025-01-16T16:10:00"/>
        <d v="2025-03-22T18:12:00"/>
        <d v="2025-04-23T04:39:00"/>
        <d v="2025-07-20T18:37:00"/>
        <d v="2025-06-01T21:38:00"/>
        <d v="2025-03-15T10:10:00"/>
        <d v="2025-12-13T22:06:00"/>
        <d v="2025-07-11T00:22:00"/>
        <d v="2025-10-11T18:56:00"/>
        <d v="2025-03-14T04:12:00"/>
        <d v="2025-01-22T00:10:00"/>
        <d v="2025-10-21T20:21:00"/>
        <d v="2025-07-21T18:20:00"/>
        <d v="2025-10-08T02:54:00"/>
        <d v="2025-06-06T07:10:00"/>
        <d v="2025-06-26T07:13:00"/>
        <d v="2025-07-31T22:02:00"/>
        <d v="2025-09-20T04:51:00"/>
        <d v="2025-03-24T06:16:00"/>
        <d v="2025-04-24T21:03:00"/>
        <d v="2025-05-10T06:37:00"/>
        <d v="2025-02-28T06:11:00"/>
        <d v="2025-12-10T19:21:00"/>
        <d v="2025-01-28T18:44:00"/>
        <d v="2025-08-25T22:00:00"/>
        <d v="2025-10-09T02:29:00"/>
        <d v="2025-05-29T22:55:00"/>
        <d v="2025-02-04T08:33:00"/>
        <d v="2025-02-20T06:44:00"/>
        <d v="2025-10-25T16:37:00"/>
        <d v="2025-06-19T12:11:00"/>
        <d v="2025-03-07T22:54:00"/>
        <d v="2025-12-02T08:00:00"/>
        <d v="2025-02-21T09:43:00"/>
        <d v="2025-11-14T02:22:00"/>
        <d v="2025-04-10T10:50:00"/>
        <d v="2025-09-06T15:22:00"/>
        <d v="2025-06-18T21:02:00"/>
        <d v="2025-12-04T10:26:00"/>
        <d v="2025-12-22T19:56:00"/>
        <d v="2025-03-20T19:18:00"/>
        <d v="2025-10-18T12:26:00"/>
        <d v="2025-06-11T14:37:00"/>
        <d v="2025-03-28T00:09:00"/>
        <d v="2025-06-10T08:24:00"/>
        <d v="2025-04-24T21:52:00"/>
        <d v="2025-08-12T09:26:00"/>
        <d v="2025-07-04T04:35:00"/>
        <d v="2025-12-14T11:19:00"/>
        <d v="2025-09-03T15:47:00"/>
        <d v="2025-08-17T12:14:00"/>
        <d v="2025-06-06T16:37:00"/>
        <d v="2025-10-10T03:42:00"/>
        <d v="2025-03-31T22:02:00"/>
        <d v="2025-11-07T02:47:00"/>
        <d v="2025-05-24T04:46:00"/>
        <d v="2025-10-03T06:42:00"/>
        <d v="2025-05-15T21:23:00"/>
        <d v="2025-02-09T02:34:00"/>
        <d v="2025-01-10T17:18:00"/>
        <d v="2025-11-20T01:03:00"/>
        <d v="2025-10-25T19:45:00"/>
        <d v="2025-07-27T20:08:00"/>
        <d v="2025-04-19T01:15:00"/>
        <d v="2025-10-10T08:53:00"/>
        <d v="2025-10-06T18:25:00"/>
        <d v="2025-08-30T22:19:00"/>
        <d v="2025-03-18T12:29:00"/>
        <d v="2025-07-20T07:37:00"/>
        <d v="2025-10-29T09:55:00"/>
        <d v="2025-03-10T15:51:00"/>
        <d v="2025-09-14T17:25:00"/>
        <d v="2025-02-16T13:32:00"/>
        <d v="2025-07-06T17:08:00"/>
        <d v="2025-01-06T22:37:00"/>
        <d v="2025-05-03T20:57:00"/>
        <d v="2025-12-17T05:39:00"/>
        <d v="2025-09-21T04:47:00"/>
        <d v="2025-08-17T05:26:00"/>
        <d v="2025-04-02T19:19:00"/>
        <d v="2025-10-17T22:30:00"/>
        <d v="2025-03-16T16:30:00"/>
        <d v="2025-07-03T01:22:00"/>
        <d v="2025-04-23T16:38:00"/>
        <d v="2025-04-29T02:08:00"/>
        <d v="2025-05-16T12:36:00"/>
        <d v="2025-04-30T01:27:00"/>
        <d v="2025-12-09T07:03:00"/>
        <d v="2025-09-23T12:19:00"/>
        <d v="2025-07-18T16:01:00"/>
        <d v="2025-08-21T01:35:00"/>
        <d v="2025-01-21T22:08:00"/>
        <d v="2025-06-15T03:31:00"/>
        <d v="2025-12-27T17:47:00"/>
        <d v="2025-11-21T09:20:00"/>
        <d v="2025-05-15T19:45:00"/>
        <d v="2025-10-06T19:27:00"/>
        <d v="2025-03-31T12:51:00"/>
        <d v="2025-12-01T12:55:00"/>
        <d v="2025-07-07T20:03:00"/>
        <d v="2025-12-01T02:39:00"/>
        <d v="2025-09-22T08:35:00"/>
      </sharedItems>
      <fieldGroup par="14"/>
    </cacheField>
    <cacheField name="Payment_Method" numFmtId="0">
      <sharedItems count="5">
        <s v="Digital_Wallet"/>
        <s v="Credit_Card"/>
        <s v="Crypto_Proxy"/>
        <s v="Stolen_Card_Sim"/>
        <s v="Bank_Transfer"/>
      </sharedItems>
    </cacheField>
    <cacheField name="Order_Country" numFmtId="0">
      <sharedItems count="7">
        <s v="Canada"/>
        <s v="United Kingdom"/>
        <s v="United States"/>
        <s v="Unknown Blacklisted Zone"/>
        <s v="France"/>
        <s v="High-Risk Country Proxy"/>
        <s v="Germany"/>
      </sharedItems>
    </cacheField>
    <cacheField name="Device_Used" numFmtId="0">
      <sharedItems count="5">
        <s v="Mobile_App"/>
        <s v="Mobile_Web"/>
        <s v="Desktop"/>
        <s v="Mobile_Emulator"/>
        <s v="Bot_Server"/>
      </sharedItems>
    </cacheField>
    <cacheField name="Raw_Status" numFmtId="0">
      <sharedItems/>
    </cacheField>
    <cacheField name="Clean_Status" numFmtId="0">
      <sharedItems count="6">
        <s v="delivered"/>
        <s v="SHIPPED"/>
        <s v="PENDING_REVIEW"/>
        <s v="cancelled"/>
        <s v="REFUNDED"/>
        <s v="disputed"/>
      </sharedItems>
    </cacheField>
    <cacheField name="Product_Name" numFmtId="0">
      <sharedItems/>
    </cacheField>
    <cacheField name="Category" numFmtId="0">
      <sharedItems count="5">
        <s v="Electronics"/>
        <s v="Apparel"/>
        <s v="Digital Services"/>
        <s v="Home Goods"/>
        <s v="Luxury Goods"/>
      </sharedItems>
    </cacheField>
    <cacheField name="Unit_Price" numFmtId="0">
      <sharedItems containsSemiMixedTypes="0" containsString="0" containsNumber="1" minValue="5.91" maxValue="2336.6799999999998"/>
    </cacheField>
    <cacheField name="Total_Revenue" numFmtId="0">
      <sharedItems containsSemiMixedTypes="0" containsString="0" containsNumber="1" minValue="5.91" maxValue="11683.4" count="477">
        <n v="60.02"/>
        <n v="33.53"/>
        <n v="141.34"/>
        <n v="13.87"/>
        <n v="46.92"/>
        <n v="127.16"/>
        <n v="232.52"/>
        <n v="13.96"/>
        <n v="92.33"/>
        <n v="1040.5999999999999"/>
        <n v="4390.1499999999996"/>
        <n v="167.8"/>
        <n v="99.18"/>
        <n v="7963.68"/>
        <n v="10.97"/>
        <n v="168.56"/>
        <n v="584.94999999999993"/>
        <n v="5900.44"/>
        <n v="809.75"/>
        <n v="75.400000000000006"/>
        <n v="22.87"/>
        <n v="58.13"/>
        <n v="574.54999999999995"/>
        <n v="69.680000000000007"/>
        <n v="204.37"/>
        <n v="164.06"/>
        <n v="878.03"/>
        <n v="109.58"/>
        <n v="47.23"/>
        <n v="852.47"/>
        <n v="34.840000000000003"/>
        <n v="149.08000000000001"/>
        <n v="162.44999999999999"/>
        <n v="41.55"/>
        <n v="29.55"/>
        <n v="260"/>
        <n v="1599.08"/>
        <n v="233.98"/>
        <n v="879.84"/>
        <n v="136.08000000000001"/>
        <n v="50.77"/>
        <n v="28.02"/>
        <n v="45.95"/>
        <n v="1096.3900000000001"/>
        <n v="18.87"/>
        <n v="55.84"/>
        <n v="505.45"/>
        <n v="7521.44"/>
        <n v="487.34999999999997"/>
        <n v="60.16"/>
        <n v="114.16"/>
        <n v="5359.52"/>
        <n v="425.14"/>
        <n v="138.6"/>
        <n v="161.94999999999999"/>
        <n v="30.18"/>
        <n v="169.86"/>
        <n v="368.74"/>
        <n v="6440"/>
        <n v="184.66"/>
        <n v="20.48"/>
        <n v="767.78"/>
        <n v="21.11"/>
        <n v="877.75"/>
        <n v="212.2"/>
        <n v="1475.11"/>
        <n v="290.65000000000003"/>
        <n v="7224.6"/>
        <n v="46.94"/>
        <n v="6961.4"/>
        <n v="188.09"/>
        <n v="106.9"/>
        <n v="186.13"/>
        <n v="45.24"/>
        <n v="323.89999999999998"/>
        <n v="176.6"/>
        <n v="57.989999999999995"/>
        <n v="70.23"/>
        <n v="62.86"/>
        <n v="36.130000000000003"/>
        <n v="624.36"/>
        <n v="150.80000000000001"/>
        <n v="68.040000000000006"/>
        <n v="29.36"/>
        <n v="63.42"/>
        <n v="54.85"/>
        <n v="465.57"/>
        <n v="19.329999999999998"/>
        <n v="42.54"/>
        <n v="30.08"/>
        <n v="80.59"/>
        <n v="1263.28"/>
        <n v="337.12"/>
        <n v="149.5"/>
        <n v="184.18"/>
        <n v="82.57"/>
        <n v="60.39"/>
        <n v="285.55"/>
        <n v="53.05"/>
        <n v="4495.8499999999995"/>
        <n v="447.24"/>
        <n v="47.44"/>
        <n v="1339.88"/>
        <n v="225.78"/>
        <n v="172.32"/>
        <n v="69.489999999999995"/>
        <n v="187.9"/>
        <n v="72.260000000000005"/>
        <n v="45.31"/>
        <n v="232.7"/>
        <n v="55.69"/>
        <n v="77.150000000000006"/>
        <n v="155.19"/>
        <n v="84.01"/>
        <n v="189.26"/>
        <n v="209.14999999999998"/>
        <n v="22.44"/>
        <n v="450.25"/>
        <n v="3202.75"/>
        <n v="311.60000000000002"/>
        <n v="141.91"/>
        <n v="101.54"/>
        <n v="19.46"/>
        <n v="175.55"/>
        <n v="534.5"/>
        <n v="775.95"/>
        <n v="5.91"/>
        <n v="111.18"/>
        <n v="9401.7999999999993"/>
        <n v="2562.1999999999998"/>
        <n v="184.37"/>
        <n v="44.15"/>
        <n v="188.92"/>
        <n v="647.79999999999995"/>
        <n v="5481.9500000000007"/>
        <n v="3688"/>
        <n v="378.52"/>
        <n v="29.9"/>
        <n v="151.38"/>
        <n v="168.25"/>
        <n v="93.39"/>
        <n v="565.36"/>
        <n v="229.76"/>
        <n v="33.46"/>
        <n v="41.83"/>
        <n v="204.12"/>
        <n v="189.1"/>
        <n v="85.89"/>
        <n v="887.8"/>
        <n v="570.79999999999995"/>
        <n v="79.23"/>
        <n v="16.73"/>
        <n v="179.22"/>
        <n v="5496.4"/>
        <n v="146.80000000000001"/>
        <n v="15.08"/>
        <n v="180.65"/>
        <n v="252.03000000000003"/>
        <n v="130"/>
        <n v="3874.08"/>
        <n v="228.44"/>
        <n v="75.45"/>
        <n v="7500.96"/>
        <n v="7375.5499999999993"/>
        <n v="2336.6799999999998"/>
        <n v="75.69"/>
        <n v="147.26"/>
        <n v="85.08"/>
        <n v="37.74"/>
        <n v="91.18"/>
        <n v="83.9"/>
        <n v="221.95"/>
        <n v="85.78"/>
        <n v="193.86"/>
        <n v="67.06"/>
        <n v="204.7"/>
        <n v="143.15"/>
        <n v="57.44"/>
        <n v="93.84"/>
        <n v="364.72"/>
        <n v="119.6"/>
        <n v="339.72"/>
        <n v="180.1"/>
        <n v="8846.5"/>
        <n v="387.39"/>
        <n v="381.48"/>
        <n v="38.92"/>
        <n v="48.650000000000006"/>
        <n v="94.55"/>
        <n v="283.82"/>
        <n v="377"/>
        <n v="369.32"/>
        <n v="301.95"/>
        <n v="128.58000000000001"/>
        <n v="2423.4"/>
        <n v="377.25"/>
        <n v="322.36"/>
        <n v="21.27"/>
        <n v="9954.6"/>
        <n v="186.78"/>
        <n v="154.19999999999999"/>
        <n v="6227.65"/>
        <n v="2950.4"/>
        <n v="92.76"/>
        <n v="1245.53"/>
        <n v="40.94"/>
        <n v="112.89"/>
        <n v="1610"/>
        <n v="412.84999999999997"/>
        <n v="64.290000000000006"/>
        <n v="105.55"/>
        <n v="96.93"/>
        <n v="262.89999999999998"/>
        <n v="11.22"/>
        <n v="83.1"/>
        <n v="3838.8999999999996"/>
        <n v="257.16000000000003"/>
        <n v="46.33"/>
        <n v="706.7"/>
        <n v="504.75"/>
        <n v="402.95000000000005"/>
        <n v="124.64"/>
        <n v="6509.6"/>
        <n v="842.8"/>
        <n v="6396.32"/>
        <n v="121.52"/>
        <n v="752.36"/>
        <n v="106.1"/>
        <n v="99.82"/>
        <n v="58.39"/>
        <n v="222.76"/>
        <n v="328.74"/>
        <n v="4262.3500000000004"/>
        <n v="3512.12"/>
        <n v="1579.1"/>
        <n v="93.08"/>
        <n v="81.61"/>
        <n v="139.36000000000001"/>
        <n v="269.34999999999997"/>
        <n v="219.96"/>
        <n v="277.95000000000005"/>
        <n v="564.45000000000005"/>
        <n v="62.32"/>
        <n v="117.44"/>
        <n v="348.40000000000003"/>
        <n v="125.72"/>
        <n v="152.31"/>
        <n v="433.29"/>
        <n v="39.880000000000003"/>
        <n v="129.13"/>
        <n v="9030.75"/>
        <n v="114.91"/>
        <n v="1875.24"/>
        <n v="123.36"/>
        <n v="484.68"/>
        <n v="7077.2"/>
        <n v="359.33"/>
        <n v="11683.4"/>
        <n v="19.940000000000001"/>
        <n v="532.26"/>
        <n v="220.75"/>
        <n v="5207.68"/>
        <n v="115.95"/>
        <n v="106.35"/>
        <n v="90.05"/>
        <n v="1374.1"/>
        <n v="409.78"/>
        <n v="460.45000000000005"/>
        <n v="280.92"/>
        <n v="8050"/>
        <n v="324.89999999999998"/>
        <n v="44.88"/>
        <n v="649.79999999999995"/>
        <n v="116.99"/>
        <n v="107.74"/>
        <n v="3071.12"/>
        <n v="96.649999999999991"/>
        <n v="204.52"/>
        <n v="410.48"/>
        <n v="46.38"/>
        <n v="21.94"/>
        <n v="94.350000000000009"/>
        <n v="968.52"/>
        <n v="182.36"/>
        <n v="375.8"/>
        <n v="114.88"/>
        <n v="9.73"/>
        <n v="181.17000000000002"/>
        <n v="30.84"/>
        <n v="374.48"/>
        <n v="9346.7199999999993"/>
        <n v="28.63"/>
        <n v="244.82999999999998"/>
        <n v="679.44"/>
        <n v="438.32"/>
        <n v="83.66"/>
        <n v="1109.75"/>
        <n v="30.38"/>
        <n v="57.11"/>
        <n v="640.54999999999995"/>
        <n v="416.24"/>
        <n v="812.25"/>
        <n v="41.61"/>
        <n v="53.87"/>
        <n v="899.17"/>
        <n v="83.65"/>
        <n v="744.52"/>
        <n v="737.6"/>
        <n v="114.35000000000001"/>
        <n v="177.42"/>
        <n v="204.89"/>
        <n v="4982.12"/>
        <n v="198.36"/>
        <n v="229.82"/>
        <n v="116.26"/>
        <n v="150.39999999999998"/>
        <n v="320.70000000000005"/>
        <n v="335.6"/>
        <n v="468.1"/>
        <n v="102.4"/>
        <n v="372.26"/>
        <n v="817.48"/>
        <n v="55.59"/>
        <n v="42.22"/>
        <n v="213.8"/>
        <n v="428.9"/>
        <n v="2125.6999999999998"/>
        <n v="144.43"/>
        <n v="69.349999999999994"/>
        <n v="315.82"/>
        <n v="930.65"/>
        <n v="131.44999999999999"/>
        <n v="520"/>
        <n v="226.55"/>
        <n v="336.04"/>
        <n v="189.76"/>
        <n v="161.18"/>
        <n v="3596.68"/>
        <n v="208.12"/>
        <n v="558.39"/>
        <n v="336.5"/>
        <n v="1880.36"/>
        <n v="328.12"/>
        <n v="376.18"/>
        <n v="134.64000000000001"/>
        <n v="567.64"/>
        <n v="179.52"/>
        <n v="1806.15"/>
        <n v="508.64"/>
        <n v="1740.35"/>
        <n v="92.52"/>
        <n v="92.09"/>
        <n v="27.74"/>
        <n v="408.74"/>
        <n v="92.66"/>
        <n v="7995.4"/>
        <n v="849.30000000000007"/>
        <n v="466.95"/>
        <n v="272.16000000000003"/>
        <n v="526.65000000000009"/>
        <n v="163.22"/>
        <n v="1938.72"/>
        <n v="258.26"/>
        <n v="645.65"/>
        <n v="58.72"/>
        <n v="93.88"/>
        <n v="120.72"/>
        <n v="420.05"/>
        <n v="485.84999999999997"/>
        <n v="1437.32"/>
        <n v="511.3"/>
        <n v="1769.3"/>
        <n v="1990.92"/>
        <n v="88.3"/>
        <n v="408.05"/>
        <n v="251.44"/>
        <n v="253.68"/>
        <n v="751.6"/>
        <n v="93.62"/>
        <n v="187.76"/>
        <n v="8701.75"/>
        <n v="171.56"/>
        <n v="310.38"/>
        <n v="254.32"/>
        <n v="484.65000000000003"/>
        <n v="140.46"/>
        <n v="91.9"/>
        <n v="930.8"/>
        <n v="23.64"/>
        <n v="112.08"/>
        <n v="841.25"/>
        <n v="547.9"/>
        <n v="89.76"/>
        <n v="372.32"/>
        <n v="94.88"/>
        <n v="282.68"/>
        <n v="187.24"/>
        <n v="56.04"/>
        <n v="620.76"/>
        <n v="1700.56"/>
        <n v="167.65"/>
        <n v="150.9"/>
        <n v="160.97"/>
        <n v="6870.5"/>
        <n v="4842.6000000000004"/>
        <n v="187.68"/>
        <n v="577.72"/>
        <n v="317.10000000000002"/>
        <n v="459.52"/>
        <n v="351.1"/>
        <n v="896.1"/>
        <n v="77.319999999999993"/>
        <n v="358.44"/>
        <n v="120.04"/>
        <n v="657.25"/>
        <n v="385.75"/>
        <n v="226.20000000000002"/>
        <n v="427.6"/>
        <n v="219.16"/>
        <n v="183.8"/>
        <n v="280.86"/>
        <n v="186.16"/>
        <n v="343.12"/>
        <n v="757.04"/>
        <n v="278.72000000000003"/>
        <n v="2021.8"/>
        <n v="804.85"/>
        <n v="61.68"/>
        <n v="9376.2000000000007"/>
        <n v="399.28"/>
        <n v="291.95"/>
        <n v="709.68"/>
        <n v="265.25"/>
        <n v="241.56"/>
        <n v="2527.25"/>
        <n v="340.20000000000005"/>
        <n v="3409.88"/>
        <n v="277.95999999999998"/>
        <n v="140.1"/>
        <n v="283.64999999999998"/>
        <n v="939.5"/>
        <n v="294.52"/>
        <n v="820.3"/>
        <n v="921.85"/>
        <n v="574.4"/>
        <n v="23.19"/>
        <n v="736.3"/>
        <n v="99.7"/>
        <n v="199.64"/>
        <n v="887.09999999999991"/>
        <n v="60.32"/>
        <n v="819.56"/>
        <n v="55.48"/>
        <n v="4385.5600000000004"/>
        <n v="27.92"/>
        <n v="516.52"/>
        <n v="154.30000000000001"/>
        <n v="1301.92"/>
        <n v="443.9"/>
        <n v="116.78"/>
        <n v="201.8"/>
        <n v="90.48"/>
        <n v="222.36"/>
        <n v="465.4"/>
        <n v="326.44"/>
        <n v="60.36"/>
        <n v="396.72"/>
        <n v="656.24"/>
        <n v="126.84"/>
        <n v="451.56"/>
        <n v="167.32"/>
        <n v="224.4"/>
        <n v="186.96"/>
        <n v="163.76"/>
        <n v="297.54000000000002"/>
        <n v="589.04"/>
        <n v="120.78"/>
      </sharedItems>
    </cacheField>
    <cacheField name="Months (Order_Timestamp)" numFmtId="0" databaseField="0">
      <fieldGroup base="4">
        <rangePr groupBy="months" startDate="2025-01-01T07:17:00" endDate="2025-12-27T17:47:00"/>
        <groupItems count="14">
          <s v="&lt;01-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973826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s v="PROD-ELEC-057"/>
    <n v="1"/>
    <x v="0"/>
    <x v="0"/>
    <x v="0"/>
    <x v="0"/>
    <s v="   delivered "/>
    <x v="0"/>
    <s v="Keyboard Model F57"/>
    <x v="0"/>
    <n v="60.02"/>
    <x v="0"/>
  </r>
  <r>
    <x v="1"/>
    <x v="1"/>
    <s v="PROD-APPA-137"/>
    <n v="1"/>
    <x v="1"/>
    <x v="1"/>
    <x v="1"/>
    <x v="0"/>
    <s v="   delivered "/>
    <x v="0"/>
    <s v="Sneakers Model H137"/>
    <x v="1"/>
    <n v="33.53"/>
    <x v="1"/>
  </r>
  <r>
    <x v="2"/>
    <x v="2"/>
    <s v="PROD-ELEC-078"/>
    <n v="1"/>
    <x v="2"/>
    <x v="0"/>
    <x v="1"/>
    <x v="1"/>
    <s v="   delivered "/>
    <x v="0"/>
    <s v="Mouse Model A78"/>
    <x v="0"/>
    <n v="141.34"/>
    <x v="2"/>
  </r>
  <r>
    <x v="3"/>
    <x v="3"/>
    <s v="PROD-DIGI-053"/>
    <n v="1"/>
    <x v="3"/>
    <x v="1"/>
    <x v="1"/>
    <x v="1"/>
    <s v="   delivered "/>
    <x v="0"/>
    <s v="Premium Stream 1M Model B53"/>
    <x v="2"/>
    <n v="13.87"/>
    <x v="3"/>
  </r>
  <r>
    <x v="4"/>
    <x v="4"/>
    <s v="PROD-DIGI-131"/>
    <n v="1"/>
    <x v="4"/>
    <x v="1"/>
    <x v="2"/>
    <x v="0"/>
    <s v="SHIPPED  "/>
    <x v="1"/>
    <s v="VPN 6-Month Pass Model B131"/>
    <x v="2"/>
    <n v="46.92"/>
    <x v="4"/>
  </r>
  <r>
    <x v="5"/>
    <x v="5"/>
    <s v="PROD-HOME-074"/>
    <n v="1"/>
    <x v="5"/>
    <x v="0"/>
    <x v="2"/>
    <x v="1"/>
    <s v="SHIPPED  "/>
    <x v="1"/>
    <s v="Blender Model W74"/>
    <x v="3"/>
    <n v="127.16"/>
    <x v="5"/>
  </r>
  <r>
    <x v="6"/>
    <x v="6"/>
    <s v="PROD-DIGI-073"/>
    <n v="4"/>
    <x v="6"/>
    <x v="2"/>
    <x v="3"/>
    <x v="2"/>
    <s v="PENDING_REVIEW"/>
    <x v="2"/>
    <s v="VPN 6-Month Pass Model V73"/>
    <x v="2"/>
    <n v="58.13"/>
    <x v="6"/>
  </r>
  <r>
    <x v="7"/>
    <x v="7"/>
    <s v="PROD-APPA-091"/>
    <n v="1"/>
    <x v="7"/>
    <x v="1"/>
    <x v="4"/>
    <x v="0"/>
    <s v="   delivered "/>
    <x v="0"/>
    <s v="Jacket Model N91"/>
    <x v="1"/>
    <n v="13.96"/>
    <x v="7"/>
  </r>
  <r>
    <x v="8"/>
    <x v="8"/>
    <s v="PROD-DIGI-076"/>
    <n v="1"/>
    <x v="8"/>
    <x v="1"/>
    <x v="5"/>
    <x v="3"/>
    <s v="PENDING_REVIEW"/>
    <x v="2"/>
    <s v="E-Book Access Model Y76"/>
    <x v="2"/>
    <n v="92.33"/>
    <x v="8"/>
  </r>
  <r>
    <x v="9"/>
    <x v="9"/>
    <s v="PROD-ELEC-021"/>
    <n v="5"/>
    <x v="9"/>
    <x v="1"/>
    <x v="3"/>
    <x v="4"/>
    <s v=" cancelled"/>
    <x v="3"/>
    <s v="Keyboard Model V21"/>
    <x v="0"/>
    <n v="208.12"/>
    <x v="9"/>
  </r>
  <r>
    <x v="10"/>
    <x v="10"/>
    <s v="PROD-LUXU-025"/>
    <n v="5"/>
    <x v="10"/>
    <x v="2"/>
    <x v="4"/>
    <x v="3"/>
    <s v="PENDING_REVIEW"/>
    <x v="2"/>
    <s v="Silk Scarf Model Z25"/>
    <x v="4"/>
    <n v="878.03"/>
    <x v="10"/>
  </r>
  <r>
    <x v="11"/>
    <x v="11"/>
    <s v="PROD-ELEC-012"/>
    <n v="2"/>
    <x v="11"/>
    <x v="1"/>
    <x v="4"/>
    <x v="2"/>
    <s v="SHIPPED  "/>
    <x v="1"/>
    <s v="Cable Model M12"/>
    <x v="0"/>
    <n v="83.9"/>
    <x v="11"/>
  </r>
  <r>
    <x v="12"/>
    <x v="12"/>
    <s v="PROD-APPA-097"/>
    <n v="1"/>
    <x v="12"/>
    <x v="1"/>
    <x v="2"/>
    <x v="0"/>
    <s v="   delivered "/>
    <x v="0"/>
    <s v="Cap Model T97"/>
    <x v="1"/>
    <n v="99.18"/>
    <x v="12"/>
  </r>
  <r>
    <x v="13"/>
    <x v="13"/>
    <s v="PROD-LUXU-032"/>
    <n v="4"/>
    <x v="13"/>
    <x v="1"/>
    <x v="5"/>
    <x v="4"/>
    <s v=" cancelled"/>
    <x v="3"/>
    <s v="Premium Perfume Model G32"/>
    <x v="4"/>
    <n v="1990.92"/>
    <x v="13"/>
  </r>
  <r>
    <x v="14"/>
    <x v="14"/>
    <s v="PROD-DIGI-029"/>
    <n v="1"/>
    <x v="14"/>
    <x v="0"/>
    <x v="2"/>
    <x v="1"/>
    <s v="   delivered "/>
    <x v="0"/>
    <s v="VPN 6-Month Pass Model D29"/>
    <x v="2"/>
    <n v="10.97"/>
    <x v="14"/>
  </r>
  <r>
    <x v="15"/>
    <x v="15"/>
    <s v="PROD-ELEC-055"/>
    <n v="1"/>
    <x v="15"/>
    <x v="1"/>
    <x v="4"/>
    <x v="2"/>
    <s v="   delivered "/>
    <x v="0"/>
    <s v="Webcam Model D55"/>
    <x v="0"/>
    <n v="168.56"/>
    <x v="15"/>
  </r>
  <r>
    <x v="16"/>
    <x v="16"/>
    <s v="PROD-HOME-108"/>
    <n v="5"/>
    <x v="16"/>
    <x v="2"/>
    <x v="3"/>
    <x v="2"/>
    <s v=" cancelled"/>
    <x v="3"/>
    <s v="Mug Model E108"/>
    <x v="3"/>
    <n v="116.99"/>
    <x v="16"/>
  </r>
  <r>
    <x v="17"/>
    <x v="17"/>
    <s v="PROD-LUXU-018"/>
    <n v="4"/>
    <x v="17"/>
    <x v="2"/>
    <x v="0"/>
    <x v="4"/>
    <s v="REFUNDED "/>
    <x v="4"/>
    <s v="Leather Handbag Model S18"/>
    <x v="4"/>
    <n v="1475.11"/>
    <x v="17"/>
  </r>
  <r>
    <x v="18"/>
    <x v="18"/>
    <s v="PROD-ELEC-035"/>
    <n v="5"/>
    <x v="18"/>
    <x v="2"/>
    <x v="3"/>
    <x v="3"/>
    <s v=" cancelled"/>
    <x v="3"/>
    <s v="Smartwatch Model J35"/>
    <x v="0"/>
    <n v="161.94999999999999"/>
    <x v="18"/>
  </r>
  <r>
    <x v="19"/>
    <x v="19"/>
    <s v="PROD-APPA-122"/>
    <n v="5"/>
    <x v="19"/>
    <x v="2"/>
    <x v="3"/>
    <x v="2"/>
    <s v="REFUNDED "/>
    <x v="4"/>
    <s v="T-Shirt Model S122"/>
    <x v="1"/>
    <n v="15.08"/>
    <x v="19"/>
  </r>
  <r>
    <x v="20"/>
    <x v="20"/>
    <s v="PROD-DIGI-109"/>
    <n v="1"/>
    <x v="20"/>
    <x v="0"/>
    <x v="4"/>
    <x v="0"/>
    <s v="   delivered "/>
    <x v="0"/>
    <s v="VPN 6-Month Pass Model F109"/>
    <x v="2"/>
    <n v="22.87"/>
    <x v="20"/>
  </r>
  <r>
    <x v="21"/>
    <x v="21"/>
    <s v="PROD-DIGI-073"/>
    <n v="1"/>
    <x v="21"/>
    <x v="0"/>
    <x v="1"/>
    <x v="0"/>
    <s v="   delivered "/>
    <x v="0"/>
    <s v="VPN 6-Month Pass Model V73"/>
    <x v="2"/>
    <n v="58.13"/>
    <x v="21"/>
  </r>
  <r>
    <x v="22"/>
    <x v="22"/>
    <s v="PROD-APPA-072"/>
    <n v="1"/>
    <x v="22"/>
    <x v="1"/>
    <x v="0"/>
    <x v="0"/>
    <s v="   delivered "/>
    <x v="0"/>
    <s v="Jacket Model U72"/>
    <x v="1"/>
    <n v="75.400000000000006"/>
    <x v="19"/>
  </r>
  <r>
    <x v="23"/>
    <x v="23"/>
    <s v="PROD-LUXU-032"/>
    <n v="4"/>
    <x v="23"/>
    <x v="1"/>
    <x v="3"/>
    <x v="4"/>
    <s v="REFUNDED "/>
    <x v="4"/>
    <s v="Premium Perfume Model G32"/>
    <x v="4"/>
    <n v="1990.92"/>
    <x v="13"/>
  </r>
  <r>
    <x v="24"/>
    <x v="24"/>
    <s v="PROD-LUXU-025"/>
    <n v="5"/>
    <x v="24"/>
    <x v="0"/>
    <x v="4"/>
    <x v="2"/>
    <s v="REFUNDED "/>
    <x v="4"/>
    <s v="Silk Scarf Model Z25"/>
    <x v="4"/>
    <n v="878.03"/>
    <x v="10"/>
  </r>
  <r>
    <x v="25"/>
    <x v="18"/>
    <s v="PROD-ELEC-126"/>
    <n v="5"/>
    <x v="25"/>
    <x v="0"/>
    <x v="3"/>
    <x v="3"/>
    <s v=" disputed  "/>
    <x v="5"/>
    <s v="Smartwatch Model W126"/>
    <x v="0"/>
    <n v="114.91"/>
    <x v="22"/>
  </r>
  <r>
    <x v="26"/>
    <x v="25"/>
    <s v="PROD-ELEC-004"/>
    <n v="1"/>
    <x v="26"/>
    <x v="1"/>
    <x v="1"/>
    <x v="0"/>
    <s v="REFUNDED "/>
    <x v="4"/>
    <s v="Keyboard Model E4"/>
    <x v="0"/>
    <n v="69.680000000000007"/>
    <x v="23"/>
  </r>
  <r>
    <x v="27"/>
    <x v="26"/>
    <s v="PROD-ELEC-007"/>
    <n v="1"/>
    <x v="27"/>
    <x v="1"/>
    <x v="6"/>
    <x v="0"/>
    <s v="   delivered "/>
    <x v="0"/>
    <s v="Smartwatch Model H7"/>
    <x v="0"/>
    <n v="204.37"/>
    <x v="24"/>
  </r>
  <r>
    <x v="28"/>
    <x v="27"/>
    <s v="PROD-ELEC-087"/>
    <n v="1"/>
    <x v="28"/>
    <x v="2"/>
    <x v="3"/>
    <x v="4"/>
    <s v=" cancelled"/>
    <x v="3"/>
    <s v="Mouse Model J87"/>
    <x v="0"/>
    <n v="164.06"/>
    <x v="25"/>
  </r>
  <r>
    <x v="29"/>
    <x v="28"/>
    <s v="PROD-LUXU-025"/>
    <n v="1"/>
    <x v="29"/>
    <x v="0"/>
    <x v="5"/>
    <x v="3"/>
    <s v="PENDING_REVIEW"/>
    <x v="2"/>
    <s v="Silk Scarf Model Z25"/>
    <x v="4"/>
    <n v="878.03"/>
    <x v="26"/>
  </r>
  <r>
    <x v="30"/>
    <x v="29"/>
    <s v="PROD-HOME-095"/>
    <n v="1"/>
    <x v="30"/>
    <x v="1"/>
    <x v="6"/>
    <x v="0"/>
    <s v="   delivered "/>
    <x v="0"/>
    <s v="Organizer Model R95"/>
    <x v="3"/>
    <n v="109.58"/>
    <x v="27"/>
  </r>
  <r>
    <x v="31"/>
    <x v="26"/>
    <s v="PROD-DIGI-006"/>
    <n v="1"/>
    <x v="31"/>
    <x v="1"/>
    <x v="1"/>
    <x v="2"/>
    <s v="   delivered "/>
    <x v="0"/>
    <s v="Premium Stream 1M Model G6"/>
    <x v="2"/>
    <n v="47.23"/>
    <x v="28"/>
  </r>
  <r>
    <x v="32"/>
    <x v="30"/>
    <s v="PROD-LUXU-086"/>
    <n v="1"/>
    <x v="32"/>
    <x v="2"/>
    <x v="2"/>
    <x v="4"/>
    <s v="REFUNDED "/>
    <x v="4"/>
    <s v="Gold Bracelet Model I86"/>
    <x v="4"/>
    <n v="852.47"/>
    <x v="29"/>
  </r>
  <r>
    <x v="33"/>
    <x v="31"/>
    <s v="PROD-HOME-009"/>
    <n v="1"/>
    <x v="33"/>
    <x v="1"/>
    <x v="5"/>
    <x v="2"/>
    <s v=" disputed  "/>
    <x v="5"/>
    <s v="Coffee Maker Model J9"/>
    <x v="3"/>
    <n v="34.840000000000003"/>
    <x v="30"/>
  </r>
  <r>
    <x v="34"/>
    <x v="32"/>
    <s v="PROD-HOME-039"/>
    <n v="1"/>
    <x v="34"/>
    <x v="0"/>
    <x v="6"/>
    <x v="2"/>
    <s v="   delivered "/>
    <x v="0"/>
    <s v="Organizer Model N39"/>
    <x v="3"/>
    <n v="149.08000000000001"/>
    <x v="31"/>
  </r>
  <r>
    <x v="35"/>
    <x v="33"/>
    <s v="PROD-ELEC-028"/>
    <n v="1"/>
    <x v="35"/>
    <x v="1"/>
    <x v="6"/>
    <x v="0"/>
    <s v="   delivered "/>
    <x v="0"/>
    <s v="Keyboard Model C28"/>
    <x v="0"/>
    <n v="162.44999999999999"/>
    <x v="32"/>
  </r>
  <r>
    <x v="36"/>
    <x v="34"/>
    <s v="PROD-DIGI-144"/>
    <n v="1"/>
    <x v="36"/>
    <x v="1"/>
    <x v="2"/>
    <x v="2"/>
    <s v="SHIPPED  "/>
    <x v="1"/>
    <s v="Cloud Storage Basic Model O144"/>
    <x v="2"/>
    <n v="41.55"/>
    <x v="33"/>
  </r>
  <r>
    <x v="37"/>
    <x v="35"/>
    <s v="PROD-DIGI-090"/>
    <n v="5"/>
    <x v="37"/>
    <x v="2"/>
    <x v="3"/>
    <x v="3"/>
    <s v="REFUNDED "/>
    <x v="4"/>
    <s v="VPN 6-Month Pass Model M90"/>
    <x v="2"/>
    <n v="5.91"/>
    <x v="34"/>
  </r>
  <r>
    <x v="38"/>
    <x v="36"/>
    <s v="PROD-HOME-085"/>
    <n v="2"/>
    <x v="38"/>
    <x v="0"/>
    <x v="1"/>
    <x v="2"/>
    <s v="   delivered "/>
    <x v="0"/>
    <s v="Blender Model H85"/>
    <x v="3"/>
    <n v="130"/>
    <x v="35"/>
  </r>
  <r>
    <x v="39"/>
    <x v="37"/>
    <s v="PROD-LUXU-003"/>
    <n v="1"/>
    <x v="39"/>
    <x v="0"/>
    <x v="0"/>
    <x v="2"/>
    <s v=" disputed  "/>
    <x v="5"/>
    <s v="Designer Watch Model D3"/>
    <x v="4"/>
    <n v="1599.08"/>
    <x v="36"/>
  </r>
  <r>
    <x v="40"/>
    <x v="38"/>
    <s v="PROD-HOME-108"/>
    <n v="2"/>
    <x v="40"/>
    <x v="1"/>
    <x v="0"/>
    <x v="2"/>
    <s v="   delivered "/>
    <x v="0"/>
    <s v="Mug Model E108"/>
    <x v="3"/>
    <n v="116.99"/>
    <x v="37"/>
  </r>
  <r>
    <x v="41"/>
    <x v="39"/>
    <s v="PROD-ELEC-100"/>
    <n v="4"/>
    <x v="41"/>
    <x v="1"/>
    <x v="3"/>
    <x v="4"/>
    <s v="PENDING_REVIEW"/>
    <x v="2"/>
    <s v="Charger Model W100"/>
    <x v="0"/>
    <n v="219.96"/>
    <x v="38"/>
  </r>
  <r>
    <x v="42"/>
    <x v="40"/>
    <s v="PROD-APPA-043"/>
    <n v="2"/>
    <x v="42"/>
    <x v="0"/>
    <x v="4"/>
    <x v="0"/>
    <s v="SHIPPED  "/>
    <x v="1"/>
    <s v="Hoodie Model R43"/>
    <x v="1"/>
    <n v="68.040000000000006"/>
    <x v="39"/>
  </r>
  <r>
    <x v="43"/>
    <x v="41"/>
    <s v="PROD-HOME-013"/>
    <n v="1"/>
    <x v="43"/>
    <x v="1"/>
    <x v="1"/>
    <x v="2"/>
    <s v="   delivered "/>
    <x v="0"/>
    <s v="Desk Lamp Model N13"/>
    <x v="3"/>
    <n v="50.77"/>
    <x v="40"/>
  </r>
  <r>
    <x v="44"/>
    <x v="42"/>
    <s v="PROD-HOME-068"/>
    <n v="1"/>
    <x v="44"/>
    <x v="0"/>
    <x v="0"/>
    <x v="0"/>
    <s v="   delivered "/>
    <x v="0"/>
    <s v="Coffee Maker Model Q68"/>
    <x v="3"/>
    <n v="28.02"/>
    <x v="41"/>
  </r>
  <r>
    <x v="45"/>
    <x v="43"/>
    <s v="PROD-APPA-149"/>
    <n v="1"/>
    <x v="45"/>
    <x v="1"/>
    <x v="1"/>
    <x v="0"/>
    <s v=" cancelled"/>
    <x v="3"/>
    <s v="Socks Model T149"/>
    <x v="1"/>
    <n v="45.95"/>
    <x v="42"/>
  </r>
  <r>
    <x v="46"/>
    <x v="44"/>
    <s v="PROD-DIGI-131"/>
    <n v="1"/>
    <x v="46"/>
    <x v="2"/>
    <x v="5"/>
    <x v="3"/>
    <s v=" cancelled"/>
    <x v="3"/>
    <s v="VPN 6-Month Pass Model B131"/>
    <x v="2"/>
    <n v="46.92"/>
    <x v="4"/>
  </r>
  <r>
    <x v="47"/>
    <x v="8"/>
    <s v="PROD-LUXU-026"/>
    <n v="1"/>
    <x v="47"/>
    <x v="2"/>
    <x v="1"/>
    <x v="4"/>
    <s v="REFUNDED "/>
    <x v="4"/>
    <s v="Gold Bracelet Model A26"/>
    <x v="4"/>
    <n v="1096.3900000000001"/>
    <x v="43"/>
  </r>
  <r>
    <x v="48"/>
    <x v="45"/>
    <s v="PROD-DIGI-125"/>
    <n v="1"/>
    <x v="48"/>
    <x v="1"/>
    <x v="4"/>
    <x v="2"/>
    <s v="   delivered "/>
    <x v="0"/>
    <s v="Premium Stream 1M Model V125"/>
    <x v="2"/>
    <n v="18.87"/>
    <x v="44"/>
  </r>
  <r>
    <x v="49"/>
    <x v="46"/>
    <s v="PROD-APPA-091"/>
    <n v="4"/>
    <x v="49"/>
    <x v="3"/>
    <x v="3"/>
    <x v="2"/>
    <s v="REFUNDED "/>
    <x v="4"/>
    <s v="Jacket Model N91"/>
    <x v="1"/>
    <n v="13.96"/>
    <x v="45"/>
  </r>
  <r>
    <x v="50"/>
    <x v="47"/>
    <s v="PROD-LUXU-120"/>
    <n v="1"/>
    <x v="50"/>
    <x v="0"/>
    <x v="5"/>
    <x v="3"/>
    <s v=" cancelled"/>
    <x v="3"/>
    <s v="Premium Perfume Model Q120"/>
    <x v="4"/>
    <n v="505.45"/>
    <x v="46"/>
  </r>
  <r>
    <x v="51"/>
    <x v="48"/>
    <s v="PROD-LUXU-124"/>
    <n v="4"/>
    <x v="51"/>
    <x v="1"/>
    <x v="2"/>
    <x v="3"/>
    <s v="PENDING_REVIEW"/>
    <x v="2"/>
    <s v="Leather Handbag Model U124"/>
    <x v="4"/>
    <n v="1880.36"/>
    <x v="47"/>
  </r>
  <r>
    <x v="52"/>
    <x v="49"/>
    <s v="PROD-ELEC-028"/>
    <n v="3"/>
    <x v="52"/>
    <x v="1"/>
    <x v="2"/>
    <x v="2"/>
    <s v="   delivered "/>
    <x v="0"/>
    <s v="Keyboard Model C28"/>
    <x v="0"/>
    <n v="162.44999999999999"/>
    <x v="48"/>
  </r>
  <r>
    <x v="53"/>
    <x v="50"/>
    <s v="PROD-DIGI-099"/>
    <n v="2"/>
    <x v="53"/>
    <x v="1"/>
    <x v="0"/>
    <x v="1"/>
    <s v="   delivered "/>
    <x v="0"/>
    <s v="Premium Stream 1M Model V99"/>
    <x v="2"/>
    <n v="30.08"/>
    <x v="49"/>
  </r>
  <r>
    <x v="54"/>
    <x v="51"/>
    <s v="PROD-APPA-040"/>
    <n v="1"/>
    <x v="54"/>
    <x v="4"/>
    <x v="1"/>
    <x v="2"/>
    <s v="   delivered "/>
    <x v="0"/>
    <s v="Jacket Model O40"/>
    <x v="1"/>
    <n v="114.16"/>
    <x v="50"/>
  </r>
  <r>
    <x v="55"/>
    <x v="52"/>
    <s v="PROD-DIGI-109"/>
    <n v="1"/>
    <x v="55"/>
    <x v="1"/>
    <x v="0"/>
    <x v="2"/>
    <s v=" cancelled"/>
    <x v="3"/>
    <s v="VPN 6-Month Pass Model F109"/>
    <x v="2"/>
    <n v="22.87"/>
    <x v="20"/>
  </r>
  <r>
    <x v="56"/>
    <x v="53"/>
    <s v="PROD-LUXU-052"/>
    <n v="4"/>
    <x v="56"/>
    <x v="0"/>
    <x v="3"/>
    <x v="3"/>
    <s v="PENDING_REVIEW"/>
    <x v="2"/>
    <s v="Silk Scarf Model A52"/>
    <x v="4"/>
    <n v="1339.88"/>
    <x v="51"/>
  </r>
  <r>
    <x v="57"/>
    <x v="14"/>
    <s v="PROD-LUXU-069"/>
    <n v="1"/>
    <x v="57"/>
    <x v="2"/>
    <x v="1"/>
    <x v="4"/>
    <s v=" disputed  "/>
    <x v="5"/>
    <s v="Leather Handbag Model R69"/>
    <x v="4"/>
    <n v="425.14"/>
    <x v="52"/>
  </r>
  <r>
    <x v="58"/>
    <x v="54"/>
    <s v="PROD-HOME-089"/>
    <n v="1"/>
    <x v="58"/>
    <x v="0"/>
    <x v="4"/>
    <x v="2"/>
    <s v="   delivered "/>
    <x v="0"/>
    <s v="Blender Model L89"/>
    <x v="3"/>
    <n v="138.6"/>
    <x v="53"/>
  </r>
  <r>
    <x v="59"/>
    <x v="55"/>
    <s v="PROD-ELEC-035"/>
    <n v="1"/>
    <x v="59"/>
    <x v="1"/>
    <x v="3"/>
    <x v="2"/>
    <s v="REFUNDED "/>
    <x v="4"/>
    <s v="Smartwatch Model J35"/>
    <x v="0"/>
    <n v="161.94999999999999"/>
    <x v="54"/>
  </r>
  <r>
    <x v="60"/>
    <x v="56"/>
    <s v="PROD-APPA-058"/>
    <n v="1"/>
    <x v="60"/>
    <x v="1"/>
    <x v="4"/>
    <x v="0"/>
    <s v="PENDING_REVIEW"/>
    <x v="2"/>
    <s v="Socks Model G58"/>
    <x v="1"/>
    <n v="30.18"/>
    <x v="55"/>
  </r>
  <r>
    <x v="61"/>
    <x v="57"/>
    <s v="PROD-HOME-017"/>
    <n v="1"/>
    <x v="61"/>
    <x v="1"/>
    <x v="1"/>
    <x v="0"/>
    <s v="   delivered "/>
    <x v="0"/>
    <s v="Pillow Model R17"/>
    <x v="3"/>
    <n v="169.86"/>
    <x v="56"/>
  </r>
  <r>
    <x v="62"/>
    <x v="58"/>
    <s v="PROD-ELEC-031"/>
    <n v="2"/>
    <x v="62"/>
    <x v="0"/>
    <x v="4"/>
    <x v="2"/>
    <s v="   delivered "/>
    <x v="0"/>
    <s v="Webcam Model F31"/>
    <x v="0"/>
    <n v="184.37"/>
    <x v="57"/>
  </r>
  <r>
    <x v="63"/>
    <x v="59"/>
    <s v="PROD-LUXU-129"/>
    <n v="4"/>
    <x v="63"/>
    <x v="3"/>
    <x v="3"/>
    <x v="4"/>
    <s v=" disputed  "/>
    <x v="5"/>
    <s v="Silk Scarf Model Z129"/>
    <x v="4"/>
    <n v="1610"/>
    <x v="58"/>
  </r>
  <r>
    <x v="64"/>
    <x v="21"/>
    <s v="PROD-DIGI-076"/>
    <n v="2"/>
    <x v="64"/>
    <x v="1"/>
    <x v="4"/>
    <x v="0"/>
    <s v="   delivered "/>
    <x v="0"/>
    <s v="E-Book Access Model Y76"/>
    <x v="2"/>
    <n v="92.33"/>
    <x v="59"/>
  </r>
  <r>
    <x v="65"/>
    <x v="60"/>
    <s v="PROD-DIGI-063"/>
    <n v="1"/>
    <x v="65"/>
    <x v="4"/>
    <x v="0"/>
    <x v="1"/>
    <s v="   delivered "/>
    <x v="0"/>
    <s v="Cloud Storage Basic Model L63"/>
    <x v="2"/>
    <n v="20.48"/>
    <x v="60"/>
  </r>
  <r>
    <x v="66"/>
    <x v="61"/>
    <s v="PROD-LUXU-023"/>
    <n v="1"/>
    <x v="66"/>
    <x v="3"/>
    <x v="3"/>
    <x v="2"/>
    <s v=" cancelled"/>
    <x v="3"/>
    <s v="Premium Perfume Model X23"/>
    <x v="4"/>
    <n v="767.78"/>
    <x v="61"/>
  </r>
  <r>
    <x v="67"/>
    <x v="62"/>
    <s v="PROD-APPA-015"/>
    <n v="1"/>
    <x v="67"/>
    <x v="1"/>
    <x v="0"/>
    <x v="2"/>
    <s v="PENDING_REVIEW"/>
    <x v="2"/>
    <s v="Cap Model P15"/>
    <x v="1"/>
    <n v="21.11"/>
    <x v="62"/>
  </r>
  <r>
    <x v="68"/>
    <x v="63"/>
    <s v="PROD-APPA-072"/>
    <n v="1"/>
    <x v="68"/>
    <x v="1"/>
    <x v="0"/>
    <x v="0"/>
    <s v=" disputed  "/>
    <x v="5"/>
    <s v="Jacket Model U72"/>
    <x v="1"/>
    <n v="75.400000000000006"/>
    <x v="19"/>
  </r>
  <r>
    <x v="69"/>
    <x v="64"/>
    <s v="PROD-HOME-093"/>
    <n v="5"/>
    <x v="69"/>
    <x v="2"/>
    <x v="5"/>
    <x v="4"/>
    <s v=" cancelled"/>
    <x v="3"/>
    <s v="Organizer Model P93"/>
    <x v="3"/>
    <n v="175.55"/>
    <x v="63"/>
  </r>
  <r>
    <x v="70"/>
    <x v="65"/>
    <s v="PROD-DIGI-006"/>
    <n v="1"/>
    <x v="70"/>
    <x v="2"/>
    <x v="5"/>
    <x v="4"/>
    <s v="PENDING_REVIEW"/>
    <x v="2"/>
    <s v="Premium Stream 1M Model G6"/>
    <x v="2"/>
    <n v="47.23"/>
    <x v="28"/>
  </r>
  <r>
    <x v="71"/>
    <x v="66"/>
    <s v="PROD-DIGI-118"/>
    <n v="4"/>
    <x v="71"/>
    <x v="3"/>
    <x v="5"/>
    <x v="2"/>
    <s v="PENDING_REVIEW"/>
    <x v="2"/>
    <s v="Premium Stream 1M Model O118"/>
    <x v="2"/>
    <n v="53.05"/>
    <x v="64"/>
  </r>
  <r>
    <x v="72"/>
    <x v="35"/>
    <s v="PROD-DIGI-076"/>
    <n v="2"/>
    <x v="72"/>
    <x v="0"/>
    <x v="0"/>
    <x v="1"/>
    <s v=" cancelled"/>
    <x v="3"/>
    <s v="E-Book Access Model Y76"/>
    <x v="2"/>
    <n v="92.33"/>
    <x v="59"/>
  </r>
  <r>
    <x v="73"/>
    <x v="67"/>
    <s v="PROD-LUXU-018"/>
    <n v="1"/>
    <x v="73"/>
    <x v="1"/>
    <x v="2"/>
    <x v="4"/>
    <s v=" cancelled"/>
    <x v="3"/>
    <s v="Leather Handbag Model S18"/>
    <x v="4"/>
    <n v="1475.11"/>
    <x v="65"/>
  </r>
  <r>
    <x v="74"/>
    <x v="68"/>
    <s v="PROD-DIGI-073"/>
    <n v="5"/>
    <x v="74"/>
    <x v="1"/>
    <x v="3"/>
    <x v="4"/>
    <s v="REFUNDED "/>
    <x v="4"/>
    <s v="VPN 6-Month Pass Model V73"/>
    <x v="2"/>
    <n v="58.13"/>
    <x v="66"/>
  </r>
  <r>
    <x v="75"/>
    <x v="69"/>
    <s v="PROD-LUXU-020"/>
    <n v="4"/>
    <x v="75"/>
    <x v="2"/>
    <x v="5"/>
    <x v="4"/>
    <s v=" cancelled"/>
    <x v="3"/>
    <s v="Leather Handbag Model U20"/>
    <x v="4"/>
    <n v="1806.15"/>
    <x v="67"/>
  </r>
  <r>
    <x v="76"/>
    <x v="70"/>
    <s v="PROD-APPA-091"/>
    <n v="1"/>
    <x v="76"/>
    <x v="1"/>
    <x v="0"/>
    <x v="0"/>
    <s v="   delivered "/>
    <x v="0"/>
    <s v="Jacket Model N91"/>
    <x v="1"/>
    <n v="13.96"/>
    <x v="7"/>
  </r>
  <r>
    <x v="77"/>
    <x v="71"/>
    <s v="PROD-DIGI-125"/>
    <n v="1"/>
    <x v="77"/>
    <x v="0"/>
    <x v="0"/>
    <x v="2"/>
    <s v="   delivered "/>
    <x v="0"/>
    <s v="Premium Stream 1M Model V125"/>
    <x v="2"/>
    <n v="18.87"/>
    <x v="44"/>
  </r>
  <r>
    <x v="78"/>
    <x v="72"/>
    <s v="PROD-APPA-135"/>
    <n v="1"/>
    <x v="78"/>
    <x v="2"/>
    <x v="3"/>
    <x v="2"/>
    <s v="REFUNDED "/>
    <x v="4"/>
    <s v="Hoodie Model F135"/>
    <x v="1"/>
    <n v="46.94"/>
    <x v="68"/>
  </r>
  <r>
    <x v="79"/>
    <x v="73"/>
    <s v="PROD-LUXU-117"/>
    <n v="4"/>
    <x v="79"/>
    <x v="3"/>
    <x v="6"/>
    <x v="4"/>
    <s v="PENDING_REVIEW"/>
    <x v="2"/>
    <s v="Silk Scarf Model N117"/>
    <x v="4"/>
    <n v="1740.35"/>
    <x v="69"/>
  </r>
  <r>
    <x v="80"/>
    <x v="74"/>
    <s v="PROD-ELEC-098"/>
    <n v="1"/>
    <x v="80"/>
    <x v="0"/>
    <x v="4"/>
    <x v="0"/>
    <s v="   delivered "/>
    <x v="0"/>
    <s v="Keyboard Model U98"/>
    <x v="0"/>
    <n v="188.09"/>
    <x v="70"/>
  </r>
  <r>
    <x v="81"/>
    <x v="75"/>
    <s v="PROD-APPA-079"/>
    <n v="1"/>
    <x v="81"/>
    <x v="4"/>
    <x v="6"/>
    <x v="2"/>
    <s v="   delivered "/>
    <x v="0"/>
    <s v="Hoodie Model B79"/>
    <x v="1"/>
    <n v="106.9"/>
    <x v="71"/>
  </r>
  <r>
    <x v="82"/>
    <x v="76"/>
    <s v="PROD-ELEC-056"/>
    <n v="1"/>
    <x v="82"/>
    <x v="0"/>
    <x v="4"/>
    <x v="0"/>
    <s v=" disputed  "/>
    <x v="5"/>
    <s v="Charger Model E56"/>
    <x v="0"/>
    <n v="186.13"/>
    <x v="72"/>
  </r>
  <r>
    <x v="83"/>
    <x v="77"/>
    <s v="PROD-ELEC-007"/>
    <n v="1"/>
    <x v="83"/>
    <x v="0"/>
    <x v="3"/>
    <x v="2"/>
    <s v=" disputed  "/>
    <x v="5"/>
    <s v="Smartwatch Model H7"/>
    <x v="0"/>
    <n v="204.37"/>
    <x v="24"/>
  </r>
  <r>
    <x v="84"/>
    <x v="78"/>
    <s v="PROD-HOME-080"/>
    <n v="1"/>
    <x v="84"/>
    <x v="1"/>
    <x v="2"/>
    <x v="2"/>
    <s v="   delivered "/>
    <x v="0"/>
    <s v="Toaster Model C80"/>
    <x v="3"/>
    <n v="45.24"/>
    <x v="73"/>
  </r>
  <r>
    <x v="85"/>
    <x v="46"/>
    <s v="PROD-ELEC-035"/>
    <n v="2"/>
    <x v="85"/>
    <x v="1"/>
    <x v="0"/>
    <x v="2"/>
    <s v="   delivered "/>
    <x v="0"/>
    <s v="Smartwatch Model J35"/>
    <x v="0"/>
    <n v="161.94999999999999"/>
    <x v="74"/>
  </r>
  <r>
    <x v="86"/>
    <x v="79"/>
    <s v="PROD-APPA-121"/>
    <n v="4"/>
    <x v="86"/>
    <x v="2"/>
    <x v="3"/>
    <x v="3"/>
    <s v="REFUNDED "/>
    <x v="4"/>
    <s v="Sneakers Model R121"/>
    <x v="1"/>
    <n v="44.15"/>
    <x v="75"/>
  </r>
  <r>
    <x v="87"/>
    <x v="80"/>
    <s v="PROD-APPA-119"/>
    <n v="3"/>
    <x v="87"/>
    <x v="1"/>
    <x v="2"/>
    <x v="0"/>
    <s v="   delivered "/>
    <x v="0"/>
    <s v="Sneakers Model P119"/>
    <x v="1"/>
    <n v="19.329999999999998"/>
    <x v="76"/>
  </r>
  <r>
    <x v="88"/>
    <x v="81"/>
    <s v="PROD-APPA-058"/>
    <n v="1"/>
    <x v="88"/>
    <x v="1"/>
    <x v="0"/>
    <x v="1"/>
    <s v="   delivered "/>
    <x v="0"/>
    <s v="Socks Model G58"/>
    <x v="1"/>
    <n v="30.18"/>
    <x v="55"/>
  </r>
  <r>
    <x v="89"/>
    <x v="82"/>
    <s v="PROD-HOME-089"/>
    <n v="1"/>
    <x v="89"/>
    <x v="1"/>
    <x v="5"/>
    <x v="4"/>
    <s v="REFUNDED "/>
    <x v="4"/>
    <s v="Blender Model L89"/>
    <x v="3"/>
    <n v="138.6"/>
    <x v="53"/>
  </r>
  <r>
    <x v="90"/>
    <x v="83"/>
    <s v="PROD-HOME-112"/>
    <n v="1"/>
    <x v="90"/>
    <x v="1"/>
    <x v="4"/>
    <x v="0"/>
    <s v="   delivered "/>
    <x v="0"/>
    <s v="Desk Lamp Model I112"/>
    <x v="3"/>
    <n v="70.23"/>
    <x v="77"/>
  </r>
  <r>
    <x v="91"/>
    <x v="84"/>
    <s v="PROD-DIGI-115"/>
    <n v="1"/>
    <x v="91"/>
    <x v="1"/>
    <x v="1"/>
    <x v="0"/>
    <s v="   delivered "/>
    <x v="0"/>
    <s v="Premium Stream 1M Model L115"/>
    <x v="2"/>
    <n v="62.86"/>
    <x v="78"/>
  </r>
  <r>
    <x v="92"/>
    <x v="85"/>
    <s v="PROD-DIGI-105"/>
    <n v="1"/>
    <x v="92"/>
    <x v="0"/>
    <x v="2"/>
    <x v="1"/>
    <s v=" cancelled"/>
    <x v="3"/>
    <s v="VPN 6-Month Pass Model B105"/>
    <x v="2"/>
    <n v="36.130000000000003"/>
    <x v="79"/>
  </r>
  <r>
    <x v="93"/>
    <x v="86"/>
    <s v="PROD-APPA-015"/>
    <n v="1"/>
    <x v="93"/>
    <x v="1"/>
    <x v="6"/>
    <x v="0"/>
    <s v="   delivered "/>
    <x v="0"/>
    <s v="Cap Model P15"/>
    <x v="1"/>
    <n v="21.11"/>
    <x v="62"/>
  </r>
  <r>
    <x v="94"/>
    <x v="87"/>
    <s v="PROD-ELEC-021"/>
    <n v="3"/>
    <x v="94"/>
    <x v="0"/>
    <x v="1"/>
    <x v="0"/>
    <s v="   delivered "/>
    <x v="0"/>
    <s v="Keyboard Model V21"/>
    <x v="0"/>
    <n v="208.12"/>
    <x v="80"/>
  </r>
  <r>
    <x v="95"/>
    <x v="49"/>
    <s v="PROD-APPA-072"/>
    <n v="2"/>
    <x v="95"/>
    <x v="1"/>
    <x v="4"/>
    <x v="0"/>
    <s v="   delivered "/>
    <x v="0"/>
    <s v="Jacket Model U72"/>
    <x v="1"/>
    <n v="75.400000000000006"/>
    <x v="81"/>
  </r>
  <r>
    <x v="96"/>
    <x v="81"/>
    <s v="PROD-ELEC-035"/>
    <n v="5"/>
    <x v="96"/>
    <x v="3"/>
    <x v="3"/>
    <x v="2"/>
    <s v="REFUNDED "/>
    <x v="4"/>
    <s v="Smartwatch Model J35"/>
    <x v="0"/>
    <n v="161.94999999999999"/>
    <x v="18"/>
  </r>
  <r>
    <x v="97"/>
    <x v="86"/>
    <s v="PROD-LUXU-129"/>
    <n v="4"/>
    <x v="97"/>
    <x v="1"/>
    <x v="4"/>
    <x v="3"/>
    <s v="REFUNDED "/>
    <x v="4"/>
    <s v="Silk Scarf Model Z129"/>
    <x v="4"/>
    <n v="1610"/>
    <x v="58"/>
  </r>
  <r>
    <x v="98"/>
    <x v="88"/>
    <s v="PROD-APPA-043"/>
    <n v="1"/>
    <x v="98"/>
    <x v="1"/>
    <x v="6"/>
    <x v="2"/>
    <s v="   delivered "/>
    <x v="0"/>
    <s v="Hoodie Model R43"/>
    <x v="1"/>
    <n v="68.040000000000006"/>
    <x v="82"/>
  </r>
  <r>
    <x v="99"/>
    <x v="89"/>
    <s v="PROD-DIGI-132"/>
    <n v="1"/>
    <x v="99"/>
    <x v="0"/>
    <x v="2"/>
    <x v="0"/>
    <s v="   delivered "/>
    <x v="0"/>
    <s v="Software License Tier A Model C132"/>
    <x v="2"/>
    <n v="29.36"/>
    <x v="83"/>
  </r>
  <r>
    <x v="100"/>
    <x v="90"/>
    <s v="PROD-APPA-062"/>
    <n v="1"/>
    <x v="100"/>
    <x v="1"/>
    <x v="4"/>
    <x v="1"/>
    <s v="SHIPPED  "/>
    <x v="1"/>
    <s v="Socks Model K62"/>
    <x v="1"/>
    <n v="63.42"/>
    <x v="84"/>
  </r>
  <r>
    <x v="101"/>
    <x v="91"/>
    <s v="PROD-DIGI-029"/>
    <n v="5"/>
    <x v="101"/>
    <x v="2"/>
    <x v="5"/>
    <x v="4"/>
    <s v="REFUNDED "/>
    <x v="4"/>
    <s v="VPN 6-Month Pass Model D29"/>
    <x v="2"/>
    <n v="10.97"/>
    <x v="85"/>
  </r>
  <r>
    <x v="102"/>
    <x v="92"/>
    <s v="PROD-ELEC-107"/>
    <n v="3"/>
    <x v="102"/>
    <x v="0"/>
    <x v="2"/>
    <x v="2"/>
    <s v="   delivered "/>
    <x v="0"/>
    <s v="Mouse Model D107"/>
    <x v="0"/>
    <n v="155.19"/>
    <x v="86"/>
  </r>
  <r>
    <x v="103"/>
    <x v="93"/>
    <s v="PROD-APPA-119"/>
    <n v="1"/>
    <x v="103"/>
    <x v="0"/>
    <x v="1"/>
    <x v="2"/>
    <s v="   delivered "/>
    <x v="0"/>
    <s v="Sneakers Model P119"/>
    <x v="1"/>
    <n v="19.329999999999998"/>
    <x v="87"/>
  </r>
  <r>
    <x v="104"/>
    <x v="94"/>
    <s v="PROD-ELEC-087"/>
    <n v="1"/>
    <x v="104"/>
    <x v="1"/>
    <x v="5"/>
    <x v="2"/>
    <s v=" disputed  "/>
    <x v="5"/>
    <s v="Mouse Model J87"/>
    <x v="0"/>
    <n v="164.06"/>
    <x v="25"/>
  </r>
  <r>
    <x v="105"/>
    <x v="95"/>
    <s v="PROD-LUXU-018"/>
    <n v="1"/>
    <x v="105"/>
    <x v="0"/>
    <x v="4"/>
    <x v="3"/>
    <s v=" cancelled"/>
    <x v="3"/>
    <s v="Leather Handbag Model S18"/>
    <x v="4"/>
    <n v="1475.11"/>
    <x v="65"/>
  </r>
  <r>
    <x v="106"/>
    <x v="35"/>
    <s v="PROD-APPA-002"/>
    <n v="2"/>
    <x v="106"/>
    <x v="0"/>
    <x v="0"/>
    <x v="0"/>
    <s v="   delivered "/>
    <x v="0"/>
    <s v="Sneakers Model C2"/>
    <x v="1"/>
    <n v="21.27"/>
    <x v="88"/>
  </r>
  <r>
    <x v="107"/>
    <x v="96"/>
    <s v="PROD-DIGI-099"/>
    <n v="1"/>
    <x v="107"/>
    <x v="1"/>
    <x v="2"/>
    <x v="0"/>
    <s v="   delivered "/>
    <x v="0"/>
    <s v="Premium Stream 1M Model V99"/>
    <x v="2"/>
    <n v="30.08"/>
    <x v="89"/>
  </r>
  <r>
    <x v="108"/>
    <x v="97"/>
    <s v="PROD-ELEC-104"/>
    <n v="1"/>
    <x v="108"/>
    <x v="1"/>
    <x v="0"/>
    <x v="1"/>
    <s v="PENDING_REVIEW"/>
    <x v="2"/>
    <s v="Smartwatch Model A104"/>
    <x v="0"/>
    <n v="80.59"/>
    <x v="90"/>
  </r>
  <r>
    <x v="109"/>
    <x v="23"/>
    <s v="PROD-LUXU-048"/>
    <n v="4"/>
    <x v="109"/>
    <x v="1"/>
    <x v="6"/>
    <x v="4"/>
    <s v="PENDING_REVIEW"/>
    <x v="2"/>
    <s v="Leather Handbag Model W48"/>
    <x v="4"/>
    <n v="315.82"/>
    <x v="91"/>
  </r>
  <r>
    <x v="110"/>
    <x v="17"/>
    <s v="PROD-ELEC-055"/>
    <n v="2"/>
    <x v="110"/>
    <x v="1"/>
    <x v="0"/>
    <x v="0"/>
    <s v="   delivered "/>
    <x v="0"/>
    <s v="Webcam Model D55"/>
    <x v="0"/>
    <n v="168.56"/>
    <x v="92"/>
  </r>
  <r>
    <x v="111"/>
    <x v="98"/>
    <s v="PROD-DIGI-024"/>
    <n v="5"/>
    <x v="111"/>
    <x v="0"/>
    <x v="5"/>
    <x v="3"/>
    <s v="PENDING_REVIEW"/>
    <x v="2"/>
    <s v="Premium Stream 1M Model Y24"/>
    <x v="2"/>
    <n v="29.9"/>
    <x v="93"/>
  </r>
  <r>
    <x v="112"/>
    <x v="99"/>
    <s v="PROD-ELEC-098"/>
    <n v="1"/>
    <x v="112"/>
    <x v="1"/>
    <x v="0"/>
    <x v="2"/>
    <s v="   delivered "/>
    <x v="0"/>
    <s v="Keyboard Model U98"/>
    <x v="0"/>
    <n v="188.09"/>
    <x v="70"/>
  </r>
  <r>
    <x v="113"/>
    <x v="100"/>
    <s v="PROD-HOME-039"/>
    <n v="1"/>
    <x v="113"/>
    <x v="0"/>
    <x v="3"/>
    <x v="3"/>
    <s v="PENDING_REVIEW"/>
    <x v="2"/>
    <s v="Organizer Model N39"/>
    <x v="3"/>
    <n v="149.08000000000001"/>
    <x v="31"/>
  </r>
  <r>
    <x v="114"/>
    <x v="101"/>
    <s v="PROD-LUXU-129"/>
    <n v="4"/>
    <x v="114"/>
    <x v="0"/>
    <x v="2"/>
    <x v="2"/>
    <s v="REFUNDED "/>
    <x v="4"/>
    <s v="Silk Scarf Model Z129"/>
    <x v="4"/>
    <n v="1610"/>
    <x v="58"/>
  </r>
  <r>
    <x v="115"/>
    <x v="102"/>
    <s v="PROD-DIGI-064"/>
    <n v="2"/>
    <x v="115"/>
    <x v="0"/>
    <x v="2"/>
    <x v="2"/>
    <s v="PENDING_REVIEW"/>
    <x v="2"/>
    <s v="E-Book Access Model M64"/>
    <x v="2"/>
    <n v="92.09"/>
    <x v="94"/>
  </r>
  <r>
    <x v="116"/>
    <x v="103"/>
    <s v="PROD-ELEC-055"/>
    <n v="1"/>
    <x v="116"/>
    <x v="0"/>
    <x v="5"/>
    <x v="4"/>
    <s v=" cancelled"/>
    <x v="3"/>
    <s v="Webcam Model D55"/>
    <x v="0"/>
    <n v="168.56"/>
    <x v="15"/>
  </r>
  <r>
    <x v="117"/>
    <x v="104"/>
    <s v="PROD-APPA-042"/>
    <n v="1"/>
    <x v="117"/>
    <x v="1"/>
    <x v="2"/>
    <x v="2"/>
    <s v="   delivered "/>
    <x v="0"/>
    <s v="Jeans Model Q42"/>
    <x v="1"/>
    <n v="82.57"/>
    <x v="95"/>
  </r>
  <r>
    <x v="118"/>
    <x v="105"/>
    <s v="PROD-ELEC-103"/>
    <n v="1"/>
    <x v="118"/>
    <x v="0"/>
    <x v="2"/>
    <x v="1"/>
    <s v="   delivered "/>
    <x v="0"/>
    <s v="Webcam Model Z103"/>
    <x v="0"/>
    <n v="60.39"/>
    <x v="96"/>
  </r>
  <r>
    <x v="119"/>
    <x v="57"/>
    <s v="PROD-DIGI-114"/>
    <n v="5"/>
    <x v="119"/>
    <x v="1"/>
    <x v="5"/>
    <x v="2"/>
    <s v="REFUNDED "/>
    <x v="4"/>
    <s v="E-Book Access Model K114"/>
    <x v="2"/>
    <n v="57.11"/>
    <x v="97"/>
  </r>
  <r>
    <x v="120"/>
    <x v="96"/>
    <s v="PROD-APPA-062"/>
    <n v="1"/>
    <x v="120"/>
    <x v="0"/>
    <x v="4"/>
    <x v="2"/>
    <s v="   delivered "/>
    <x v="0"/>
    <s v="Socks Model K62"/>
    <x v="1"/>
    <n v="63.42"/>
    <x v="84"/>
  </r>
  <r>
    <x v="121"/>
    <x v="106"/>
    <s v="PROD-DIGI-118"/>
    <n v="1"/>
    <x v="121"/>
    <x v="1"/>
    <x v="0"/>
    <x v="0"/>
    <s v="   delivered "/>
    <x v="0"/>
    <s v="Premium Stream 1M Model O118"/>
    <x v="2"/>
    <n v="53.05"/>
    <x v="98"/>
  </r>
  <r>
    <x v="122"/>
    <x v="107"/>
    <s v="PROD-DIGI-073"/>
    <n v="1"/>
    <x v="122"/>
    <x v="1"/>
    <x v="4"/>
    <x v="0"/>
    <s v="   delivered "/>
    <x v="0"/>
    <s v="VPN 6-Month Pass Model V73"/>
    <x v="2"/>
    <n v="58.13"/>
    <x v="21"/>
  </r>
  <r>
    <x v="123"/>
    <x v="38"/>
    <s v="PROD-ELEC-056"/>
    <n v="1"/>
    <x v="123"/>
    <x v="2"/>
    <x v="3"/>
    <x v="2"/>
    <s v=" cancelled"/>
    <x v="3"/>
    <s v="Charger Model E56"/>
    <x v="0"/>
    <n v="186.13"/>
    <x v="72"/>
  </r>
  <r>
    <x v="124"/>
    <x v="108"/>
    <s v="PROD-LUXU-084"/>
    <n v="5"/>
    <x v="124"/>
    <x v="1"/>
    <x v="1"/>
    <x v="2"/>
    <s v=" cancelled"/>
    <x v="3"/>
    <s v="Leather Handbag Model G84"/>
    <x v="4"/>
    <n v="899.17"/>
    <x v="99"/>
  </r>
  <r>
    <x v="125"/>
    <x v="109"/>
    <s v="PROD-HOME-039"/>
    <n v="3"/>
    <x v="125"/>
    <x v="1"/>
    <x v="4"/>
    <x v="0"/>
    <s v="   delivered "/>
    <x v="0"/>
    <s v="Organizer Model N39"/>
    <x v="3"/>
    <n v="149.08000000000001"/>
    <x v="100"/>
  </r>
  <r>
    <x v="126"/>
    <x v="38"/>
    <s v="PROD-DIGI-046"/>
    <n v="1"/>
    <x v="126"/>
    <x v="3"/>
    <x v="3"/>
    <x v="2"/>
    <s v=" cancelled"/>
    <x v="3"/>
    <s v="VPN 6-Month Pass Model U46"/>
    <x v="2"/>
    <n v="47.44"/>
    <x v="101"/>
  </r>
  <r>
    <x v="127"/>
    <x v="110"/>
    <s v="PROD-LUXU-052"/>
    <n v="1"/>
    <x v="127"/>
    <x v="2"/>
    <x v="2"/>
    <x v="4"/>
    <s v=" disputed  "/>
    <x v="5"/>
    <s v="Silk Scarf Model A52"/>
    <x v="4"/>
    <n v="1339.88"/>
    <x v="102"/>
  </r>
  <r>
    <x v="128"/>
    <x v="111"/>
    <s v="PROD-HOME-106"/>
    <n v="2"/>
    <x v="128"/>
    <x v="1"/>
    <x v="2"/>
    <x v="0"/>
    <s v="   delivered "/>
    <x v="0"/>
    <s v="Blender Model C106"/>
    <x v="3"/>
    <n v="112.89"/>
    <x v="103"/>
  </r>
  <r>
    <x v="129"/>
    <x v="108"/>
    <s v="PROD-APPA-111"/>
    <n v="3"/>
    <x v="129"/>
    <x v="1"/>
    <x v="4"/>
    <x v="2"/>
    <s v="   delivered "/>
    <x v="0"/>
    <s v="Hoodie Model H111"/>
    <x v="1"/>
    <n v="57.44"/>
    <x v="104"/>
  </r>
  <r>
    <x v="130"/>
    <x v="112"/>
    <s v="PROD-LUXU-129"/>
    <n v="4"/>
    <x v="130"/>
    <x v="1"/>
    <x v="0"/>
    <x v="2"/>
    <s v=" cancelled"/>
    <x v="3"/>
    <s v="Silk Scarf Model Z129"/>
    <x v="4"/>
    <n v="1610"/>
    <x v="58"/>
  </r>
  <r>
    <x v="131"/>
    <x v="59"/>
    <s v="PROD-DIGI-099"/>
    <n v="1"/>
    <x v="131"/>
    <x v="3"/>
    <x v="3"/>
    <x v="2"/>
    <s v="PENDING_REVIEW"/>
    <x v="2"/>
    <s v="Premium Stream 1M Model V99"/>
    <x v="2"/>
    <n v="30.08"/>
    <x v="89"/>
  </r>
  <r>
    <x v="132"/>
    <x v="80"/>
    <s v="PROD-HOME-113"/>
    <n v="1"/>
    <x v="132"/>
    <x v="0"/>
    <x v="2"/>
    <x v="0"/>
    <s v="   delivered "/>
    <x v="0"/>
    <s v="Desk Lamp Model J113"/>
    <x v="3"/>
    <n v="69.489999999999995"/>
    <x v="105"/>
  </r>
  <r>
    <x v="133"/>
    <x v="113"/>
    <s v="PROD-ELEC-067"/>
    <n v="1"/>
    <x v="133"/>
    <x v="1"/>
    <x v="4"/>
    <x v="0"/>
    <s v="SHIPPED  "/>
    <x v="1"/>
    <s v="Cable Model P67"/>
    <x v="0"/>
    <n v="187.9"/>
    <x v="106"/>
  </r>
  <r>
    <x v="134"/>
    <x v="114"/>
    <s v="PROD-DIGI-105"/>
    <n v="2"/>
    <x v="134"/>
    <x v="0"/>
    <x v="2"/>
    <x v="2"/>
    <s v="   delivered "/>
    <x v="0"/>
    <s v="VPN 6-Month Pass Model B105"/>
    <x v="2"/>
    <n v="36.130000000000003"/>
    <x v="107"/>
  </r>
  <r>
    <x v="135"/>
    <x v="115"/>
    <s v="PROD-LUXU-025"/>
    <n v="1"/>
    <x v="135"/>
    <x v="1"/>
    <x v="1"/>
    <x v="3"/>
    <s v="PENDING_REVIEW"/>
    <x v="2"/>
    <s v="Silk Scarf Model Z25"/>
    <x v="4"/>
    <n v="878.03"/>
    <x v="26"/>
  </r>
  <r>
    <x v="136"/>
    <x v="116"/>
    <s v="PROD-HOME-033"/>
    <n v="1"/>
    <x v="136"/>
    <x v="1"/>
    <x v="2"/>
    <x v="2"/>
    <s v="   delivered "/>
    <x v="0"/>
    <s v="Mug Model H33"/>
    <x v="3"/>
    <n v="45.31"/>
    <x v="108"/>
  </r>
  <r>
    <x v="137"/>
    <x v="117"/>
    <s v="PROD-ELEC-061"/>
    <n v="1"/>
    <x v="137"/>
    <x v="0"/>
    <x v="6"/>
    <x v="2"/>
    <s v="REFUNDED "/>
    <x v="4"/>
    <s v="Mouse Model J61"/>
    <x v="0"/>
    <n v="232.7"/>
    <x v="109"/>
  </r>
  <r>
    <x v="138"/>
    <x v="118"/>
    <s v="PROD-DIGI-051"/>
    <n v="1"/>
    <x v="138"/>
    <x v="2"/>
    <x v="5"/>
    <x v="2"/>
    <s v=" disputed  "/>
    <x v="5"/>
    <s v="Premium Stream 1M Model Z51"/>
    <x v="2"/>
    <n v="55.69"/>
    <x v="110"/>
  </r>
  <r>
    <x v="139"/>
    <x v="119"/>
    <s v="PROD-ELEC-083"/>
    <n v="1"/>
    <x v="139"/>
    <x v="1"/>
    <x v="0"/>
    <x v="2"/>
    <s v="SHIPPED  "/>
    <x v="1"/>
    <s v="Keyboard Model F83"/>
    <x v="0"/>
    <n v="77.150000000000006"/>
    <x v="111"/>
  </r>
  <r>
    <x v="140"/>
    <x v="120"/>
    <s v="PROD-DIGI-105"/>
    <n v="1"/>
    <x v="140"/>
    <x v="1"/>
    <x v="1"/>
    <x v="2"/>
    <s v="   delivered "/>
    <x v="0"/>
    <s v="VPN 6-Month Pass Model B105"/>
    <x v="2"/>
    <n v="36.130000000000003"/>
    <x v="79"/>
  </r>
  <r>
    <x v="141"/>
    <x v="37"/>
    <s v="PROD-ELEC-107"/>
    <n v="1"/>
    <x v="141"/>
    <x v="0"/>
    <x v="4"/>
    <x v="2"/>
    <s v="   delivered "/>
    <x v="0"/>
    <s v="Mouse Model D107"/>
    <x v="0"/>
    <n v="155.19"/>
    <x v="112"/>
  </r>
  <r>
    <x v="142"/>
    <x v="121"/>
    <s v="PROD-LUXU-025"/>
    <n v="1"/>
    <x v="142"/>
    <x v="1"/>
    <x v="5"/>
    <x v="3"/>
    <s v=" cancelled"/>
    <x v="3"/>
    <s v="Silk Scarf Model Z25"/>
    <x v="4"/>
    <n v="878.03"/>
    <x v="26"/>
  </r>
  <r>
    <x v="143"/>
    <x v="122"/>
    <s v="PROD-DIGI-145"/>
    <n v="1"/>
    <x v="143"/>
    <x v="1"/>
    <x v="2"/>
    <x v="2"/>
    <s v="   delivered "/>
    <x v="0"/>
    <s v="Premium Stream 1M Model P145"/>
    <x v="2"/>
    <n v="84.01"/>
    <x v="113"/>
  </r>
  <r>
    <x v="144"/>
    <x v="16"/>
    <s v="PROD-ELEC-001"/>
    <n v="1"/>
    <x v="144"/>
    <x v="0"/>
    <x v="0"/>
    <x v="0"/>
    <s v="   delivered "/>
    <x v="0"/>
    <s v="Mouse Model B1"/>
    <x v="0"/>
    <n v="189.26"/>
    <x v="114"/>
  </r>
  <r>
    <x v="145"/>
    <x v="123"/>
    <s v="PROD-APPA-014"/>
    <n v="5"/>
    <x v="145"/>
    <x v="3"/>
    <x v="5"/>
    <x v="3"/>
    <s v=" disputed  "/>
    <x v="5"/>
    <s v="Cap Model O14"/>
    <x v="1"/>
    <n v="41.83"/>
    <x v="115"/>
  </r>
  <r>
    <x v="146"/>
    <x v="124"/>
    <s v="PROD-DIGI-022"/>
    <n v="2"/>
    <x v="146"/>
    <x v="1"/>
    <x v="1"/>
    <x v="2"/>
    <s v="   delivered "/>
    <x v="0"/>
    <s v="E-Book Access Model W22"/>
    <x v="2"/>
    <n v="11.22"/>
    <x v="116"/>
  </r>
  <r>
    <x v="147"/>
    <x v="125"/>
    <s v="PROD-DIGI-139"/>
    <n v="5"/>
    <x v="147"/>
    <x v="1"/>
    <x v="5"/>
    <x v="2"/>
    <s v="REFUNDED "/>
    <x v="4"/>
    <s v="Software License Tier A Model J139"/>
    <x v="2"/>
    <n v="90.05"/>
    <x v="117"/>
  </r>
  <r>
    <x v="148"/>
    <x v="98"/>
    <s v="PROD-LUXU-066"/>
    <n v="5"/>
    <x v="148"/>
    <x v="2"/>
    <x v="6"/>
    <x v="3"/>
    <s v=" disputed  "/>
    <x v="5"/>
    <s v="Gold Bracelet Model O66"/>
    <x v="4"/>
    <n v="640.54999999999995"/>
    <x v="118"/>
  </r>
  <r>
    <x v="149"/>
    <x v="126"/>
    <s v="PROD-HOME-010"/>
    <n v="5"/>
    <x v="149"/>
    <x v="1"/>
    <x v="5"/>
    <x v="3"/>
    <s v=" cancelled"/>
    <x v="3"/>
    <s v="Desk Lamp Model K10"/>
    <x v="3"/>
    <n v="62.32"/>
    <x v="119"/>
  </r>
  <r>
    <x v="150"/>
    <x v="16"/>
    <s v="PROD-HOME-034"/>
    <n v="1"/>
    <x v="150"/>
    <x v="3"/>
    <x v="3"/>
    <x v="4"/>
    <s v=" cancelled"/>
    <x v="3"/>
    <s v="Desk Lamp Model I34"/>
    <x v="3"/>
    <n v="141.91"/>
    <x v="120"/>
  </r>
  <r>
    <x v="151"/>
    <x v="89"/>
    <s v="PROD-HOME-013"/>
    <n v="2"/>
    <x v="151"/>
    <x v="0"/>
    <x v="4"/>
    <x v="1"/>
    <s v=" cancelled"/>
    <x v="3"/>
    <s v="Desk Lamp Model N13"/>
    <x v="3"/>
    <n v="50.77"/>
    <x v="121"/>
  </r>
  <r>
    <x v="152"/>
    <x v="36"/>
    <s v="PROD-DIGI-006"/>
    <n v="1"/>
    <x v="152"/>
    <x v="1"/>
    <x v="6"/>
    <x v="0"/>
    <s v="   delivered "/>
    <x v="0"/>
    <s v="Premium Stream 1M Model G6"/>
    <x v="2"/>
    <n v="47.23"/>
    <x v="28"/>
  </r>
  <r>
    <x v="153"/>
    <x v="47"/>
    <s v="PROD-APPA-058"/>
    <n v="1"/>
    <x v="153"/>
    <x v="2"/>
    <x v="3"/>
    <x v="4"/>
    <s v="REFUNDED "/>
    <x v="4"/>
    <s v="Socks Model G58"/>
    <x v="1"/>
    <n v="30.18"/>
    <x v="55"/>
  </r>
  <r>
    <x v="154"/>
    <x v="127"/>
    <s v="PROD-DIGI-148"/>
    <n v="2"/>
    <x v="154"/>
    <x v="0"/>
    <x v="4"/>
    <x v="0"/>
    <s v="   delivered "/>
    <x v="0"/>
    <s v="Premium Stream 1M Model S148"/>
    <x v="2"/>
    <n v="9.73"/>
    <x v="122"/>
  </r>
  <r>
    <x v="155"/>
    <x v="128"/>
    <s v="PROD-HOME-093"/>
    <n v="1"/>
    <x v="155"/>
    <x v="1"/>
    <x v="2"/>
    <x v="2"/>
    <s v="   delivered "/>
    <x v="0"/>
    <s v="Organizer Model P93"/>
    <x v="3"/>
    <n v="175.55"/>
    <x v="123"/>
  </r>
  <r>
    <x v="156"/>
    <x v="2"/>
    <s v="PROD-APPA-079"/>
    <n v="5"/>
    <x v="156"/>
    <x v="0"/>
    <x v="5"/>
    <x v="2"/>
    <s v=" cancelled"/>
    <x v="3"/>
    <s v="Hoodie Model B79"/>
    <x v="1"/>
    <n v="106.9"/>
    <x v="124"/>
  </r>
  <r>
    <x v="157"/>
    <x v="129"/>
    <s v="PROD-ELEC-107"/>
    <n v="5"/>
    <x v="157"/>
    <x v="0"/>
    <x v="5"/>
    <x v="4"/>
    <s v="PENDING_REVIEW"/>
    <x v="2"/>
    <s v="Mouse Model D107"/>
    <x v="0"/>
    <n v="155.19"/>
    <x v="125"/>
  </r>
  <r>
    <x v="158"/>
    <x v="130"/>
    <s v="PROD-DIGI-090"/>
    <n v="1"/>
    <x v="158"/>
    <x v="2"/>
    <x v="5"/>
    <x v="3"/>
    <s v="REFUNDED "/>
    <x v="4"/>
    <s v="VPN 6-Month Pass Model M90"/>
    <x v="2"/>
    <n v="5.91"/>
    <x v="126"/>
  </r>
  <r>
    <x v="159"/>
    <x v="46"/>
    <s v="PROD-DIGI-142"/>
    <n v="2"/>
    <x v="159"/>
    <x v="1"/>
    <x v="4"/>
    <x v="2"/>
    <s v=" cancelled"/>
    <x v="3"/>
    <s v="Software License Tier A Model M142"/>
    <x v="2"/>
    <n v="55.59"/>
    <x v="127"/>
  </r>
  <r>
    <x v="160"/>
    <x v="111"/>
    <s v="PROD-LUXU-124"/>
    <n v="5"/>
    <x v="160"/>
    <x v="2"/>
    <x v="6"/>
    <x v="2"/>
    <s v=" cancelled"/>
    <x v="3"/>
    <s v="Leather Handbag Model U124"/>
    <x v="4"/>
    <n v="1880.36"/>
    <x v="128"/>
  </r>
  <r>
    <x v="161"/>
    <x v="5"/>
    <s v="PROD-APPA-097"/>
    <n v="1"/>
    <x v="161"/>
    <x v="1"/>
    <x v="2"/>
    <x v="2"/>
    <s v="   delivered "/>
    <x v="0"/>
    <s v="Cap Model T97"/>
    <x v="1"/>
    <n v="99.18"/>
    <x v="12"/>
  </r>
  <r>
    <x v="162"/>
    <x v="0"/>
    <s v="PROD-LUXU-066"/>
    <n v="4"/>
    <x v="162"/>
    <x v="2"/>
    <x v="2"/>
    <x v="4"/>
    <s v="PENDING_REVIEW"/>
    <x v="2"/>
    <s v="Gold Bracelet Model O66"/>
    <x v="4"/>
    <n v="640.54999999999995"/>
    <x v="129"/>
  </r>
  <r>
    <x v="163"/>
    <x v="131"/>
    <s v="PROD-ELEC-031"/>
    <n v="1"/>
    <x v="163"/>
    <x v="0"/>
    <x v="6"/>
    <x v="0"/>
    <s v="   delivered "/>
    <x v="0"/>
    <s v="Webcam Model F31"/>
    <x v="0"/>
    <n v="184.37"/>
    <x v="130"/>
  </r>
  <r>
    <x v="164"/>
    <x v="18"/>
    <s v="PROD-DIGI-099"/>
    <n v="1"/>
    <x v="164"/>
    <x v="0"/>
    <x v="4"/>
    <x v="2"/>
    <s v="   delivered "/>
    <x v="0"/>
    <s v="Premium Stream 1M Model V99"/>
    <x v="2"/>
    <n v="30.08"/>
    <x v="89"/>
  </r>
  <r>
    <x v="165"/>
    <x v="132"/>
    <s v="PROD-APPA-121"/>
    <n v="1"/>
    <x v="165"/>
    <x v="1"/>
    <x v="0"/>
    <x v="0"/>
    <s v="   delivered "/>
    <x v="0"/>
    <s v="Sneakers Model R121"/>
    <x v="1"/>
    <n v="44.15"/>
    <x v="131"/>
  </r>
  <r>
    <x v="166"/>
    <x v="133"/>
    <s v="PROD-APPA-043"/>
    <n v="1"/>
    <x v="166"/>
    <x v="0"/>
    <x v="0"/>
    <x v="0"/>
    <s v="   delivered "/>
    <x v="0"/>
    <s v="Hoodie Model R43"/>
    <x v="1"/>
    <n v="68.040000000000006"/>
    <x v="82"/>
  </r>
  <r>
    <x v="167"/>
    <x v="89"/>
    <s v="PROD-DIGI-006"/>
    <n v="4"/>
    <x v="167"/>
    <x v="2"/>
    <x v="3"/>
    <x v="3"/>
    <s v="PENDING_REVIEW"/>
    <x v="2"/>
    <s v="Premium Stream 1M Model G6"/>
    <x v="2"/>
    <n v="47.23"/>
    <x v="132"/>
  </r>
  <r>
    <x v="168"/>
    <x v="134"/>
    <s v="PROD-DIGI-090"/>
    <n v="1"/>
    <x v="168"/>
    <x v="1"/>
    <x v="2"/>
    <x v="2"/>
    <s v="   delivered "/>
    <x v="0"/>
    <s v="VPN 6-Month Pass Model M90"/>
    <x v="2"/>
    <n v="5.91"/>
    <x v="126"/>
  </r>
  <r>
    <x v="169"/>
    <x v="135"/>
    <s v="PROD-ELEC-078"/>
    <n v="1"/>
    <x v="169"/>
    <x v="1"/>
    <x v="2"/>
    <x v="0"/>
    <s v="   delivered "/>
    <x v="0"/>
    <s v="Mouse Model A78"/>
    <x v="0"/>
    <n v="141.34"/>
    <x v="2"/>
  </r>
  <r>
    <x v="170"/>
    <x v="125"/>
    <s v="PROD-ELEC-035"/>
    <n v="4"/>
    <x v="170"/>
    <x v="2"/>
    <x v="5"/>
    <x v="4"/>
    <s v=" disputed  "/>
    <x v="5"/>
    <s v="Smartwatch Model J35"/>
    <x v="0"/>
    <n v="161.94999999999999"/>
    <x v="133"/>
  </r>
  <r>
    <x v="171"/>
    <x v="136"/>
    <s v="PROD-LUXU-026"/>
    <n v="5"/>
    <x v="171"/>
    <x v="1"/>
    <x v="4"/>
    <x v="3"/>
    <s v=" cancelled"/>
    <x v="3"/>
    <s v="Gold Bracelet Model A26"/>
    <x v="4"/>
    <n v="1096.3900000000001"/>
    <x v="134"/>
  </r>
  <r>
    <x v="172"/>
    <x v="137"/>
    <s v="PROD-DIGI-006"/>
    <n v="4"/>
    <x v="172"/>
    <x v="1"/>
    <x v="5"/>
    <x v="2"/>
    <s v="REFUNDED "/>
    <x v="4"/>
    <s v="Premium Stream 1M Model G6"/>
    <x v="2"/>
    <n v="47.23"/>
    <x v="132"/>
  </r>
  <r>
    <x v="173"/>
    <x v="19"/>
    <s v="PROD-LUXU-036"/>
    <n v="5"/>
    <x v="173"/>
    <x v="3"/>
    <x v="2"/>
    <x v="2"/>
    <s v=" disputed  "/>
    <x v="5"/>
    <s v="Silk Scarf Model K36"/>
    <x v="4"/>
    <n v="737.6"/>
    <x v="135"/>
  </r>
  <r>
    <x v="174"/>
    <x v="138"/>
    <s v="PROD-ELEC-001"/>
    <n v="2"/>
    <x v="174"/>
    <x v="1"/>
    <x v="0"/>
    <x v="0"/>
    <s v="   delivered "/>
    <x v="0"/>
    <s v="Mouse Model B1"/>
    <x v="0"/>
    <n v="189.26"/>
    <x v="136"/>
  </r>
  <r>
    <x v="175"/>
    <x v="85"/>
    <s v="PROD-DIGI-024"/>
    <n v="1"/>
    <x v="175"/>
    <x v="1"/>
    <x v="2"/>
    <x v="0"/>
    <s v="   delivered "/>
    <x v="0"/>
    <s v="Premium Stream 1M Model Y24"/>
    <x v="2"/>
    <n v="29.9"/>
    <x v="137"/>
  </r>
  <r>
    <x v="176"/>
    <x v="139"/>
    <s v="PROD-DIGI-150"/>
    <n v="2"/>
    <x v="176"/>
    <x v="1"/>
    <x v="1"/>
    <x v="2"/>
    <s v="SHIPPED  "/>
    <x v="1"/>
    <s v="E-Book Access Model U150"/>
    <x v="2"/>
    <n v="75.69"/>
    <x v="138"/>
  </r>
  <r>
    <x v="177"/>
    <x v="140"/>
    <s v="PROD-LUXU-117"/>
    <n v="4"/>
    <x v="177"/>
    <x v="0"/>
    <x v="2"/>
    <x v="3"/>
    <s v="REFUNDED "/>
    <x v="4"/>
    <s v="Silk Scarf Model N117"/>
    <x v="4"/>
    <n v="1740.35"/>
    <x v="69"/>
  </r>
  <r>
    <x v="178"/>
    <x v="141"/>
    <s v="PROD-DIGI-053"/>
    <n v="1"/>
    <x v="178"/>
    <x v="1"/>
    <x v="4"/>
    <x v="2"/>
    <s v="   delivered "/>
    <x v="0"/>
    <s v="Premium Stream 1M Model B53"/>
    <x v="2"/>
    <n v="13.87"/>
    <x v="3"/>
  </r>
  <r>
    <x v="179"/>
    <x v="142"/>
    <s v="PROD-ELEC-060"/>
    <n v="1"/>
    <x v="179"/>
    <x v="1"/>
    <x v="3"/>
    <x v="4"/>
    <s v="PENDING_REVIEW"/>
    <x v="2"/>
    <s v="Mouse Model I60"/>
    <x v="0"/>
    <n v="168.25"/>
    <x v="139"/>
  </r>
  <r>
    <x v="180"/>
    <x v="143"/>
    <s v="PROD-ELEC-088"/>
    <n v="1"/>
    <x v="180"/>
    <x v="0"/>
    <x v="6"/>
    <x v="2"/>
    <s v="   delivered "/>
    <x v="0"/>
    <s v="Mouse Model K88"/>
    <x v="0"/>
    <n v="93.39"/>
    <x v="140"/>
  </r>
  <r>
    <x v="181"/>
    <x v="56"/>
    <s v="PROD-ELEC-078"/>
    <n v="4"/>
    <x v="181"/>
    <x v="0"/>
    <x v="5"/>
    <x v="4"/>
    <s v=" cancelled"/>
    <x v="3"/>
    <s v="Mouse Model A78"/>
    <x v="0"/>
    <n v="141.34"/>
    <x v="141"/>
  </r>
  <r>
    <x v="182"/>
    <x v="69"/>
    <s v="PROD-APPA-111"/>
    <n v="4"/>
    <x v="182"/>
    <x v="3"/>
    <x v="5"/>
    <x v="4"/>
    <s v="PENDING_REVIEW"/>
    <x v="2"/>
    <s v="Hoodie Model H111"/>
    <x v="1"/>
    <n v="57.44"/>
    <x v="142"/>
  </r>
  <r>
    <x v="183"/>
    <x v="66"/>
    <s v="PROD-DIGI-011"/>
    <n v="2"/>
    <x v="183"/>
    <x v="1"/>
    <x v="4"/>
    <x v="1"/>
    <s v="   delivered "/>
    <x v="0"/>
    <s v="VPN 6-Month Pass Model L11"/>
    <x v="2"/>
    <n v="16.73"/>
    <x v="143"/>
  </r>
  <r>
    <x v="184"/>
    <x v="144"/>
    <s v="PROD-APPA-014"/>
    <n v="1"/>
    <x v="184"/>
    <x v="0"/>
    <x v="1"/>
    <x v="0"/>
    <s v="SHIPPED  "/>
    <x v="1"/>
    <s v="Cap Model O14"/>
    <x v="1"/>
    <n v="41.83"/>
    <x v="144"/>
  </r>
  <r>
    <x v="185"/>
    <x v="145"/>
    <s v="PROD-APPA-043"/>
    <n v="3"/>
    <x v="185"/>
    <x v="1"/>
    <x v="4"/>
    <x v="2"/>
    <s v="   delivered "/>
    <x v="0"/>
    <s v="Hoodie Model R43"/>
    <x v="1"/>
    <n v="68.040000000000006"/>
    <x v="145"/>
  </r>
  <r>
    <x v="186"/>
    <x v="43"/>
    <s v="PROD-DIGI-125"/>
    <n v="1"/>
    <x v="186"/>
    <x v="1"/>
    <x v="0"/>
    <x v="0"/>
    <s v="   delivered "/>
    <x v="0"/>
    <s v="Premium Stream 1M Model V125"/>
    <x v="2"/>
    <n v="18.87"/>
    <x v="44"/>
  </r>
  <r>
    <x v="187"/>
    <x v="96"/>
    <s v="PROD-HOME-138"/>
    <n v="2"/>
    <x v="187"/>
    <x v="1"/>
    <x v="6"/>
    <x v="2"/>
    <s v="   delivered "/>
    <x v="0"/>
    <s v="Desk Lamp Model I138"/>
    <x v="3"/>
    <n v="94.55"/>
    <x v="146"/>
  </r>
  <r>
    <x v="188"/>
    <x v="68"/>
    <s v="PROD-DIGI-053"/>
    <n v="1"/>
    <x v="188"/>
    <x v="0"/>
    <x v="3"/>
    <x v="3"/>
    <s v=" disputed  "/>
    <x v="5"/>
    <s v="Premium Stream 1M Model B53"/>
    <x v="2"/>
    <n v="13.87"/>
    <x v="3"/>
  </r>
  <r>
    <x v="189"/>
    <x v="146"/>
    <s v="PROD-DIGI-145"/>
    <n v="1"/>
    <x v="189"/>
    <x v="0"/>
    <x v="4"/>
    <x v="2"/>
    <s v="   delivered "/>
    <x v="0"/>
    <s v="Premium Stream 1M Model P145"/>
    <x v="2"/>
    <n v="84.01"/>
    <x v="113"/>
  </r>
  <r>
    <x v="190"/>
    <x v="147"/>
    <s v="PROD-APPA-042"/>
    <n v="1"/>
    <x v="190"/>
    <x v="1"/>
    <x v="2"/>
    <x v="0"/>
    <s v="   delivered "/>
    <x v="0"/>
    <s v="Jeans Model Q42"/>
    <x v="1"/>
    <n v="82.57"/>
    <x v="95"/>
  </r>
  <r>
    <x v="191"/>
    <x v="148"/>
    <s v="PROD-APPA-091"/>
    <n v="1"/>
    <x v="191"/>
    <x v="1"/>
    <x v="1"/>
    <x v="1"/>
    <s v="   delivered "/>
    <x v="0"/>
    <s v="Jacket Model N91"/>
    <x v="1"/>
    <n v="13.96"/>
    <x v="7"/>
  </r>
  <r>
    <x v="192"/>
    <x v="76"/>
    <s v="PROD-DIGI-030"/>
    <n v="3"/>
    <x v="192"/>
    <x v="1"/>
    <x v="0"/>
    <x v="0"/>
    <s v="   delivered "/>
    <x v="0"/>
    <s v="VPN 6-Month Pass Model E30"/>
    <x v="2"/>
    <n v="28.63"/>
    <x v="147"/>
  </r>
  <r>
    <x v="193"/>
    <x v="149"/>
    <s v="PROD-ELEC-140"/>
    <n v="4"/>
    <x v="193"/>
    <x v="2"/>
    <x v="3"/>
    <x v="3"/>
    <s v=" disputed  "/>
    <x v="5"/>
    <s v="Smartwatch Model K140"/>
    <x v="0"/>
    <n v="221.95"/>
    <x v="148"/>
  </r>
  <r>
    <x v="194"/>
    <x v="1"/>
    <s v="PROD-ELEC-087"/>
    <n v="1"/>
    <x v="194"/>
    <x v="0"/>
    <x v="4"/>
    <x v="0"/>
    <s v="   delivered "/>
    <x v="0"/>
    <s v="Mouse Model J87"/>
    <x v="0"/>
    <n v="164.06"/>
    <x v="25"/>
  </r>
  <r>
    <x v="195"/>
    <x v="150"/>
    <s v="PROD-APPA-040"/>
    <n v="5"/>
    <x v="195"/>
    <x v="1"/>
    <x v="5"/>
    <x v="4"/>
    <s v=" disputed  "/>
    <x v="5"/>
    <s v="Jacket Model O40"/>
    <x v="1"/>
    <n v="114.16"/>
    <x v="149"/>
  </r>
  <r>
    <x v="196"/>
    <x v="15"/>
    <s v="PROD-APPA-062"/>
    <n v="1"/>
    <x v="196"/>
    <x v="0"/>
    <x v="6"/>
    <x v="2"/>
    <s v="   delivered "/>
    <x v="0"/>
    <s v="Socks Model K62"/>
    <x v="1"/>
    <n v="63.42"/>
    <x v="84"/>
  </r>
  <r>
    <x v="197"/>
    <x v="151"/>
    <s v="PROD-HOME-016"/>
    <n v="1"/>
    <x v="197"/>
    <x v="1"/>
    <x v="2"/>
    <x v="2"/>
    <s v="SHIPPED  "/>
    <x v="1"/>
    <s v="Blender Model Q16"/>
    <x v="3"/>
    <n v="79.23"/>
    <x v="150"/>
  </r>
  <r>
    <x v="198"/>
    <x v="152"/>
    <s v="PROD-DIGI-011"/>
    <n v="1"/>
    <x v="198"/>
    <x v="0"/>
    <x v="1"/>
    <x v="1"/>
    <s v="   delivered "/>
    <x v="0"/>
    <s v="VPN 6-Month Pass Model L11"/>
    <x v="2"/>
    <n v="16.73"/>
    <x v="151"/>
  </r>
  <r>
    <x v="199"/>
    <x v="34"/>
    <s v="PROD-HOME-045"/>
    <n v="1"/>
    <x v="199"/>
    <x v="0"/>
    <x v="2"/>
    <x v="2"/>
    <s v=" cancelled"/>
    <x v="3"/>
    <s v="Mug Model T45"/>
    <x v="3"/>
    <n v="179.22"/>
    <x v="152"/>
  </r>
  <r>
    <x v="200"/>
    <x v="150"/>
    <s v="PROD-LUXU-143"/>
    <n v="4"/>
    <x v="200"/>
    <x v="1"/>
    <x v="0"/>
    <x v="4"/>
    <s v=" cancelled"/>
    <x v="3"/>
    <s v="Leather Handbag Model N143"/>
    <x v="4"/>
    <n v="1374.1"/>
    <x v="153"/>
  </r>
  <r>
    <x v="201"/>
    <x v="153"/>
    <s v="PROD-APPA-121"/>
    <n v="1"/>
    <x v="201"/>
    <x v="0"/>
    <x v="2"/>
    <x v="0"/>
    <s v="   delivered "/>
    <x v="0"/>
    <s v="Sneakers Model R121"/>
    <x v="1"/>
    <n v="44.15"/>
    <x v="131"/>
  </r>
  <r>
    <x v="202"/>
    <x v="154"/>
    <s v="PROD-DIGI-144"/>
    <n v="1"/>
    <x v="202"/>
    <x v="0"/>
    <x v="6"/>
    <x v="0"/>
    <s v="   delivered "/>
    <x v="0"/>
    <s v="Cloud Storage Basic Model O144"/>
    <x v="2"/>
    <n v="41.55"/>
    <x v="33"/>
  </r>
  <r>
    <x v="203"/>
    <x v="66"/>
    <s v="PROD-DIGI-132"/>
    <n v="5"/>
    <x v="203"/>
    <x v="2"/>
    <x v="5"/>
    <x v="4"/>
    <s v="PENDING_REVIEW"/>
    <x v="2"/>
    <s v="Software License Tier A Model C132"/>
    <x v="2"/>
    <n v="29.36"/>
    <x v="154"/>
  </r>
  <r>
    <x v="204"/>
    <x v="2"/>
    <s v="PROD-APPA-122"/>
    <n v="1"/>
    <x v="204"/>
    <x v="0"/>
    <x v="0"/>
    <x v="2"/>
    <s v=" cancelled"/>
    <x v="3"/>
    <s v="T-Shirt Model S122"/>
    <x v="1"/>
    <n v="15.08"/>
    <x v="155"/>
  </r>
  <r>
    <x v="205"/>
    <x v="126"/>
    <s v="PROD-ELEC-087"/>
    <n v="1"/>
    <x v="205"/>
    <x v="0"/>
    <x v="1"/>
    <x v="2"/>
    <s v="PENDING_REVIEW"/>
    <x v="2"/>
    <s v="Mouse Model J87"/>
    <x v="0"/>
    <n v="164.06"/>
    <x v="25"/>
  </r>
  <r>
    <x v="206"/>
    <x v="155"/>
    <s v="PROD-DIGI-105"/>
    <n v="5"/>
    <x v="206"/>
    <x v="2"/>
    <x v="5"/>
    <x v="2"/>
    <s v="REFUNDED "/>
    <x v="4"/>
    <s v="VPN 6-Month Pass Model B105"/>
    <x v="2"/>
    <n v="36.130000000000003"/>
    <x v="156"/>
  </r>
  <r>
    <x v="207"/>
    <x v="107"/>
    <s v="PROD-DIGI-145"/>
    <n v="3"/>
    <x v="207"/>
    <x v="1"/>
    <x v="4"/>
    <x v="1"/>
    <s v="   delivered "/>
    <x v="0"/>
    <s v="Premium Stream 1M Model P145"/>
    <x v="2"/>
    <n v="84.01"/>
    <x v="157"/>
  </r>
  <r>
    <x v="208"/>
    <x v="156"/>
    <s v="PROD-HOME-085"/>
    <n v="1"/>
    <x v="208"/>
    <x v="0"/>
    <x v="1"/>
    <x v="2"/>
    <s v="   delivered "/>
    <x v="0"/>
    <s v="Blender Model H85"/>
    <x v="3"/>
    <n v="130"/>
    <x v="158"/>
  </r>
  <r>
    <x v="209"/>
    <x v="114"/>
    <s v="PROD-LUXU-116"/>
    <n v="4"/>
    <x v="209"/>
    <x v="2"/>
    <x v="1"/>
    <x v="4"/>
    <s v="PENDING_REVIEW"/>
    <x v="2"/>
    <s v="Designer Watch Model M116"/>
    <x v="4"/>
    <n v="968.52"/>
    <x v="159"/>
  </r>
  <r>
    <x v="210"/>
    <x v="105"/>
    <s v="PROD-DIGI-114"/>
    <n v="4"/>
    <x v="210"/>
    <x v="3"/>
    <x v="5"/>
    <x v="3"/>
    <s v="REFUNDED "/>
    <x v="4"/>
    <s v="E-Book Access Model K114"/>
    <x v="2"/>
    <n v="57.11"/>
    <x v="160"/>
  </r>
  <r>
    <x v="211"/>
    <x v="157"/>
    <s v="PROD-DIGI-145"/>
    <n v="1"/>
    <x v="211"/>
    <x v="0"/>
    <x v="4"/>
    <x v="1"/>
    <s v="   delivered "/>
    <x v="0"/>
    <s v="Premium Stream 1M Model P145"/>
    <x v="2"/>
    <n v="84.01"/>
    <x v="113"/>
  </r>
  <r>
    <x v="212"/>
    <x v="158"/>
    <s v="PROD-LUXU-069"/>
    <n v="1"/>
    <x v="212"/>
    <x v="1"/>
    <x v="3"/>
    <x v="3"/>
    <s v=" disputed  "/>
    <x v="5"/>
    <s v="Leather Handbag Model R69"/>
    <x v="4"/>
    <n v="425.14"/>
    <x v="52"/>
  </r>
  <r>
    <x v="213"/>
    <x v="149"/>
    <s v="PROD-APPA-070"/>
    <n v="1"/>
    <x v="213"/>
    <x v="0"/>
    <x v="0"/>
    <x v="0"/>
    <s v="   delivered "/>
    <x v="0"/>
    <s v="T-Shirt Model S70"/>
    <x v="1"/>
    <n v="75.45"/>
    <x v="161"/>
  </r>
  <r>
    <x v="214"/>
    <x v="33"/>
    <s v="PROD-HOME-089"/>
    <n v="1"/>
    <x v="214"/>
    <x v="1"/>
    <x v="1"/>
    <x v="1"/>
    <s v="   delivered "/>
    <x v="0"/>
    <s v="Blender Model L89"/>
    <x v="3"/>
    <n v="138.6"/>
    <x v="53"/>
  </r>
  <r>
    <x v="215"/>
    <x v="101"/>
    <s v="PROD-LUXU-005"/>
    <n v="4"/>
    <x v="215"/>
    <x v="2"/>
    <x v="4"/>
    <x v="3"/>
    <s v="PENDING_REVIEW"/>
    <x v="2"/>
    <s v="Leather Handbag Model F5"/>
    <x v="4"/>
    <n v="1875.24"/>
    <x v="162"/>
  </r>
  <r>
    <x v="216"/>
    <x v="18"/>
    <s v="PROD-LUXU-018"/>
    <n v="5"/>
    <x v="216"/>
    <x v="3"/>
    <x v="2"/>
    <x v="3"/>
    <s v=" cancelled"/>
    <x v="3"/>
    <s v="Leather Handbag Model S18"/>
    <x v="4"/>
    <n v="1475.11"/>
    <x v="163"/>
  </r>
  <r>
    <x v="217"/>
    <x v="159"/>
    <s v="PROD-DIGI-011"/>
    <n v="1"/>
    <x v="217"/>
    <x v="0"/>
    <x v="4"/>
    <x v="2"/>
    <s v="   delivered "/>
    <x v="0"/>
    <s v="VPN 6-Month Pass Model L11"/>
    <x v="2"/>
    <n v="16.73"/>
    <x v="151"/>
  </r>
  <r>
    <x v="218"/>
    <x v="143"/>
    <s v="PROD-LUXU-096"/>
    <n v="1"/>
    <x v="218"/>
    <x v="1"/>
    <x v="1"/>
    <x v="3"/>
    <s v="REFUNDED "/>
    <x v="4"/>
    <s v="Leather Handbag Model S96"/>
    <x v="4"/>
    <n v="2336.6799999999998"/>
    <x v="164"/>
  </r>
  <r>
    <x v="219"/>
    <x v="137"/>
    <s v="PROD-DIGI-150"/>
    <n v="1"/>
    <x v="219"/>
    <x v="1"/>
    <x v="0"/>
    <x v="2"/>
    <s v="   delivered "/>
    <x v="0"/>
    <s v="E-Book Access Model U150"/>
    <x v="2"/>
    <n v="75.69"/>
    <x v="165"/>
  </r>
  <r>
    <x v="220"/>
    <x v="160"/>
    <s v="PROD-HOME-102"/>
    <n v="1"/>
    <x v="220"/>
    <x v="0"/>
    <x v="6"/>
    <x v="0"/>
    <s v="SHIPPED  "/>
    <x v="1"/>
    <s v="Organizer Model Y102"/>
    <x v="3"/>
    <n v="147.26"/>
    <x v="166"/>
  </r>
  <r>
    <x v="221"/>
    <x v="161"/>
    <s v="PROD-ELEC-035"/>
    <n v="5"/>
    <x v="221"/>
    <x v="3"/>
    <x v="5"/>
    <x v="2"/>
    <s v=" cancelled"/>
    <x v="3"/>
    <s v="Smartwatch Model J35"/>
    <x v="0"/>
    <n v="161.94999999999999"/>
    <x v="18"/>
  </r>
  <r>
    <x v="222"/>
    <x v="157"/>
    <s v="PROD-LUXU-048"/>
    <n v="4"/>
    <x v="222"/>
    <x v="3"/>
    <x v="5"/>
    <x v="4"/>
    <s v="PENDING_REVIEW"/>
    <x v="2"/>
    <s v="Leather Handbag Model W48"/>
    <x v="4"/>
    <n v="315.82"/>
    <x v="91"/>
  </r>
  <r>
    <x v="223"/>
    <x v="146"/>
    <s v="PROD-DIGI-144"/>
    <n v="1"/>
    <x v="223"/>
    <x v="1"/>
    <x v="2"/>
    <x v="2"/>
    <s v="   delivered "/>
    <x v="0"/>
    <s v="Cloud Storage Basic Model O144"/>
    <x v="2"/>
    <n v="41.55"/>
    <x v="33"/>
  </r>
  <r>
    <x v="224"/>
    <x v="162"/>
    <s v="PROD-ELEC-078"/>
    <n v="1"/>
    <x v="224"/>
    <x v="2"/>
    <x v="5"/>
    <x v="3"/>
    <s v="PENDING_REVIEW"/>
    <x v="2"/>
    <s v="Mouse Model A78"/>
    <x v="0"/>
    <n v="141.34"/>
    <x v="2"/>
  </r>
  <r>
    <x v="225"/>
    <x v="163"/>
    <s v="PROD-APPA-002"/>
    <n v="4"/>
    <x v="225"/>
    <x v="3"/>
    <x v="3"/>
    <x v="3"/>
    <s v=" cancelled"/>
    <x v="3"/>
    <s v="Sneakers Model C2"/>
    <x v="1"/>
    <n v="21.27"/>
    <x v="167"/>
  </r>
  <r>
    <x v="226"/>
    <x v="68"/>
    <s v="PROD-DIGI-125"/>
    <n v="2"/>
    <x v="226"/>
    <x v="0"/>
    <x v="1"/>
    <x v="2"/>
    <s v="REFUNDED "/>
    <x v="4"/>
    <s v="Premium Stream 1M Model V125"/>
    <x v="2"/>
    <n v="18.87"/>
    <x v="168"/>
  </r>
  <r>
    <x v="227"/>
    <x v="156"/>
    <s v="PROD-ELEC-038"/>
    <n v="1"/>
    <x v="227"/>
    <x v="2"/>
    <x v="5"/>
    <x v="4"/>
    <s v=" disputed  "/>
    <x v="5"/>
    <s v="Cable Model M38"/>
    <x v="0"/>
    <n v="91.18"/>
    <x v="169"/>
  </r>
  <r>
    <x v="228"/>
    <x v="164"/>
    <s v="PROD-APPA-014"/>
    <n v="1"/>
    <x v="228"/>
    <x v="1"/>
    <x v="0"/>
    <x v="0"/>
    <s v="   delivered "/>
    <x v="0"/>
    <s v="Cap Model O14"/>
    <x v="1"/>
    <n v="41.83"/>
    <x v="144"/>
  </r>
  <r>
    <x v="229"/>
    <x v="165"/>
    <s v="PROD-HOME-102"/>
    <n v="1"/>
    <x v="229"/>
    <x v="0"/>
    <x v="2"/>
    <x v="1"/>
    <s v="   delivered "/>
    <x v="0"/>
    <s v="Organizer Model Y102"/>
    <x v="3"/>
    <n v="147.26"/>
    <x v="166"/>
  </r>
  <r>
    <x v="230"/>
    <x v="166"/>
    <s v="PROD-LUXU-124"/>
    <n v="4"/>
    <x v="230"/>
    <x v="3"/>
    <x v="3"/>
    <x v="3"/>
    <s v=" disputed  "/>
    <x v="5"/>
    <s v="Leather Handbag Model U124"/>
    <x v="4"/>
    <n v="1880.36"/>
    <x v="47"/>
  </r>
  <r>
    <x v="231"/>
    <x v="138"/>
    <s v="PROD-ELEC-012"/>
    <n v="1"/>
    <x v="231"/>
    <x v="1"/>
    <x v="5"/>
    <x v="2"/>
    <s v=" disputed  "/>
    <x v="5"/>
    <s v="Cable Model M12"/>
    <x v="0"/>
    <n v="83.9"/>
    <x v="170"/>
  </r>
  <r>
    <x v="232"/>
    <x v="167"/>
    <s v="PROD-ELEC-140"/>
    <n v="1"/>
    <x v="232"/>
    <x v="0"/>
    <x v="4"/>
    <x v="2"/>
    <s v="   delivered "/>
    <x v="0"/>
    <s v="Smartwatch Model K140"/>
    <x v="0"/>
    <n v="221.95"/>
    <x v="171"/>
  </r>
  <r>
    <x v="233"/>
    <x v="168"/>
    <s v="PROD-APPA-072"/>
    <n v="1"/>
    <x v="233"/>
    <x v="0"/>
    <x v="6"/>
    <x v="2"/>
    <s v="   delivered "/>
    <x v="0"/>
    <s v="Jacket Model U72"/>
    <x v="1"/>
    <n v="75.400000000000006"/>
    <x v="19"/>
  </r>
  <r>
    <x v="234"/>
    <x v="169"/>
    <s v="PROD-HOME-054"/>
    <n v="1"/>
    <x v="234"/>
    <x v="0"/>
    <x v="1"/>
    <x v="0"/>
    <s v="SHIPPED  "/>
    <x v="1"/>
    <s v="Mug Model C54"/>
    <x v="3"/>
    <n v="85.78"/>
    <x v="172"/>
  </r>
  <r>
    <x v="235"/>
    <x v="4"/>
    <s v="PROD-APPA-135"/>
    <n v="1"/>
    <x v="235"/>
    <x v="4"/>
    <x v="4"/>
    <x v="0"/>
    <s v="SHIPPED  "/>
    <x v="1"/>
    <s v="Hoodie Model F135"/>
    <x v="1"/>
    <n v="46.94"/>
    <x v="68"/>
  </r>
  <r>
    <x v="236"/>
    <x v="170"/>
    <s v="PROD-DIGI-041"/>
    <n v="2"/>
    <x v="236"/>
    <x v="1"/>
    <x v="6"/>
    <x v="2"/>
    <s v="   delivered "/>
    <x v="0"/>
    <s v="Cloud Storage Basic Model P41"/>
    <x v="2"/>
    <n v="96.93"/>
    <x v="173"/>
  </r>
  <r>
    <x v="237"/>
    <x v="164"/>
    <s v="PROD-LUXU-143"/>
    <n v="4"/>
    <x v="237"/>
    <x v="0"/>
    <x v="5"/>
    <x v="4"/>
    <s v=" disputed  "/>
    <x v="5"/>
    <s v="Leather Handbag Model N143"/>
    <x v="4"/>
    <n v="1374.1"/>
    <x v="153"/>
  </r>
  <r>
    <x v="238"/>
    <x v="1"/>
    <s v="PROD-ELEC-103"/>
    <n v="1"/>
    <x v="238"/>
    <x v="0"/>
    <x v="6"/>
    <x v="1"/>
    <s v="   delivered "/>
    <x v="0"/>
    <s v="Webcam Model Z103"/>
    <x v="0"/>
    <n v="60.39"/>
    <x v="96"/>
  </r>
  <r>
    <x v="239"/>
    <x v="9"/>
    <s v="PROD-APPA-137"/>
    <n v="2"/>
    <x v="239"/>
    <x v="1"/>
    <x v="2"/>
    <x v="2"/>
    <s v="   delivered "/>
    <x v="0"/>
    <s v="Sneakers Model H137"/>
    <x v="1"/>
    <n v="33.53"/>
    <x v="174"/>
  </r>
  <r>
    <x v="240"/>
    <x v="51"/>
    <s v="PROD-HOME-075"/>
    <n v="5"/>
    <x v="240"/>
    <x v="0"/>
    <x v="5"/>
    <x v="2"/>
    <s v=" disputed  "/>
    <x v="5"/>
    <s v="Mug Model X75"/>
    <x v="3"/>
    <n v="40.94"/>
    <x v="175"/>
  </r>
  <r>
    <x v="241"/>
    <x v="62"/>
    <s v="PROD-DIGI-030"/>
    <n v="5"/>
    <x v="241"/>
    <x v="3"/>
    <x v="3"/>
    <x v="3"/>
    <s v="PENDING_REVIEW"/>
    <x v="2"/>
    <s v="VPN 6-Month Pass Model E30"/>
    <x v="2"/>
    <n v="28.63"/>
    <x v="176"/>
  </r>
  <r>
    <x v="242"/>
    <x v="106"/>
    <s v="PROD-APPA-111"/>
    <n v="1"/>
    <x v="242"/>
    <x v="0"/>
    <x v="6"/>
    <x v="2"/>
    <s v="   delivered "/>
    <x v="0"/>
    <s v="Hoodie Model H111"/>
    <x v="1"/>
    <n v="57.44"/>
    <x v="177"/>
  </r>
  <r>
    <x v="243"/>
    <x v="29"/>
    <s v="PROD-DIGI-131"/>
    <n v="2"/>
    <x v="243"/>
    <x v="0"/>
    <x v="1"/>
    <x v="2"/>
    <s v="   delivered "/>
    <x v="0"/>
    <s v="VPN 6-Month Pass Model B131"/>
    <x v="2"/>
    <n v="46.92"/>
    <x v="178"/>
  </r>
  <r>
    <x v="244"/>
    <x v="171"/>
    <s v="PROD-LUXU-032"/>
    <n v="4"/>
    <x v="244"/>
    <x v="2"/>
    <x v="0"/>
    <x v="3"/>
    <s v="REFUNDED "/>
    <x v="4"/>
    <s v="Premium Perfume Model G32"/>
    <x v="4"/>
    <n v="1990.92"/>
    <x v="13"/>
  </r>
  <r>
    <x v="245"/>
    <x v="172"/>
    <s v="PROD-ELEC-031"/>
    <n v="1"/>
    <x v="245"/>
    <x v="1"/>
    <x v="0"/>
    <x v="1"/>
    <s v="   delivered "/>
    <x v="0"/>
    <s v="Webcam Model F31"/>
    <x v="0"/>
    <n v="184.37"/>
    <x v="130"/>
  </r>
  <r>
    <x v="246"/>
    <x v="30"/>
    <s v="PROD-ELEC-038"/>
    <n v="4"/>
    <x v="246"/>
    <x v="1"/>
    <x v="3"/>
    <x v="3"/>
    <s v=" cancelled"/>
    <x v="3"/>
    <s v="Cable Model M38"/>
    <x v="0"/>
    <n v="91.18"/>
    <x v="179"/>
  </r>
  <r>
    <x v="247"/>
    <x v="173"/>
    <s v="PROD-HOME-093"/>
    <n v="1"/>
    <x v="247"/>
    <x v="0"/>
    <x v="1"/>
    <x v="2"/>
    <s v="SHIPPED  "/>
    <x v="1"/>
    <s v="Organizer Model P93"/>
    <x v="3"/>
    <n v="175.55"/>
    <x v="123"/>
  </r>
  <r>
    <x v="248"/>
    <x v="13"/>
    <s v="PROD-DIGI-024"/>
    <n v="4"/>
    <x v="248"/>
    <x v="1"/>
    <x v="3"/>
    <x v="3"/>
    <s v=" disputed  "/>
    <x v="5"/>
    <s v="Premium Stream 1M Model Y24"/>
    <x v="2"/>
    <n v="29.9"/>
    <x v="180"/>
  </r>
  <r>
    <x v="249"/>
    <x v="61"/>
    <s v="PROD-HOME-017"/>
    <n v="2"/>
    <x v="249"/>
    <x v="1"/>
    <x v="0"/>
    <x v="2"/>
    <s v="   delivered "/>
    <x v="0"/>
    <s v="Pillow Model R17"/>
    <x v="3"/>
    <n v="169.86"/>
    <x v="181"/>
  </r>
  <r>
    <x v="250"/>
    <x v="135"/>
    <s v="PROD-DIGI-139"/>
    <n v="2"/>
    <x v="250"/>
    <x v="0"/>
    <x v="6"/>
    <x v="2"/>
    <s v="   delivered "/>
    <x v="0"/>
    <s v="Software License Tier A Model J139"/>
    <x v="2"/>
    <n v="90.05"/>
    <x v="182"/>
  </r>
  <r>
    <x v="251"/>
    <x v="9"/>
    <s v="PROD-HOME-102"/>
    <n v="1"/>
    <x v="251"/>
    <x v="0"/>
    <x v="2"/>
    <x v="2"/>
    <s v="   delivered "/>
    <x v="0"/>
    <s v="Organizer Model Y102"/>
    <x v="3"/>
    <n v="147.26"/>
    <x v="166"/>
  </r>
  <r>
    <x v="252"/>
    <x v="174"/>
    <s v="PROD-ELEC-100"/>
    <n v="4"/>
    <x v="252"/>
    <x v="3"/>
    <x v="5"/>
    <x v="3"/>
    <s v="REFUNDED "/>
    <x v="4"/>
    <s v="Charger Model W100"/>
    <x v="0"/>
    <n v="219.96"/>
    <x v="38"/>
  </r>
  <r>
    <x v="253"/>
    <x v="2"/>
    <s v="PROD-HOME-093"/>
    <n v="1"/>
    <x v="253"/>
    <x v="1"/>
    <x v="4"/>
    <x v="0"/>
    <s v="   delivered "/>
    <x v="0"/>
    <s v="Organizer Model P93"/>
    <x v="3"/>
    <n v="175.55"/>
    <x v="123"/>
  </r>
  <r>
    <x v="254"/>
    <x v="175"/>
    <s v="PROD-DIGI-115"/>
    <n v="1"/>
    <x v="254"/>
    <x v="2"/>
    <x v="3"/>
    <x v="3"/>
    <s v=" disputed  "/>
    <x v="5"/>
    <s v="Premium Stream 1M Model L115"/>
    <x v="2"/>
    <n v="62.86"/>
    <x v="78"/>
  </r>
  <r>
    <x v="255"/>
    <x v="144"/>
    <s v="PROD-LUXU-082"/>
    <n v="5"/>
    <x v="255"/>
    <x v="2"/>
    <x v="1"/>
    <x v="3"/>
    <s v="PENDING_REVIEW"/>
    <x v="2"/>
    <s v="Designer Watch Model E82"/>
    <x v="4"/>
    <n v="1769.3"/>
    <x v="183"/>
  </r>
  <r>
    <x v="256"/>
    <x v="65"/>
    <s v="PROD-ELEC-007"/>
    <n v="1"/>
    <x v="256"/>
    <x v="1"/>
    <x v="2"/>
    <x v="2"/>
    <s v="   delivered "/>
    <x v="0"/>
    <s v="Smartwatch Model H7"/>
    <x v="0"/>
    <n v="204.37"/>
    <x v="24"/>
  </r>
  <r>
    <x v="257"/>
    <x v="176"/>
    <s v="PROD-DIGI-073"/>
    <n v="1"/>
    <x v="257"/>
    <x v="0"/>
    <x v="4"/>
    <x v="2"/>
    <s v="   delivered "/>
    <x v="0"/>
    <s v="VPN 6-Month Pass Model V73"/>
    <x v="2"/>
    <n v="58.13"/>
    <x v="21"/>
  </r>
  <r>
    <x v="258"/>
    <x v="177"/>
    <s v="PROD-HOME-094"/>
    <n v="3"/>
    <x v="258"/>
    <x v="1"/>
    <x v="2"/>
    <x v="1"/>
    <s v="   delivered "/>
    <x v="0"/>
    <s v="Blender Model Q94"/>
    <x v="3"/>
    <n v="129.13"/>
    <x v="184"/>
  </r>
  <r>
    <x v="259"/>
    <x v="60"/>
    <s v="PROD-HOME-074"/>
    <n v="3"/>
    <x v="259"/>
    <x v="1"/>
    <x v="2"/>
    <x v="2"/>
    <s v="   delivered "/>
    <x v="0"/>
    <s v="Blender Model W74"/>
    <x v="3"/>
    <n v="127.16"/>
    <x v="185"/>
  </r>
  <r>
    <x v="260"/>
    <x v="89"/>
    <s v="PROD-DIGI-148"/>
    <n v="4"/>
    <x v="260"/>
    <x v="0"/>
    <x v="5"/>
    <x v="3"/>
    <s v="REFUNDED "/>
    <x v="4"/>
    <s v="Premium Stream 1M Model S148"/>
    <x v="2"/>
    <n v="9.73"/>
    <x v="186"/>
  </r>
  <r>
    <x v="261"/>
    <x v="171"/>
    <s v="PROD-APPA-135"/>
    <n v="1"/>
    <x v="261"/>
    <x v="1"/>
    <x v="0"/>
    <x v="1"/>
    <s v="SHIPPED  "/>
    <x v="1"/>
    <s v="Hoodie Model F135"/>
    <x v="1"/>
    <n v="46.94"/>
    <x v="68"/>
  </r>
  <r>
    <x v="262"/>
    <x v="2"/>
    <s v="PROD-DIGI-131"/>
    <n v="2"/>
    <x v="262"/>
    <x v="1"/>
    <x v="1"/>
    <x v="2"/>
    <s v="   delivered "/>
    <x v="0"/>
    <s v="VPN 6-Month Pass Model B131"/>
    <x v="2"/>
    <n v="46.92"/>
    <x v="178"/>
  </r>
  <r>
    <x v="263"/>
    <x v="178"/>
    <s v="PROD-HOME-074"/>
    <n v="1"/>
    <x v="263"/>
    <x v="1"/>
    <x v="6"/>
    <x v="0"/>
    <s v="   delivered "/>
    <x v="0"/>
    <s v="Blender Model W74"/>
    <x v="3"/>
    <n v="127.16"/>
    <x v="5"/>
  </r>
  <r>
    <x v="264"/>
    <x v="154"/>
    <s v="PROD-DIGI-148"/>
    <n v="5"/>
    <x v="264"/>
    <x v="0"/>
    <x v="3"/>
    <x v="3"/>
    <s v=" cancelled"/>
    <x v="3"/>
    <s v="Premium Stream 1M Model S148"/>
    <x v="2"/>
    <n v="9.73"/>
    <x v="187"/>
  </r>
  <r>
    <x v="265"/>
    <x v="179"/>
    <s v="PROD-HOME-138"/>
    <n v="1"/>
    <x v="265"/>
    <x v="1"/>
    <x v="4"/>
    <x v="2"/>
    <s v="   delivered "/>
    <x v="0"/>
    <s v="Desk Lamp Model I138"/>
    <x v="3"/>
    <n v="94.55"/>
    <x v="188"/>
  </r>
  <r>
    <x v="266"/>
    <x v="180"/>
    <s v="PROD-APPA-043"/>
    <n v="1"/>
    <x v="266"/>
    <x v="1"/>
    <x v="5"/>
    <x v="2"/>
    <s v="REFUNDED "/>
    <x v="4"/>
    <s v="Hoodie Model R43"/>
    <x v="1"/>
    <n v="68.040000000000006"/>
    <x v="82"/>
  </r>
  <r>
    <x v="267"/>
    <x v="181"/>
    <s v="PROD-HOME-034"/>
    <n v="2"/>
    <x v="267"/>
    <x v="0"/>
    <x v="4"/>
    <x v="1"/>
    <s v="   delivered "/>
    <x v="0"/>
    <s v="Desk Lamp Model I34"/>
    <x v="3"/>
    <n v="141.91"/>
    <x v="189"/>
  </r>
  <r>
    <x v="268"/>
    <x v="182"/>
    <s v="PROD-ELEC-087"/>
    <n v="1"/>
    <x v="268"/>
    <x v="0"/>
    <x v="4"/>
    <x v="0"/>
    <s v="   delivered "/>
    <x v="0"/>
    <s v="Mouse Model J87"/>
    <x v="0"/>
    <n v="164.06"/>
    <x v="25"/>
  </r>
  <r>
    <x v="269"/>
    <x v="183"/>
    <s v="PROD-HOME-009"/>
    <n v="1"/>
    <x v="269"/>
    <x v="0"/>
    <x v="1"/>
    <x v="2"/>
    <s v="   delivered "/>
    <x v="0"/>
    <s v="Coffee Maker Model J9"/>
    <x v="3"/>
    <n v="34.840000000000003"/>
    <x v="30"/>
  </r>
  <r>
    <x v="270"/>
    <x v="184"/>
    <s v="PROD-LUXU-120"/>
    <n v="1"/>
    <x v="270"/>
    <x v="0"/>
    <x v="3"/>
    <x v="2"/>
    <s v=" cancelled"/>
    <x v="3"/>
    <s v="Premium Perfume Model Q120"/>
    <x v="4"/>
    <n v="505.45"/>
    <x v="46"/>
  </r>
  <r>
    <x v="271"/>
    <x v="72"/>
    <s v="PROD-APPA-072"/>
    <n v="5"/>
    <x v="271"/>
    <x v="0"/>
    <x v="5"/>
    <x v="4"/>
    <s v=" cancelled"/>
    <x v="3"/>
    <s v="Jacket Model U72"/>
    <x v="1"/>
    <n v="75.400000000000006"/>
    <x v="190"/>
  </r>
  <r>
    <x v="272"/>
    <x v="156"/>
    <s v="PROD-LUXU-082"/>
    <n v="5"/>
    <x v="272"/>
    <x v="3"/>
    <x v="2"/>
    <x v="4"/>
    <s v="REFUNDED "/>
    <x v="4"/>
    <s v="Designer Watch Model E82"/>
    <x v="4"/>
    <n v="1769.3"/>
    <x v="183"/>
  </r>
  <r>
    <x v="273"/>
    <x v="133"/>
    <s v="PROD-DIGI-076"/>
    <n v="4"/>
    <x v="273"/>
    <x v="2"/>
    <x v="5"/>
    <x v="3"/>
    <s v="REFUNDED "/>
    <x v="4"/>
    <s v="E-Book Access Model Y76"/>
    <x v="2"/>
    <n v="92.33"/>
    <x v="191"/>
  </r>
  <r>
    <x v="274"/>
    <x v="102"/>
    <s v="PROD-ELEC-060"/>
    <n v="1"/>
    <x v="274"/>
    <x v="0"/>
    <x v="0"/>
    <x v="0"/>
    <s v="   delivered "/>
    <x v="0"/>
    <s v="Mouse Model I60"/>
    <x v="0"/>
    <n v="168.25"/>
    <x v="139"/>
  </r>
  <r>
    <x v="275"/>
    <x v="185"/>
    <s v="PROD-ELEC-103"/>
    <n v="5"/>
    <x v="275"/>
    <x v="2"/>
    <x v="3"/>
    <x v="2"/>
    <s v="REFUNDED "/>
    <x v="4"/>
    <s v="Webcam Model Z103"/>
    <x v="0"/>
    <n v="60.39"/>
    <x v="192"/>
  </r>
  <r>
    <x v="276"/>
    <x v="105"/>
    <s v="PROD-APPA-027"/>
    <n v="2"/>
    <x v="276"/>
    <x v="1"/>
    <x v="4"/>
    <x v="2"/>
    <s v="   delivered "/>
    <x v="0"/>
    <s v="Jacket Model B27"/>
    <x v="1"/>
    <n v="64.290000000000006"/>
    <x v="193"/>
  </r>
  <r>
    <x v="277"/>
    <x v="186"/>
    <s v="PROD-LUXU-147"/>
    <n v="5"/>
    <x v="277"/>
    <x v="2"/>
    <x v="5"/>
    <x v="3"/>
    <s v="PENDING_REVIEW"/>
    <x v="2"/>
    <s v="Designer Watch Model R147"/>
    <x v="4"/>
    <n v="484.68"/>
    <x v="194"/>
  </r>
  <r>
    <x v="278"/>
    <x v="109"/>
    <s v="PROD-DIGI-105"/>
    <n v="2"/>
    <x v="278"/>
    <x v="0"/>
    <x v="1"/>
    <x v="1"/>
    <s v="   delivered "/>
    <x v="0"/>
    <s v="VPN 6-Month Pass Model B105"/>
    <x v="2"/>
    <n v="36.130000000000003"/>
    <x v="107"/>
  </r>
  <r>
    <x v="279"/>
    <x v="0"/>
    <s v="PROD-APPA-070"/>
    <n v="5"/>
    <x v="279"/>
    <x v="3"/>
    <x v="5"/>
    <x v="4"/>
    <s v=" disputed  "/>
    <x v="5"/>
    <s v="T-Shirt Model S70"/>
    <x v="1"/>
    <n v="75.45"/>
    <x v="195"/>
  </r>
  <r>
    <x v="280"/>
    <x v="62"/>
    <s v="PROD-ELEC-104"/>
    <n v="4"/>
    <x v="280"/>
    <x v="2"/>
    <x v="5"/>
    <x v="2"/>
    <s v=" cancelled"/>
    <x v="3"/>
    <s v="Smartwatch Model A104"/>
    <x v="0"/>
    <n v="80.59"/>
    <x v="196"/>
  </r>
  <r>
    <x v="281"/>
    <x v="187"/>
    <s v="PROD-APPA-002"/>
    <n v="1"/>
    <x v="281"/>
    <x v="1"/>
    <x v="1"/>
    <x v="0"/>
    <s v=" cancelled"/>
    <x v="3"/>
    <s v="Sneakers Model C2"/>
    <x v="1"/>
    <n v="21.27"/>
    <x v="197"/>
  </r>
  <r>
    <x v="282"/>
    <x v="167"/>
    <s v="PROD-LUXU-032"/>
    <n v="5"/>
    <x v="282"/>
    <x v="1"/>
    <x v="6"/>
    <x v="4"/>
    <s v="REFUNDED "/>
    <x v="4"/>
    <s v="Premium Perfume Model G32"/>
    <x v="4"/>
    <n v="1990.92"/>
    <x v="198"/>
  </r>
  <r>
    <x v="283"/>
    <x v="188"/>
    <s v="PROD-ELEC-088"/>
    <n v="2"/>
    <x v="283"/>
    <x v="0"/>
    <x v="4"/>
    <x v="1"/>
    <s v="   delivered "/>
    <x v="0"/>
    <s v="Mouse Model K88"/>
    <x v="0"/>
    <n v="93.39"/>
    <x v="199"/>
  </r>
  <r>
    <x v="284"/>
    <x v="189"/>
    <s v="PROD-ELEC-049"/>
    <n v="5"/>
    <x v="284"/>
    <x v="1"/>
    <x v="3"/>
    <x v="3"/>
    <s v=" cancelled"/>
    <x v="3"/>
    <s v="Keyboard Model X49"/>
    <x v="0"/>
    <n v="30.84"/>
    <x v="200"/>
  </r>
  <r>
    <x v="285"/>
    <x v="190"/>
    <s v="PROD-LUXU-092"/>
    <n v="5"/>
    <x v="285"/>
    <x v="2"/>
    <x v="4"/>
    <x v="4"/>
    <s v="REFUNDED "/>
    <x v="4"/>
    <s v="Leather Handbag Model O92"/>
    <x v="4"/>
    <n v="1245.53"/>
    <x v="201"/>
  </r>
  <r>
    <x v="286"/>
    <x v="191"/>
    <s v="PROD-HOME-039"/>
    <n v="1"/>
    <x v="286"/>
    <x v="1"/>
    <x v="1"/>
    <x v="2"/>
    <s v="   delivered "/>
    <x v="0"/>
    <s v="Organizer Model N39"/>
    <x v="3"/>
    <n v="149.08000000000001"/>
    <x v="31"/>
  </r>
  <r>
    <x v="287"/>
    <x v="192"/>
    <s v="PROD-ELEC-083"/>
    <n v="1"/>
    <x v="287"/>
    <x v="0"/>
    <x v="4"/>
    <x v="0"/>
    <s v="   delivered "/>
    <x v="0"/>
    <s v="Keyboard Model F83"/>
    <x v="0"/>
    <n v="77.150000000000006"/>
    <x v="111"/>
  </r>
  <r>
    <x v="288"/>
    <x v="125"/>
    <s v="PROD-LUXU-036"/>
    <n v="4"/>
    <x v="288"/>
    <x v="0"/>
    <x v="2"/>
    <x v="3"/>
    <s v=" disputed  "/>
    <x v="5"/>
    <s v="Silk Scarf Model K36"/>
    <x v="4"/>
    <n v="737.6"/>
    <x v="202"/>
  </r>
  <r>
    <x v="289"/>
    <x v="193"/>
    <s v="PROD-APPA-071"/>
    <n v="4"/>
    <x v="289"/>
    <x v="2"/>
    <x v="3"/>
    <x v="4"/>
    <s v=" disputed  "/>
    <x v="5"/>
    <s v="Socks Model T71"/>
    <x v="1"/>
    <n v="23.19"/>
    <x v="203"/>
  </r>
  <r>
    <x v="290"/>
    <x v="175"/>
    <s v="PROD-LUXU-092"/>
    <n v="1"/>
    <x v="290"/>
    <x v="0"/>
    <x v="2"/>
    <x v="3"/>
    <s v="PENDING_REVIEW"/>
    <x v="2"/>
    <s v="Leather Handbag Model O92"/>
    <x v="4"/>
    <n v="1245.53"/>
    <x v="204"/>
  </r>
  <r>
    <x v="291"/>
    <x v="52"/>
    <s v="PROD-ELEC-055"/>
    <n v="1"/>
    <x v="291"/>
    <x v="0"/>
    <x v="0"/>
    <x v="2"/>
    <s v="   delivered "/>
    <x v="0"/>
    <s v="Webcam Model D55"/>
    <x v="0"/>
    <n v="168.56"/>
    <x v="15"/>
  </r>
  <r>
    <x v="292"/>
    <x v="194"/>
    <s v="PROD-HOME-075"/>
    <n v="1"/>
    <x v="292"/>
    <x v="2"/>
    <x v="5"/>
    <x v="2"/>
    <s v="REFUNDED "/>
    <x v="4"/>
    <s v="Mug Model X75"/>
    <x v="3"/>
    <n v="40.94"/>
    <x v="205"/>
  </r>
  <r>
    <x v="293"/>
    <x v="144"/>
    <s v="PROD-LUXU-032"/>
    <n v="4"/>
    <x v="293"/>
    <x v="3"/>
    <x v="2"/>
    <x v="4"/>
    <s v=" disputed  "/>
    <x v="5"/>
    <s v="Premium Perfume Model G32"/>
    <x v="4"/>
    <n v="1990.92"/>
    <x v="13"/>
  </r>
  <r>
    <x v="294"/>
    <x v="5"/>
    <s v="PROD-HOME-106"/>
    <n v="1"/>
    <x v="294"/>
    <x v="1"/>
    <x v="0"/>
    <x v="2"/>
    <s v="   delivered "/>
    <x v="0"/>
    <s v="Blender Model C106"/>
    <x v="3"/>
    <n v="112.89"/>
    <x v="206"/>
  </r>
  <r>
    <x v="295"/>
    <x v="195"/>
    <s v="PROD-ELEC-056"/>
    <n v="1"/>
    <x v="295"/>
    <x v="1"/>
    <x v="0"/>
    <x v="0"/>
    <s v="SHIPPED  "/>
    <x v="1"/>
    <s v="Charger Model E56"/>
    <x v="0"/>
    <n v="186.13"/>
    <x v="72"/>
  </r>
  <r>
    <x v="296"/>
    <x v="160"/>
    <s v="PROD-LUXU-129"/>
    <n v="1"/>
    <x v="296"/>
    <x v="3"/>
    <x v="5"/>
    <x v="2"/>
    <s v="PENDING_REVIEW"/>
    <x v="2"/>
    <s v="Silk Scarf Model Z129"/>
    <x v="4"/>
    <n v="1610"/>
    <x v="207"/>
  </r>
  <r>
    <x v="297"/>
    <x v="102"/>
    <s v="PROD-APPA-042"/>
    <n v="5"/>
    <x v="297"/>
    <x v="3"/>
    <x v="5"/>
    <x v="3"/>
    <s v=" disputed  "/>
    <x v="5"/>
    <s v="Jeans Model Q42"/>
    <x v="1"/>
    <n v="82.57"/>
    <x v="208"/>
  </r>
  <r>
    <x v="298"/>
    <x v="196"/>
    <s v="PROD-APPA-027"/>
    <n v="1"/>
    <x v="298"/>
    <x v="1"/>
    <x v="0"/>
    <x v="0"/>
    <s v=" disputed  "/>
    <x v="5"/>
    <s v="Jacket Model B27"/>
    <x v="1"/>
    <n v="64.290000000000006"/>
    <x v="209"/>
  </r>
  <r>
    <x v="299"/>
    <x v="156"/>
    <s v="PROD-LUXU-020"/>
    <n v="4"/>
    <x v="299"/>
    <x v="0"/>
    <x v="1"/>
    <x v="2"/>
    <s v=" cancelled"/>
    <x v="3"/>
    <s v="Leather Handbag Model U20"/>
    <x v="4"/>
    <n v="1806.15"/>
    <x v="67"/>
  </r>
  <r>
    <x v="300"/>
    <x v="164"/>
    <s v="PROD-ELEC-087"/>
    <n v="1"/>
    <x v="300"/>
    <x v="1"/>
    <x v="0"/>
    <x v="0"/>
    <s v="   delivered "/>
    <x v="0"/>
    <s v="Mouse Model J87"/>
    <x v="0"/>
    <n v="164.06"/>
    <x v="25"/>
  </r>
  <r>
    <x v="301"/>
    <x v="197"/>
    <s v="PROD-ELEC-035"/>
    <n v="1"/>
    <x v="301"/>
    <x v="1"/>
    <x v="2"/>
    <x v="2"/>
    <s v="   delivered "/>
    <x v="0"/>
    <s v="Smartwatch Model J35"/>
    <x v="0"/>
    <n v="161.94999999999999"/>
    <x v="54"/>
  </r>
  <r>
    <x v="302"/>
    <x v="198"/>
    <s v="PROD-APPA-015"/>
    <n v="5"/>
    <x v="302"/>
    <x v="3"/>
    <x v="5"/>
    <x v="2"/>
    <s v=" cancelled"/>
    <x v="3"/>
    <s v="Cap Model P15"/>
    <x v="1"/>
    <n v="21.11"/>
    <x v="210"/>
  </r>
  <r>
    <x v="303"/>
    <x v="71"/>
    <s v="PROD-DIGI-041"/>
    <n v="1"/>
    <x v="303"/>
    <x v="3"/>
    <x v="3"/>
    <x v="2"/>
    <s v="REFUNDED "/>
    <x v="4"/>
    <s v="Cloud Storage Basic Model P41"/>
    <x v="2"/>
    <n v="96.93"/>
    <x v="211"/>
  </r>
  <r>
    <x v="304"/>
    <x v="15"/>
    <s v="PROD-LUXU-036"/>
    <n v="5"/>
    <x v="304"/>
    <x v="2"/>
    <x v="2"/>
    <x v="3"/>
    <s v="PENDING_REVIEW"/>
    <x v="2"/>
    <s v="Silk Scarf Model K36"/>
    <x v="4"/>
    <n v="737.6"/>
    <x v="135"/>
  </r>
  <r>
    <x v="305"/>
    <x v="199"/>
    <s v="PROD-HOME-065"/>
    <n v="2"/>
    <x v="305"/>
    <x v="1"/>
    <x v="6"/>
    <x v="0"/>
    <s v="SHIPPED  "/>
    <x v="1"/>
    <s v="Mug Model N65"/>
    <x v="3"/>
    <n v="131.44999999999999"/>
    <x v="212"/>
  </r>
  <r>
    <x v="306"/>
    <x v="26"/>
    <s v="PROD-APPA-058"/>
    <n v="1"/>
    <x v="306"/>
    <x v="0"/>
    <x v="4"/>
    <x v="0"/>
    <s v="   delivered "/>
    <x v="0"/>
    <s v="Socks Model G58"/>
    <x v="1"/>
    <n v="30.18"/>
    <x v="55"/>
  </r>
  <r>
    <x v="307"/>
    <x v="152"/>
    <s v="PROD-DIGI-022"/>
    <n v="1"/>
    <x v="307"/>
    <x v="1"/>
    <x v="2"/>
    <x v="1"/>
    <s v="REFUNDED "/>
    <x v="4"/>
    <s v="E-Book Access Model W22"/>
    <x v="2"/>
    <n v="11.22"/>
    <x v="213"/>
  </r>
  <r>
    <x v="308"/>
    <x v="121"/>
    <s v="PROD-DIGI-144"/>
    <n v="2"/>
    <x v="308"/>
    <x v="1"/>
    <x v="0"/>
    <x v="2"/>
    <s v="   delivered "/>
    <x v="0"/>
    <s v="Cloud Storage Basic Model O144"/>
    <x v="2"/>
    <n v="41.55"/>
    <x v="214"/>
  </r>
  <r>
    <x v="309"/>
    <x v="152"/>
    <s v="PROD-LUXU-023"/>
    <n v="5"/>
    <x v="309"/>
    <x v="1"/>
    <x v="6"/>
    <x v="4"/>
    <s v="REFUNDED "/>
    <x v="4"/>
    <s v="Premium Perfume Model X23"/>
    <x v="4"/>
    <n v="767.78"/>
    <x v="215"/>
  </r>
  <r>
    <x v="310"/>
    <x v="87"/>
    <s v="PROD-APPA-121"/>
    <n v="1"/>
    <x v="310"/>
    <x v="1"/>
    <x v="4"/>
    <x v="0"/>
    <s v="SHIPPED  "/>
    <x v="1"/>
    <s v="Sneakers Model R121"/>
    <x v="1"/>
    <n v="44.15"/>
    <x v="131"/>
  </r>
  <r>
    <x v="311"/>
    <x v="92"/>
    <s v="PROD-APPA-027"/>
    <n v="4"/>
    <x v="311"/>
    <x v="0"/>
    <x v="3"/>
    <x v="2"/>
    <s v="PENDING_REVIEW"/>
    <x v="2"/>
    <s v="Jacket Model B27"/>
    <x v="1"/>
    <n v="64.290000000000006"/>
    <x v="216"/>
  </r>
  <r>
    <x v="312"/>
    <x v="143"/>
    <s v="PROD-HOME-075"/>
    <n v="5"/>
    <x v="312"/>
    <x v="0"/>
    <x v="5"/>
    <x v="2"/>
    <s v=" disputed  "/>
    <x v="5"/>
    <s v="Mug Model X75"/>
    <x v="3"/>
    <n v="40.94"/>
    <x v="175"/>
  </r>
  <r>
    <x v="313"/>
    <x v="18"/>
    <s v="PROD-DIGI-150"/>
    <n v="1"/>
    <x v="313"/>
    <x v="0"/>
    <x v="2"/>
    <x v="1"/>
    <s v="SHIPPED  "/>
    <x v="1"/>
    <s v="E-Book Access Model U150"/>
    <x v="2"/>
    <n v="75.69"/>
    <x v="165"/>
  </r>
  <r>
    <x v="314"/>
    <x v="191"/>
    <s v="PROD-ELEC-128"/>
    <n v="1"/>
    <x v="314"/>
    <x v="1"/>
    <x v="0"/>
    <x v="0"/>
    <s v="   delivered "/>
    <x v="0"/>
    <s v="Charger Model Y128"/>
    <x v="0"/>
    <n v="46.33"/>
    <x v="217"/>
  </r>
  <r>
    <x v="315"/>
    <x v="140"/>
    <s v="PROD-ELEC-078"/>
    <n v="5"/>
    <x v="315"/>
    <x v="0"/>
    <x v="5"/>
    <x v="3"/>
    <s v="REFUNDED "/>
    <x v="4"/>
    <s v="Mouse Model A78"/>
    <x v="0"/>
    <n v="141.34"/>
    <x v="218"/>
  </r>
  <r>
    <x v="316"/>
    <x v="14"/>
    <s v="PROD-DIGI-109"/>
    <n v="1"/>
    <x v="316"/>
    <x v="0"/>
    <x v="3"/>
    <x v="4"/>
    <s v=" disputed  "/>
    <x v="5"/>
    <s v="VPN 6-Month Pass Model F109"/>
    <x v="2"/>
    <n v="22.87"/>
    <x v="20"/>
  </r>
  <r>
    <x v="317"/>
    <x v="194"/>
    <s v="PROD-DIGI-118"/>
    <n v="1"/>
    <x v="317"/>
    <x v="1"/>
    <x v="6"/>
    <x v="1"/>
    <s v="   delivered "/>
    <x v="0"/>
    <s v="Premium Stream 1M Model O118"/>
    <x v="2"/>
    <n v="53.05"/>
    <x v="98"/>
  </r>
  <r>
    <x v="318"/>
    <x v="126"/>
    <s v="PROD-DIGI-046"/>
    <n v="1"/>
    <x v="318"/>
    <x v="0"/>
    <x v="5"/>
    <x v="4"/>
    <s v="PENDING_REVIEW"/>
    <x v="2"/>
    <s v="VPN 6-Month Pass Model U46"/>
    <x v="2"/>
    <n v="47.44"/>
    <x v="101"/>
  </r>
  <r>
    <x v="319"/>
    <x v="200"/>
    <s v="PROD-HOME-085"/>
    <n v="1"/>
    <x v="319"/>
    <x v="0"/>
    <x v="6"/>
    <x v="1"/>
    <s v="SHIPPED  "/>
    <x v="1"/>
    <s v="Blender Model H85"/>
    <x v="3"/>
    <n v="130"/>
    <x v="158"/>
  </r>
  <r>
    <x v="320"/>
    <x v="168"/>
    <s v="PROD-LUXU-086"/>
    <n v="1"/>
    <x v="320"/>
    <x v="1"/>
    <x v="0"/>
    <x v="4"/>
    <s v="REFUNDED "/>
    <x v="4"/>
    <s v="Gold Bracelet Model I86"/>
    <x v="4"/>
    <n v="852.47"/>
    <x v="29"/>
  </r>
  <r>
    <x v="321"/>
    <x v="201"/>
    <s v="PROD-ELEC-060"/>
    <n v="3"/>
    <x v="321"/>
    <x v="0"/>
    <x v="4"/>
    <x v="0"/>
    <s v="PENDING_REVIEW"/>
    <x v="2"/>
    <s v="Mouse Model I60"/>
    <x v="0"/>
    <n v="168.25"/>
    <x v="219"/>
  </r>
  <r>
    <x v="322"/>
    <x v="59"/>
    <s v="PROD-ELEC-104"/>
    <n v="5"/>
    <x v="322"/>
    <x v="0"/>
    <x v="3"/>
    <x v="3"/>
    <s v=" cancelled"/>
    <x v="3"/>
    <s v="Smartwatch Model A104"/>
    <x v="0"/>
    <n v="80.59"/>
    <x v="220"/>
  </r>
  <r>
    <x v="323"/>
    <x v="202"/>
    <s v="PROD-HOME-010"/>
    <n v="2"/>
    <x v="323"/>
    <x v="0"/>
    <x v="2"/>
    <x v="0"/>
    <s v="   delivered "/>
    <x v="0"/>
    <s v="Desk Lamp Model K10"/>
    <x v="3"/>
    <n v="62.32"/>
    <x v="221"/>
  </r>
  <r>
    <x v="324"/>
    <x v="35"/>
    <s v="PROD-LUXU-123"/>
    <n v="5"/>
    <x v="324"/>
    <x v="1"/>
    <x v="3"/>
    <x v="2"/>
    <s v="REFUNDED "/>
    <x v="4"/>
    <s v="Designer Watch Model T123"/>
    <x v="4"/>
    <n v="1301.92"/>
    <x v="222"/>
  </r>
  <r>
    <x v="325"/>
    <x v="203"/>
    <s v="PROD-APPA-072"/>
    <n v="1"/>
    <x v="325"/>
    <x v="0"/>
    <x v="6"/>
    <x v="1"/>
    <s v="   delivered "/>
    <x v="0"/>
    <s v="Jacket Model U72"/>
    <x v="1"/>
    <n v="75.400000000000006"/>
    <x v="19"/>
  </r>
  <r>
    <x v="326"/>
    <x v="152"/>
    <s v="PROD-HOME-095"/>
    <n v="1"/>
    <x v="326"/>
    <x v="1"/>
    <x v="2"/>
    <x v="2"/>
    <s v="   delivered "/>
    <x v="0"/>
    <s v="Organizer Model R95"/>
    <x v="3"/>
    <n v="109.58"/>
    <x v="27"/>
  </r>
  <r>
    <x v="327"/>
    <x v="204"/>
    <s v="PROD-HOME-068"/>
    <n v="1"/>
    <x v="327"/>
    <x v="1"/>
    <x v="6"/>
    <x v="2"/>
    <s v="REFUNDED "/>
    <x v="4"/>
    <s v="Coffee Maker Model Q68"/>
    <x v="3"/>
    <n v="28.02"/>
    <x v="41"/>
  </r>
  <r>
    <x v="328"/>
    <x v="205"/>
    <s v="PROD-DIGI-051"/>
    <n v="1"/>
    <x v="328"/>
    <x v="1"/>
    <x v="1"/>
    <x v="2"/>
    <s v="   delivered "/>
    <x v="0"/>
    <s v="Premium Stream 1M Model Z51"/>
    <x v="2"/>
    <n v="55.69"/>
    <x v="110"/>
  </r>
  <r>
    <x v="329"/>
    <x v="84"/>
    <s v="PROD-ELEC-055"/>
    <n v="5"/>
    <x v="329"/>
    <x v="3"/>
    <x v="3"/>
    <x v="2"/>
    <s v="PENDING_REVIEW"/>
    <x v="2"/>
    <s v="Webcam Model D55"/>
    <x v="0"/>
    <n v="168.56"/>
    <x v="223"/>
  </r>
  <r>
    <x v="330"/>
    <x v="200"/>
    <s v="PROD-HOME-085"/>
    <n v="1"/>
    <x v="330"/>
    <x v="1"/>
    <x v="0"/>
    <x v="2"/>
    <s v="   delivered "/>
    <x v="0"/>
    <s v="Blender Model H85"/>
    <x v="3"/>
    <n v="130"/>
    <x v="158"/>
  </r>
  <r>
    <x v="331"/>
    <x v="206"/>
    <s v="PROD-ELEC-140"/>
    <n v="4"/>
    <x v="331"/>
    <x v="2"/>
    <x v="5"/>
    <x v="4"/>
    <s v=" disputed  "/>
    <x v="5"/>
    <s v="Smartwatch Model K140"/>
    <x v="0"/>
    <n v="221.95"/>
    <x v="148"/>
  </r>
  <r>
    <x v="332"/>
    <x v="8"/>
    <s v="PROD-HOME-039"/>
    <n v="1"/>
    <x v="332"/>
    <x v="0"/>
    <x v="5"/>
    <x v="3"/>
    <s v="REFUNDED "/>
    <x v="4"/>
    <s v="Organizer Model N39"/>
    <x v="3"/>
    <n v="149.08000000000001"/>
    <x v="31"/>
  </r>
  <r>
    <x v="333"/>
    <x v="80"/>
    <s v="PROD-LUXU-003"/>
    <n v="4"/>
    <x v="333"/>
    <x v="2"/>
    <x v="2"/>
    <x v="2"/>
    <s v=" disputed  "/>
    <x v="5"/>
    <s v="Designer Watch Model D3"/>
    <x v="4"/>
    <n v="1599.08"/>
    <x v="224"/>
  </r>
  <r>
    <x v="334"/>
    <x v="201"/>
    <s v="PROD-DIGI-019"/>
    <n v="4"/>
    <x v="334"/>
    <x v="0"/>
    <x v="3"/>
    <x v="3"/>
    <s v=" cancelled"/>
    <x v="3"/>
    <s v="Software License Tier A Model T19"/>
    <x v="2"/>
    <n v="30.38"/>
    <x v="225"/>
  </r>
  <r>
    <x v="335"/>
    <x v="46"/>
    <s v="PROD-DIGI-131"/>
    <n v="1"/>
    <x v="335"/>
    <x v="3"/>
    <x v="5"/>
    <x v="4"/>
    <s v=" cancelled"/>
    <x v="3"/>
    <s v="VPN 6-Month Pass Model B131"/>
    <x v="2"/>
    <n v="46.92"/>
    <x v="4"/>
  </r>
  <r>
    <x v="336"/>
    <x v="45"/>
    <s v="PROD-DIGI-145"/>
    <n v="1"/>
    <x v="336"/>
    <x v="4"/>
    <x v="2"/>
    <x v="2"/>
    <s v=" disputed  "/>
    <x v="5"/>
    <s v="Premium Stream 1M Model P145"/>
    <x v="2"/>
    <n v="84.01"/>
    <x v="113"/>
  </r>
  <r>
    <x v="337"/>
    <x v="160"/>
    <s v="PROD-DIGI-030"/>
    <n v="5"/>
    <x v="337"/>
    <x v="0"/>
    <x v="3"/>
    <x v="4"/>
    <s v=" disputed  "/>
    <x v="5"/>
    <s v="VPN 6-Month Pass Model E30"/>
    <x v="2"/>
    <n v="28.63"/>
    <x v="176"/>
  </r>
  <r>
    <x v="338"/>
    <x v="153"/>
    <s v="PROD-ELEC-087"/>
    <n v="1"/>
    <x v="338"/>
    <x v="0"/>
    <x v="4"/>
    <x v="2"/>
    <s v=" disputed  "/>
    <x v="5"/>
    <s v="Mouse Model J87"/>
    <x v="0"/>
    <n v="164.06"/>
    <x v="25"/>
  </r>
  <r>
    <x v="339"/>
    <x v="114"/>
    <s v="PROD-ELEC-098"/>
    <n v="4"/>
    <x v="339"/>
    <x v="2"/>
    <x v="3"/>
    <x v="4"/>
    <s v=" disputed  "/>
    <x v="5"/>
    <s v="Keyboard Model U98"/>
    <x v="0"/>
    <n v="188.09"/>
    <x v="226"/>
  </r>
  <r>
    <x v="340"/>
    <x v="145"/>
    <s v="PROD-APPA-027"/>
    <n v="2"/>
    <x v="340"/>
    <x v="0"/>
    <x v="2"/>
    <x v="2"/>
    <s v="   delivered "/>
    <x v="0"/>
    <s v="Jacket Model B27"/>
    <x v="1"/>
    <n v="64.290000000000006"/>
    <x v="193"/>
  </r>
  <r>
    <x v="341"/>
    <x v="173"/>
    <s v="PROD-DIGI-118"/>
    <n v="2"/>
    <x v="341"/>
    <x v="0"/>
    <x v="6"/>
    <x v="1"/>
    <s v="   delivered "/>
    <x v="0"/>
    <s v="Premium Stream 1M Model O118"/>
    <x v="2"/>
    <n v="53.05"/>
    <x v="227"/>
  </r>
  <r>
    <x v="342"/>
    <x v="28"/>
    <s v="PROD-HOME-054"/>
    <n v="1"/>
    <x v="342"/>
    <x v="0"/>
    <x v="4"/>
    <x v="1"/>
    <s v="   delivered "/>
    <x v="0"/>
    <s v="Mug Model C54"/>
    <x v="3"/>
    <n v="85.78"/>
    <x v="172"/>
  </r>
  <r>
    <x v="343"/>
    <x v="49"/>
    <s v="PROD-APPA-101"/>
    <n v="1"/>
    <x v="343"/>
    <x v="1"/>
    <x v="6"/>
    <x v="0"/>
    <s v="   delivered "/>
    <x v="0"/>
    <s v="Jeans Model X101"/>
    <x v="1"/>
    <n v="99.82"/>
    <x v="228"/>
  </r>
  <r>
    <x v="344"/>
    <x v="137"/>
    <s v="PROD-HOME-074"/>
    <n v="1"/>
    <x v="344"/>
    <x v="1"/>
    <x v="1"/>
    <x v="2"/>
    <s v="   delivered "/>
    <x v="0"/>
    <s v="Blender Model W74"/>
    <x v="3"/>
    <n v="127.16"/>
    <x v="5"/>
  </r>
  <r>
    <x v="345"/>
    <x v="207"/>
    <s v="PROD-APPA-111"/>
    <n v="1"/>
    <x v="345"/>
    <x v="0"/>
    <x v="0"/>
    <x v="0"/>
    <s v="   delivered "/>
    <x v="0"/>
    <s v="Hoodie Model H111"/>
    <x v="1"/>
    <n v="57.44"/>
    <x v="177"/>
  </r>
  <r>
    <x v="346"/>
    <x v="58"/>
    <s v="PROD-APPA-134"/>
    <n v="1"/>
    <x v="346"/>
    <x v="1"/>
    <x v="2"/>
    <x v="0"/>
    <s v="SHIPPED  "/>
    <x v="1"/>
    <s v="Hoodie Model E134"/>
    <x v="1"/>
    <n v="58.39"/>
    <x v="229"/>
  </r>
  <r>
    <x v="347"/>
    <x v="59"/>
    <s v="PROD-APPA-058"/>
    <n v="1"/>
    <x v="347"/>
    <x v="0"/>
    <x v="4"/>
    <x v="2"/>
    <s v="   delivered "/>
    <x v="0"/>
    <s v="Socks Model G58"/>
    <x v="1"/>
    <n v="30.18"/>
    <x v="55"/>
  </r>
  <r>
    <x v="348"/>
    <x v="100"/>
    <s v="PROD-APPA-043"/>
    <n v="1"/>
    <x v="348"/>
    <x v="1"/>
    <x v="1"/>
    <x v="0"/>
    <s v=" cancelled"/>
    <x v="3"/>
    <s v="Hoodie Model R43"/>
    <x v="1"/>
    <n v="68.040000000000006"/>
    <x v="82"/>
  </r>
  <r>
    <x v="349"/>
    <x v="179"/>
    <s v="PROD-HOME-095"/>
    <n v="1"/>
    <x v="349"/>
    <x v="2"/>
    <x v="3"/>
    <x v="4"/>
    <s v=" disputed  "/>
    <x v="5"/>
    <s v="Organizer Model R95"/>
    <x v="3"/>
    <n v="109.58"/>
    <x v="27"/>
  </r>
  <r>
    <x v="350"/>
    <x v="152"/>
    <s v="PROD-DIGI-022"/>
    <n v="1"/>
    <x v="350"/>
    <x v="1"/>
    <x v="1"/>
    <x v="0"/>
    <s v="   delivered "/>
    <x v="0"/>
    <s v="E-Book Access Model W22"/>
    <x v="2"/>
    <n v="11.22"/>
    <x v="213"/>
  </r>
  <r>
    <x v="351"/>
    <x v="159"/>
    <s v="PROD-LUXU-026"/>
    <n v="5"/>
    <x v="351"/>
    <x v="2"/>
    <x v="2"/>
    <x v="2"/>
    <s v="REFUNDED "/>
    <x v="4"/>
    <s v="Gold Bracelet Model A26"/>
    <x v="4"/>
    <n v="1096.3900000000001"/>
    <x v="134"/>
  </r>
  <r>
    <x v="352"/>
    <x v="208"/>
    <s v="PROD-APPA-122"/>
    <n v="1"/>
    <x v="352"/>
    <x v="1"/>
    <x v="0"/>
    <x v="2"/>
    <s v="   delivered "/>
    <x v="0"/>
    <s v="T-Shirt Model S122"/>
    <x v="1"/>
    <n v="15.08"/>
    <x v="155"/>
  </r>
  <r>
    <x v="353"/>
    <x v="203"/>
    <s v="PROD-DIGI-051"/>
    <n v="4"/>
    <x v="353"/>
    <x v="2"/>
    <x v="3"/>
    <x v="3"/>
    <s v="PENDING_REVIEW"/>
    <x v="2"/>
    <s v="Premium Stream 1M Model Z51"/>
    <x v="2"/>
    <n v="55.69"/>
    <x v="230"/>
  </r>
  <r>
    <x v="354"/>
    <x v="180"/>
    <s v="PROD-HOME-095"/>
    <n v="3"/>
    <x v="354"/>
    <x v="0"/>
    <x v="4"/>
    <x v="0"/>
    <s v="REFUNDED "/>
    <x v="4"/>
    <s v="Organizer Model R95"/>
    <x v="3"/>
    <n v="109.58"/>
    <x v="231"/>
  </r>
  <r>
    <x v="355"/>
    <x v="193"/>
    <s v="PROD-LUXU-086"/>
    <n v="5"/>
    <x v="355"/>
    <x v="0"/>
    <x v="3"/>
    <x v="3"/>
    <s v="PENDING_REVIEW"/>
    <x v="2"/>
    <s v="Gold Bracelet Model I86"/>
    <x v="4"/>
    <n v="852.47"/>
    <x v="232"/>
  </r>
  <r>
    <x v="356"/>
    <x v="15"/>
    <s v="PROD-ELEC-128"/>
    <n v="1"/>
    <x v="356"/>
    <x v="1"/>
    <x v="1"/>
    <x v="2"/>
    <s v="   delivered "/>
    <x v="0"/>
    <s v="Charger Model Y128"/>
    <x v="0"/>
    <n v="46.33"/>
    <x v="217"/>
  </r>
  <r>
    <x v="357"/>
    <x v="209"/>
    <s v="PROD-DIGI-011"/>
    <n v="1"/>
    <x v="357"/>
    <x v="0"/>
    <x v="5"/>
    <x v="4"/>
    <s v="PENDING_REVIEW"/>
    <x v="2"/>
    <s v="VPN 6-Month Pass Model L11"/>
    <x v="2"/>
    <n v="16.73"/>
    <x v="151"/>
  </r>
  <r>
    <x v="358"/>
    <x v="205"/>
    <s v="PROD-LUXU-025"/>
    <n v="4"/>
    <x v="358"/>
    <x v="0"/>
    <x v="1"/>
    <x v="2"/>
    <s v="REFUNDED "/>
    <x v="4"/>
    <s v="Silk Scarf Model Z25"/>
    <x v="4"/>
    <n v="878.03"/>
    <x v="233"/>
  </r>
  <r>
    <x v="359"/>
    <x v="158"/>
    <s v="PROD-ELEC-035"/>
    <n v="1"/>
    <x v="359"/>
    <x v="1"/>
    <x v="6"/>
    <x v="2"/>
    <s v="   delivered "/>
    <x v="0"/>
    <s v="Smartwatch Model J35"/>
    <x v="0"/>
    <n v="161.94999999999999"/>
    <x v="54"/>
  </r>
  <r>
    <x v="360"/>
    <x v="184"/>
    <s v="PROD-LUXU-048"/>
    <n v="5"/>
    <x v="360"/>
    <x v="2"/>
    <x v="1"/>
    <x v="3"/>
    <s v="REFUNDED "/>
    <x v="4"/>
    <s v="Leather Handbag Model W48"/>
    <x v="4"/>
    <n v="315.82"/>
    <x v="234"/>
  </r>
  <r>
    <x v="361"/>
    <x v="210"/>
    <s v="PROD-APPA-044"/>
    <n v="1"/>
    <x v="361"/>
    <x v="0"/>
    <x v="4"/>
    <x v="0"/>
    <s v="   delivered "/>
    <x v="0"/>
    <s v="Jacket Model S44"/>
    <x v="1"/>
    <n v="93.08"/>
    <x v="235"/>
  </r>
  <r>
    <x v="362"/>
    <x v="211"/>
    <s v="PROD-DIGI-041"/>
    <n v="1"/>
    <x v="362"/>
    <x v="0"/>
    <x v="1"/>
    <x v="0"/>
    <s v="   delivered "/>
    <x v="0"/>
    <s v="Cloud Storage Basic Model P41"/>
    <x v="2"/>
    <n v="96.93"/>
    <x v="211"/>
  </r>
  <r>
    <x v="363"/>
    <x v="17"/>
    <s v="PROD-APPA-097"/>
    <n v="1"/>
    <x v="363"/>
    <x v="1"/>
    <x v="2"/>
    <x v="1"/>
    <s v="SHIPPED  "/>
    <x v="1"/>
    <s v="Cap Model T97"/>
    <x v="1"/>
    <n v="99.18"/>
    <x v="12"/>
  </r>
  <r>
    <x v="364"/>
    <x v="212"/>
    <s v="PROD-DIGI-041"/>
    <n v="1"/>
    <x v="364"/>
    <x v="0"/>
    <x v="6"/>
    <x v="2"/>
    <s v="   delivered "/>
    <x v="0"/>
    <s v="Cloud Storage Basic Model P41"/>
    <x v="2"/>
    <n v="96.93"/>
    <x v="211"/>
  </r>
  <r>
    <x v="365"/>
    <x v="213"/>
    <s v="PROD-ELEC-067"/>
    <n v="1"/>
    <x v="365"/>
    <x v="0"/>
    <x v="0"/>
    <x v="0"/>
    <s v="   delivered "/>
    <x v="0"/>
    <s v="Cable Model P67"/>
    <x v="0"/>
    <n v="187.9"/>
    <x v="106"/>
  </r>
  <r>
    <x v="366"/>
    <x v="136"/>
    <s v="PROD-DIGI-130"/>
    <n v="1"/>
    <x v="366"/>
    <x v="0"/>
    <x v="0"/>
    <x v="0"/>
    <s v="   delivered "/>
    <x v="0"/>
    <s v="VPN 6-Month Pass Model A130"/>
    <x v="2"/>
    <n v="81.61"/>
    <x v="236"/>
  </r>
  <r>
    <x v="367"/>
    <x v="72"/>
    <s v="PROD-ELEC-055"/>
    <n v="2"/>
    <x v="367"/>
    <x v="4"/>
    <x v="2"/>
    <x v="1"/>
    <s v="   delivered "/>
    <x v="0"/>
    <s v="Webcam Model D55"/>
    <x v="0"/>
    <n v="168.56"/>
    <x v="92"/>
  </r>
  <r>
    <x v="368"/>
    <x v="185"/>
    <s v="PROD-HOME-089"/>
    <n v="1"/>
    <x v="368"/>
    <x v="1"/>
    <x v="4"/>
    <x v="0"/>
    <s v="SHIPPED  "/>
    <x v="1"/>
    <s v="Blender Model L89"/>
    <x v="3"/>
    <n v="138.6"/>
    <x v="53"/>
  </r>
  <r>
    <x v="369"/>
    <x v="16"/>
    <s v="PROD-DIGI-145"/>
    <n v="1"/>
    <x v="369"/>
    <x v="1"/>
    <x v="4"/>
    <x v="2"/>
    <s v="   delivered "/>
    <x v="0"/>
    <s v="Premium Stream 1M Model P145"/>
    <x v="2"/>
    <n v="84.01"/>
    <x v="113"/>
  </r>
  <r>
    <x v="370"/>
    <x v="214"/>
    <s v="PROD-DIGI-063"/>
    <n v="1"/>
    <x v="370"/>
    <x v="0"/>
    <x v="0"/>
    <x v="2"/>
    <s v="REFUNDED "/>
    <x v="4"/>
    <s v="Cloud Storage Basic Model L63"/>
    <x v="2"/>
    <n v="20.48"/>
    <x v="60"/>
  </r>
  <r>
    <x v="371"/>
    <x v="103"/>
    <s v="PROD-ELEC-028"/>
    <n v="1"/>
    <x v="371"/>
    <x v="1"/>
    <x v="6"/>
    <x v="0"/>
    <s v="   delivered "/>
    <x v="0"/>
    <s v="Keyboard Model C28"/>
    <x v="0"/>
    <n v="162.44999999999999"/>
    <x v="32"/>
  </r>
  <r>
    <x v="372"/>
    <x v="115"/>
    <s v="PROD-ELEC-004"/>
    <n v="2"/>
    <x v="372"/>
    <x v="1"/>
    <x v="4"/>
    <x v="2"/>
    <s v="REFUNDED "/>
    <x v="4"/>
    <s v="Keyboard Model E4"/>
    <x v="0"/>
    <n v="69.680000000000007"/>
    <x v="237"/>
  </r>
  <r>
    <x v="373"/>
    <x v="130"/>
    <s v="PROD-DIGI-110"/>
    <n v="5"/>
    <x v="373"/>
    <x v="1"/>
    <x v="5"/>
    <x v="4"/>
    <s v="REFUNDED "/>
    <x v="4"/>
    <s v="Cloud Storage Basic Model G110"/>
    <x v="2"/>
    <n v="53.87"/>
    <x v="238"/>
  </r>
  <r>
    <x v="374"/>
    <x v="115"/>
    <s v="PROD-ELEC-100"/>
    <n v="1"/>
    <x v="374"/>
    <x v="0"/>
    <x v="3"/>
    <x v="4"/>
    <s v=" cancelled"/>
    <x v="3"/>
    <s v="Charger Model W100"/>
    <x v="0"/>
    <n v="219.96"/>
    <x v="239"/>
  </r>
  <r>
    <x v="375"/>
    <x v="215"/>
    <s v="PROD-DIGI-142"/>
    <n v="5"/>
    <x v="375"/>
    <x v="1"/>
    <x v="5"/>
    <x v="4"/>
    <s v=" disputed  "/>
    <x v="5"/>
    <s v="Software License Tier A Model M142"/>
    <x v="2"/>
    <n v="55.59"/>
    <x v="240"/>
  </r>
  <r>
    <x v="376"/>
    <x v="203"/>
    <s v="PROD-HOME-106"/>
    <n v="5"/>
    <x v="376"/>
    <x v="3"/>
    <x v="3"/>
    <x v="4"/>
    <s v="PENDING_REVIEW"/>
    <x v="2"/>
    <s v="Blender Model C106"/>
    <x v="3"/>
    <n v="112.89"/>
    <x v="241"/>
  </r>
  <r>
    <x v="377"/>
    <x v="121"/>
    <s v="PROD-HOME-013"/>
    <n v="1"/>
    <x v="377"/>
    <x v="1"/>
    <x v="2"/>
    <x v="2"/>
    <s v="SHIPPED  "/>
    <x v="1"/>
    <s v="Desk Lamp Model N13"/>
    <x v="3"/>
    <n v="50.77"/>
    <x v="40"/>
  </r>
  <r>
    <x v="378"/>
    <x v="216"/>
    <s v="PROD-LUXU-026"/>
    <n v="1"/>
    <x v="378"/>
    <x v="2"/>
    <x v="3"/>
    <x v="4"/>
    <s v=" cancelled"/>
    <x v="3"/>
    <s v="Gold Bracelet Model A26"/>
    <x v="4"/>
    <n v="1096.3900000000001"/>
    <x v="43"/>
  </r>
  <r>
    <x v="379"/>
    <x v="154"/>
    <s v="PROD-HOME-016"/>
    <n v="1"/>
    <x v="379"/>
    <x v="0"/>
    <x v="0"/>
    <x v="0"/>
    <s v="   delivered "/>
    <x v="0"/>
    <s v="Blender Model Q16"/>
    <x v="3"/>
    <n v="79.23"/>
    <x v="150"/>
  </r>
  <r>
    <x v="380"/>
    <x v="217"/>
    <s v="PROD-HOME-010"/>
    <n v="1"/>
    <x v="380"/>
    <x v="0"/>
    <x v="2"/>
    <x v="2"/>
    <s v="   delivered "/>
    <x v="0"/>
    <s v="Desk Lamp Model K10"/>
    <x v="3"/>
    <n v="62.32"/>
    <x v="242"/>
  </r>
  <r>
    <x v="381"/>
    <x v="34"/>
    <s v="PROD-DIGI-132"/>
    <n v="4"/>
    <x v="381"/>
    <x v="0"/>
    <x v="3"/>
    <x v="4"/>
    <s v=" disputed  "/>
    <x v="5"/>
    <s v="Software License Tier A Model C132"/>
    <x v="2"/>
    <n v="29.36"/>
    <x v="243"/>
  </r>
  <r>
    <x v="382"/>
    <x v="2"/>
    <s v="PROD-ELEC-083"/>
    <n v="1"/>
    <x v="382"/>
    <x v="1"/>
    <x v="6"/>
    <x v="0"/>
    <s v=" disputed  "/>
    <x v="5"/>
    <s v="Keyboard Model F83"/>
    <x v="0"/>
    <n v="77.150000000000006"/>
    <x v="111"/>
  </r>
  <r>
    <x v="383"/>
    <x v="149"/>
    <s v="PROD-ELEC-004"/>
    <n v="5"/>
    <x v="383"/>
    <x v="2"/>
    <x v="3"/>
    <x v="4"/>
    <s v=" cancelled"/>
    <x v="3"/>
    <s v="Keyboard Model E4"/>
    <x v="0"/>
    <n v="69.680000000000007"/>
    <x v="244"/>
  </r>
  <r>
    <x v="384"/>
    <x v="218"/>
    <s v="PROD-ELEC-060"/>
    <n v="1"/>
    <x v="384"/>
    <x v="0"/>
    <x v="2"/>
    <x v="0"/>
    <s v="   delivered "/>
    <x v="0"/>
    <s v="Mouse Model I60"/>
    <x v="0"/>
    <n v="168.25"/>
    <x v="139"/>
  </r>
  <r>
    <x v="385"/>
    <x v="32"/>
    <s v="PROD-DIGI-115"/>
    <n v="2"/>
    <x v="385"/>
    <x v="1"/>
    <x v="1"/>
    <x v="0"/>
    <s v="   delivered "/>
    <x v="0"/>
    <s v="Premium Stream 1M Model L115"/>
    <x v="2"/>
    <n v="62.86"/>
    <x v="245"/>
  </r>
  <r>
    <x v="386"/>
    <x v="1"/>
    <s v="PROD-HOME-013"/>
    <n v="3"/>
    <x v="386"/>
    <x v="1"/>
    <x v="4"/>
    <x v="2"/>
    <s v="   delivered "/>
    <x v="0"/>
    <s v="Desk Lamp Model N13"/>
    <x v="3"/>
    <n v="50.77"/>
    <x v="246"/>
  </r>
  <r>
    <x v="387"/>
    <x v="183"/>
    <s v="PROD-APPA-040"/>
    <n v="1"/>
    <x v="387"/>
    <x v="1"/>
    <x v="0"/>
    <x v="2"/>
    <s v="   delivered "/>
    <x v="0"/>
    <s v="Jacket Model O40"/>
    <x v="1"/>
    <n v="114.16"/>
    <x v="50"/>
  </r>
  <r>
    <x v="388"/>
    <x v="122"/>
    <s v="PROD-DIGI-024"/>
    <n v="4"/>
    <x v="388"/>
    <x v="1"/>
    <x v="3"/>
    <x v="3"/>
    <s v=" disputed  "/>
    <x v="5"/>
    <s v="Premium Stream 1M Model Y24"/>
    <x v="2"/>
    <n v="29.9"/>
    <x v="180"/>
  </r>
  <r>
    <x v="389"/>
    <x v="69"/>
    <s v="PROD-DIGI-099"/>
    <n v="1"/>
    <x v="389"/>
    <x v="1"/>
    <x v="0"/>
    <x v="1"/>
    <s v="   delivered "/>
    <x v="0"/>
    <s v="Premium Stream 1M Model V99"/>
    <x v="2"/>
    <n v="30.08"/>
    <x v="89"/>
  </r>
  <r>
    <x v="390"/>
    <x v="211"/>
    <s v="PROD-HOME-133"/>
    <n v="3"/>
    <x v="390"/>
    <x v="0"/>
    <x v="4"/>
    <x v="2"/>
    <s v="   delivered "/>
    <x v="0"/>
    <s v="Organizer Model D133"/>
    <x v="3"/>
    <n v="144.43"/>
    <x v="247"/>
  </r>
  <r>
    <x v="391"/>
    <x v="75"/>
    <s v="PROD-ELEC-047"/>
    <n v="2"/>
    <x v="391"/>
    <x v="1"/>
    <x v="6"/>
    <x v="0"/>
    <s v="   delivered "/>
    <x v="0"/>
    <s v="Headphones Model V47"/>
    <x v="0"/>
    <n v="19.940000000000001"/>
    <x v="248"/>
  </r>
  <r>
    <x v="392"/>
    <x v="190"/>
    <s v="PROD-ELEC-038"/>
    <n v="4"/>
    <x v="392"/>
    <x v="1"/>
    <x v="3"/>
    <x v="4"/>
    <s v=" cancelled"/>
    <x v="3"/>
    <s v="Cable Model M38"/>
    <x v="0"/>
    <n v="91.18"/>
    <x v="179"/>
  </r>
  <r>
    <x v="393"/>
    <x v="185"/>
    <s v="PROD-APPA-043"/>
    <n v="1"/>
    <x v="393"/>
    <x v="0"/>
    <x v="0"/>
    <x v="2"/>
    <s v="REFUNDED "/>
    <x v="4"/>
    <s v="Hoodie Model R43"/>
    <x v="1"/>
    <n v="68.040000000000006"/>
    <x v="82"/>
  </r>
  <r>
    <x v="394"/>
    <x v="8"/>
    <s v="PROD-HOME-094"/>
    <n v="1"/>
    <x v="394"/>
    <x v="1"/>
    <x v="2"/>
    <x v="0"/>
    <s v="REFUNDED "/>
    <x v="4"/>
    <s v="Blender Model Q94"/>
    <x v="3"/>
    <n v="129.13"/>
    <x v="249"/>
  </r>
  <r>
    <x v="395"/>
    <x v="219"/>
    <s v="PROD-LUXU-020"/>
    <n v="5"/>
    <x v="395"/>
    <x v="0"/>
    <x v="6"/>
    <x v="2"/>
    <s v=" disputed  "/>
    <x v="5"/>
    <s v="Leather Handbag Model U20"/>
    <x v="4"/>
    <n v="1806.15"/>
    <x v="250"/>
  </r>
  <r>
    <x v="396"/>
    <x v="156"/>
    <s v="PROD-ELEC-126"/>
    <n v="1"/>
    <x v="396"/>
    <x v="0"/>
    <x v="0"/>
    <x v="0"/>
    <s v="   delivered "/>
    <x v="0"/>
    <s v="Smartwatch Model W126"/>
    <x v="0"/>
    <n v="114.91"/>
    <x v="251"/>
  </r>
  <r>
    <x v="397"/>
    <x v="118"/>
    <s v="PROD-LUXU-005"/>
    <n v="1"/>
    <x v="397"/>
    <x v="0"/>
    <x v="4"/>
    <x v="4"/>
    <s v=" cancelled"/>
    <x v="3"/>
    <s v="Leather Handbag Model F5"/>
    <x v="4"/>
    <n v="1875.24"/>
    <x v="252"/>
  </r>
  <r>
    <x v="398"/>
    <x v="171"/>
    <s v="PROD-ELEC-100"/>
    <n v="1"/>
    <x v="398"/>
    <x v="0"/>
    <x v="6"/>
    <x v="1"/>
    <s v="   delivered "/>
    <x v="0"/>
    <s v="Charger Model W100"/>
    <x v="0"/>
    <n v="219.96"/>
    <x v="239"/>
  </r>
  <r>
    <x v="399"/>
    <x v="54"/>
    <s v="PROD-DIGI-130"/>
    <n v="1"/>
    <x v="399"/>
    <x v="0"/>
    <x v="2"/>
    <x v="0"/>
    <s v="   delivered "/>
    <x v="0"/>
    <s v="VPN 6-Month Pass Model A130"/>
    <x v="2"/>
    <n v="81.61"/>
    <x v="236"/>
  </r>
  <r>
    <x v="400"/>
    <x v="147"/>
    <s v="PROD-ELEC-049"/>
    <n v="4"/>
    <x v="400"/>
    <x v="0"/>
    <x v="3"/>
    <x v="4"/>
    <s v=" cancelled"/>
    <x v="3"/>
    <s v="Keyboard Model X49"/>
    <x v="0"/>
    <n v="30.84"/>
    <x v="253"/>
  </r>
  <r>
    <x v="401"/>
    <x v="115"/>
    <s v="PROD-APPA-072"/>
    <n v="1"/>
    <x v="401"/>
    <x v="1"/>
    <x v="1"/>
    <x v="1"/>
    <s v=" cancelled"/>
    <x v="3"/>
    <s v="Jacket Model U72"/>
    <x v="1"/>
    <n v="75.400000000000006"/>
    <x v="19"/>
  </r>
  <r>
    <x v="402"/>
    <x v="220"/>
    <s v="PROD-LUXU-147"/>
    <n v="1"/>
    <x v="402"/>
    <x v="1"/>
    <x v="3"/>
    <x v="4"/>
    <s v="PENDING_REVIEW"/>
    <x v="2"/>
    <s v="Designer Watch Model R147"/>
    <x v="4"/>
    <n v="484.68"/>
    <x v="254"/>
  </r>
  <r>
    <x v="403"/>
    <x v="24"/>
    <s v="PROD-LUXU-082"/>
    <n v="4"/>
    <x v="403"/>
    <x v="0"/>
    <x v="4"/>
    <x v="2"/>
    <s v="PENDING_REVIEW"/>
    <x v="2"/>
    <s v="Designer Watch Model E82"/>
    <x v="4"/>
    <n v="1769.3"/>
    <x v="255"/>
  </r>
  <r>
    <x v="404"/>
    <x v="221"/>
    <s v="PROD-DIGI-041"/>
    <n v="1"/>
    <x v="404"/>
    <x v="1"/>
    <x v="6"/>
    <x v="2"/>
    <s v="   delivered "/>
    <x v="0"/>
    <s v="Cloud Storage Basic Model P41"/>
    <x v="2"/>
    <n v="96.93"/>
    <x v="211"/>
  </r>
  <r>
    <x v="405"/>
    <x v="71"/>
    <s v="PROD-ELEC-067"/>
    <n v="1"/>
    <x v="405"/>
    <x v="1"/>
    <x v="6"/>
    <x v="2"/>
    <s v="PENDING_REVIEW"/>
    <x v="2"/>
    <s v="Cable Model P67"/>
    <x v="0"/>
    <n v="187.9"/>
    <x v="106"/>
  </r>
  <r>
    <x v="406"/>
    <x v="124"/>
    <s v="PROD-LUXU-146"/>
    <n v="1"/>
    <x v="406"/>
    <x v="0"/>
    <x v="4"/>
    <x v="4"/>
    <s v=" disputed  "/>
    <x v="5"/>
    <s v="Silk Scarf Model Q146"/>
    <x v="4"/>
    <n v="359.33"/>
    <x v="256"/>
  </r>
  <r>
    <x v="407"/>
    <x v="73"/>
    <s v="PROD-DIGI-105"/>
    <n v="1"/>
    <x v="407"/>
    <x v="1"/>
    <x v="6"/>
    <x v="1"/>
    <s v=" cancelled"/>
    <x v="3"/>
    <s v="VPN 6-Month Pass Model B105"/>
    <x v="2"/>
    <n v="36.130000000000003"/>
    <x v="79"/>
  </r>
  <r>
    <x v="408"/>
    <x v="222"/>
    <s v="PROD-APPA-027"/>
    <n v="1"/>
    <x v="408"/>
    <x v="1"/>
    <x v="4"/>
    <x v="0"/>
    <s v="PENDING_REVIEW"/>
    <x v="2"/>
    <s v="Jacket Model B27"/>
    <x v="1"/>
    <n v="64.290000000000006"/>
    <x v="209"/>
  </r>
  <r>
    <x v="409"/>
    <x v="93"/>
    <s v="PROD-DIGI-090"/>
    <n v="1"/>
    <x v="409"/>
    <x v="0"/>
    <x v="4"/>
    <x v="0"/>
    <s v="   delivered "/>
    <x v="0"/>
    <s v="VPN 6-Month Pass Model M90"/>
    <x v="2"/>
    <n v="5.91"/>
    <x v="126"/>
  </r>
  <r>
    <x v="410"/>
    <x v="223"/>
    <s v="PROD-HOME-095"/>
    <n v="1"/>
    <x v="410"/>
    <x v="3"/>
    <x v="5"/>
    <x v="4"/>
    <s v="REFUNDED "/>
    <x v="4"/>
    <s v="Organizer Model R95"/>
    <x v="3"/>
    <n v="109.58"/>
    <x v="27"/>
  </r>
  <r>
    <x v="411"/>
    <x v="224"/>
    <s v="PROD-LUXU-096"/>
    <n v="1"/>
    <x v="411"/>
    <x v="2"/>
    <x v="0"/>
    <x v="3"/>
    <s v="PENDING_REVIEW"/>
    <x v="2"/>
    <s v="Leather Handbag Model S96"/>
    <x v="4"/>
    <n v="2336.6799999999998"/>
    <x v="164"/>
  </r>
  <r>
    <x v="412"/>
    <x v="225"/>
    <s v="PROD-HOME-085"/>
    <n v="1"/>
    <x v="412"/>
    <x v="1"/>
    <x v="6"/>
    <x v="2"/>
    <s v="   delivered "/>
    <x v="0"/>
    <s v="Blender Model H85"/>
    <x v="3"/>
    <n v="130"/>
    <x v="158"/>
  </r>
  <r>
    <x v="413"/>
    <x v="204"/>
    <s v="PROD-APPA-079"/>
    <n v="1"/>
    <x v="413"/>
    <x v="1"/>
    <x v="2"/>
    <x v="1"/>
    <s v="   delivered "/>
    <x v="0"/>
    <s v="Hoodie Model B79"/>
    <x v="1"/>
    <n v="106.9"/>
    <x v="71"/>
  </r>
  <r>
    <x v="414"/>
    <x v="63"/>
    <s v="PROD-LUXU-096"/>
    <n v="5"/>
    <x v="414"/>
    <x v="2"/>
    <x v="5"/>
    <x v="4"/>
    <s v="PENDING_REVIEW"/>
    <x v="2"/>
    <s v="Leather Handbag Model S96"/>
    <x v="4"/>
    <n v="2336.6799999999998"/>
    <x v="257"/>
  </r>
  <r>
    <x v="415"/>
    <x v="99"/>
    <s v="PROD-ELEC-047"/>
    <n v="1"/>
    <x v="415"/>
    <x v="1"/>
    <x v="1"/>
    <x v="2"/>
    <s v="   delivered "/>
    <x v="0"/>
    <s v="Headphones Model V47"/>
    <x v="0"/>
    <n v="19.940000000000001"/>
    <x v="258"/>
  </r>
  <r>
    <x v="416"/>
    <x v="184"/>
    <s v="PROD-DIGI-053"/>
    <n v="1"/>
    <x v="416"/>
    <x v="1"/>
    <x v="1"/>
    <x v="1"/>
    <s v="PENDING_REVIEW"/>
    <x v="2"/>
    <s v="Premium Stream 1M Model B53"/>
    <x v="2"/>
    <n v="13.87"/>
    <x v="3"/>
  </r>
  <r>
    <x v="417"/>
    <x v="39"/>
    <s v="PROD-HOME-081"/>
    <n v="3"/>
    <x v="417"/>
    <x v="1"/>
    <x v="0"/>
    <x v="1"/>
    <s v="PENDING_REVIEW"/>
    <x v="2"/>
    <s v="Desk Lamp Model D81"/>
    <x v="3"/>
    <n v="177.42"/>
    <x v="259"/>
  </r>
  <r>
    <x v="418"/>
    <x v="176"/>
    <s v="PROD-APPA-121"/>
    <n v="5"/>
    <x v="418"/>
    <x v="0"/>
    <x v="3"/>
    <x v="3"/>
    <s v=" cancelled"/>
    <x v="3"/>
    <s v="Sneakers Model R121"/>
    <x v="1"/>
    <n v="44.15"/>
    <x v="260"/>
  </r>
  <r>
    <x v="419"/>
    <x v="226"/>
    <s v="PROD-ELEC-067"/>
    <n v="1"/>
    <x v="419"/>
    <x v="0"/>
    <x v="5"/>
    <x v="2"/>
    <s v=" cancelled"/>
    <x v="3"/>
    <s v="Cable Model P67"/>
    <x v="0"/>
    <n v="187.9"/>
    <x v="106"/>
  </r>
  <r>
    <x v="420"/>
    <x v="174"/>
    <s v="PROD-ELEC-055"/>
    <n v="1"/>
    <x v="420"/>
    <x v="1"/>
    <x v="2"/>
    <x v="1"/>
    <s v="   delivered "/>
    <x v="0"/>
    <s v="Webcam Model D55"/>
    <x v="0"/>
    <n v="168.56"/>
    <x v="15"/>
  </r>
  <r>
    <x v="421"/>
    <x v="227"/>
    <s v="PROD-HOME-039"/>
    <n v="1"/>
    <x v="421"/>
    <x v="1"/>
    <x v="6"/>
    <x v="0"/>
    <s v="   delivered "/>
    <x v="0"/>
    <s v="Organizer Model N39"/>
    <x v="3"/>
    <n v="149.08000000000001"/>
    <x v="31"/>
  </r>
  <r>
    <x v="422"/>
    <x v="212"/>
    <s v="PROD-DIGI-046"/>
    <n v="1"/>
    <x v="422"/>
    <x v="1"/>
    <x v="0"/>
    <x v="2"/>
    <s v="   delivered "/>
    <x v="0"/>
    <s v="VPN 6-Month Pass Model U46"/>
    <x v="2"/>
    <n v="47.44"/>
    <x v="101"/>
  </r>
  <r>
    <x v="423"/>
    <x v="86"/>
    <s v="PROD-ELEC-001"/>
    <n v="1"/>
    <x v="423"/>
    <x v="0"/>
    <x v="1"/>
    <x v="2"/>
    <s v="   delivered "/>
    <x v="0"/>
    <s v="Mouse Model B1"/>
    <x v="0"/>
    <n v="189.26"/>
    <x v="114"/>
  </r>
  <r>
    <x v="424"/>
    <x v="228"/>
    <s v="PROD-LUXU-123"/>
    <n v="4"/>
    <x v="424"/>
    <x v="1"/>
    <x v="3"/>
    <x v="2"/>
    <s v=" disputed  "/>
    <x v="5"/>
    <s v="Designer Watch Model T123"/>
    <x v="4"/>
    <n v="1301.92"/>
    <x v="261"/>
  </r>
  <r>
    <x v="425"/>
    <x v="229"/>
    <s v="PROD-ELEC-128"/>
    <n v="1"/>
    <x v="425"/>
    <x v="1"/>
    <x v="4"/>
    <x v="1"/>
    <s v="   delivered "/>
    <x v="0"/>
    <s v="Charger Model Y128"/>
    <x v="0"/>
    <n v="46.33"/>
    <x v="217"/>
  </r>
  <r>
    <x v="426"/>
    <x v="216"/>
    <s v="PROD-LUXU-052"/>
    <n v="4"/>
    <x v="426"/>
    <x v="2"/>
    <x v="1"/>
    <x v="3"/>
    <s v=" cancelled"/>
    <x v="3"/>
    <s v="Silk Scarf Model A52"/>
    <x v="4"/>
    <n v="1339.88"/>
    <x v="51"/>
  </r>
  <r>
    <x v="427"/>
    <x v="107"/>
    <s v="PROD-APPA-071"/>
    <n v="5"/>
    <x v="427"/>
    <x v="0"/>
    <x v="3"/>
    <x v="3"/>
    <s v=" cancelled"/>
    <x v="3"/>
    <s v="Socks Model T71"/>
    <x v="1"/>
    <n v="23.19"/>
    <x v="262"/>
  </r>
  <r>
    <x v="428"/>
    <x v="191"/>
    <s v="PROD-APPA-002"/>
    <n v="5"/>
    <x v="428"/>
    <x v="2"/>
    <x v="5"/>
    <x v="3"/>
    <s v=" disputed  "/>
    <x v="5"/>
    <s v="Sneakers Model C2"/>
    <x v="1"/>
    <n v="21.27"/>
    <x v="263"/>
  </r>
  <r>
    <x v="429"/>
    <x v="230"/>
    <s v="PROD-DIGI-139"/>
    <n v="1"/>
    <x v="429"/>
    <x v="1"/>
    <x v="4"/>
    <x v="0"/>
    <s v="   delivered "/>
    <x v="0"/>
    <s v="Software License Tier A Model J139"/>
    <x v="2"/>
    <n v="90.05"/>
    <x v="264"/>
  </r>
  <r>
    <x v="430"/>
    <x v="53"/>
    <s v="PROD-LUXU-143"/>
    <n v="1"/>
    <x v="430"/>
    <x v="2"/>
    <x v="4"/>
    <x v="4"/>
    <s v=" disputed  "/>
    <x v="5"/>
    <s v="Leather Handbag Model N143"/>
    <x v="4"/>
    <n v="1374.1"/>
    <x v="265"/>
  </r>
  <r>
    <x v="431"/>
    <x v="230"/>
    <s v="PROD-APPA-072"/>
    <n v="2"/>
    <x v="431"/>
    <x v="4"/>
    <x v="1"/>
    <x v="1"/>
    <s v="   delivered "/>
    <x v="0"/>
    <s v="Jacket Model U72"/>
    <x v="1"/>
    <n v="75.400000000000006"/>
    <x v="81"/>
  </r>
  <r>
    <x v="432"/>
    <x v="231"/>
    <s v="PROD-APPA-002"/>
    <n v="1"/>
    <x v="432"/>
    <x v="1"/>
    <x v="1"/>
    <x v="0"/>
    <s v="   delivered "/>
    <x v="0"/>
    <s v="Sneakers Model C2"/>
    <x v="1"/>
    <n v="21.27"/>
    <x v="197"/>
  </r>
  <r>
    <x v="433"/>
    <x v="21"/>
    <s v="PROD-HOME-065"/>
    <n v="2"/>
    <x v="433"/>
    <x v="0"/>
    <x v="2"/>
    <x v="2"/>
    <s v="   delivered "/>
    <x v="0"/>
    <s v="Mug Model N65"/>
    <x v="3"/>
    <n v="131.44999999999999"/>
    <x v="212"/>
  </r>
  <r>
    <x v="434"/>
    <x v="156"/>
    <s v="PROD-APPA-044"/>
    <n v="1"/>
    <x v="434"/>
    <x v="0"/>
    <x v="6"/>
    <x v="2"/>
    <s v="REFUNDED "/>
    <x v="4"/>
    <s v="Jacket Model S44"/>
    <x v="1"/>
    <n v="93.08"/>
    <x v="235"/>
  </r>
  <r>
    <x v="435"/>
    <x v="232"/>
    <s v="PROD-ELEC-035"/>
    <n v="2"/>
    <x v="435"/>
    <x v="1"/>
    <x v="2"/>
    <x v="2"/>
    <s v="   delivered "/>
    <x v="0"/>
    <s v="Smartwatch Model J35"/>
    <x v="0"/>
    <n v="161.94999999999999"/>
    <x v="74"/>
  </r>
  <r>
    <x v="436"/>
    <x v="150"/>
    <s v="PROD-APPA-002"/>
    <n v="1"/>
    <x v="436"/>
    <x v="1"/>
    <x v="1"/>
    <x v="0"/>
    <s v="   delivered "/>
    <x v="0"/>
    <s v="Sneakers Model C2"/>
    <x v="1"/>
    <n v="21.27"/>
    <x v="197"/>
  </r>
  <r>
    <x v="437"/>
    <x v="134"/>
    <s v="PROD-ELEC-057"/>
    <n v="1"/>
    <x v="437"/>
    <x v="1"/>
    <x v="1"/>
    <x v="0"/>
    <s v="   delivered "/>
    <x v="0"/>
    <s v="Keyboard Model F57"/>
    <x v="0"/>
    <n v="60.02"/>
    <x v="0"/>
  </r>
  <r>
    <x v="438"/>
    <x v="144"/>
    <s v="PROD-APPA-062"/>
    <n v="1"/>
    <x v="438"/>
    <x v="1"/>
    <x v="0"/>
    <x v="0"/>
    <s v="   delivered "/>
    <x v="0"/>
    <s v="Socks Model K62"/>
    <x v="1"/>
    <n v="63.42"/>
    <x v="84"/>
  </r>
  <r>
    <x v="439"/>
    <x v="100"/>
    <s v="PROD-HOME-085"/>
    <n v="1"/>
    <x v="439"/>
    <x v="1"/>
    <x v="2"/>
    <x v="2"/>
    <s v="   delivered "/>
    <x v="0"/>
    <s v="Blender Model H85"/>
    <x v="3"/>
    <n v="130"/>
    <x v="158"/>
  </r>
  <r>
    <x v="440"/>
    <x v="173"/>
    <s v="PROD-ELEC-060"/>
    <n v="1"/>
    <x v="440"/>
    <x v="0"/>
    <x v="6"/>
    <x v="0"/>
    <s v="   delivered "/>
    <x v="0"/>
    <s v="Mouse Model I60"/>
    <x v="0"/>
    <n v="168.25"/>
    <x v="139"/>
  </r>
  <r>
    <x v="441"/>
    <x v="221"/>
    <s v="PROD-LUXU-025"/>
    <n v="1"/>
    <x v="441"/>
    <x v="2"/>
    <x v="6"/>
    <x v="3"/>
    <s v=" disputed  "/>
    <x v="5"/>
    <s v="Silk Scarf Model Z25"/>
    <x v="4"/>
    <n v="878.03"/>
    <x v="26"/>
  </r>
  <r>
    <x v="442"/>
    <x v="101"/>
    <s v="PROD-APPA-111"/>
    <n v="1"/>
    <x v="442"/>
    <x v="1"/>
    <x v="6"/>
    <x v="2"/>
    <s v=" disputed  "/>
    <x v="5"/>
    <s v="Hoodie Model H111"/>
    <x v="1"/>
    <n v="57.44"/>
    <x v="177"/>
  </r>
  <r>
    <x v="443"/>
    <x v="106"/>
    <s v="PROD-ELEC-059"/>
    <n v="2"/>
    <x v="443"/>
    <x v="1"/>
    <x v="0"/>
    <x v="0"/>
    <s v="   delivered "/>
    <x v="0"/>
    <s v="Charger Model H59"/>
    <x v="0"/>
    <n v="204.89"/>
    <x v="266"/>
  </r>
  <r>
    <x v="444"/>
    <x v="203"/>
    <s v="PROD-ELEC-057"/>
    <n v="1"/>
    <x v="444"/>
    <x v="1"/>
    <x v="1"/>
    <x v="2"/>
    <s v="   delivered "/>
    <x v="0"/>
    <s v="Keyboard Model F57"/>
    <x v="0"/>
    <n v="60.02"/>
    <x v="0"/>
  </r>
  <r>
    <x v="445"/>
    <x v="37"/>
    <s v="PROD-APPA-040"/>
    <n v="1"/>
    <x v="445"/>
    <x v="1"/>
    <x v="6"/>
    <x v="0"/>
    <s v="   delivered "/>
    <x v="0"/>
    <s v="Jacket Model O40"/>
    <x v="1"/>
    <n v="114.16"/>
    <x v="50"/>
  </r>
  <r>
    <x v="446"/>
    <x v="33"/>
    <s v="PROD-DIGI-064"/>
    <n v="5"/>
    <x v="446"/>
    <x v="3"/>
    <x v="3"/>
    <x v="2"/>
    <s v="PENDING_REVIEW"/>
    <x v="2"/>
    <s v="E-Book Access Model M64"/>
    <x v="2"/>
    <n v="92.09"/>
    <x v="267"/>
  </r>
  <r>
    <x v="447"/>
    <x v="205"/>
    <s v="PROD-LUXU-036"/>
    <n v="4"/>
    <x v="447"/>
    <x v="1"/>
    <x v="6"/>
    <x v="2"/>
    <s v=" cancelled"/>
    <x v="3"/>
    <s v="Silk Scarf Model K36"/>
    <x v="4"/>
    <n v="737.6"/>
    <x v="202"/>
  </r>
  <r>
    <x v="448"/>
    <x v="59"/>
    <s v="PROD-DIGI-115"/>
    <n v="1"/>
    <x v="448"/>
    <x v="1"/>
    <x v="0"/>
    <x v="1"/>
    <s v="   delivered "/>
    <x v="0"/>
    <s v="Premium Stream 1M Model L115"/>
    <x v="2"/>
    <n v="62.86"/>
    <x v="78"/>
  </r>
  <r>
    <x v="449"/>
    <x v="50"/>
    <s v="PROD-APPA-137"/>
    <n v="1"/>
    <x v="449"/>
    <x v="0"/>
    <x v="1"/>
    <x v="2"/>
    <s v="   delivered "/>
    <x v="0"/>
    <s v="Sneakers Model H137"/>
    <x v="1"/>
    <n v="33.53"/>
    <x v="1"/>
  </r>
  <r>
    <x v="450"/>
    <x v="233"/>
    <s v="PROD-APPA-122"/>
    <n v="1"/>
    <x v="450"/>
    <x v="0"/>
    <x v="0"/>
    <x v="0"/>
    <s v="   delivered "/>
    <x v="0"/>
    <s v="T-Shirt Model S122"/>
    <x v="1"/>
    <n v="15.08"/>
    <x v="155"/>
  </r>
  <r>
    <x v="451"/>
    <x v="212"/>
    <s v="PROD-ELEC-103"/>
    <n v="1"/>
    <x v="451"/>
    <x v="1"/>
    <x v="6"/>
    <x v="2"/>
    <s v="   delivered "/>
    <x v="0"/>
    <s v="Webcam Model Z103"/>
    <x v="0"/>
    <n v="60.39"/>
    <x v="96"/>
  </r>
  <r>
    <x v="452"/>
    <x v="209"/>
    <s v="PROD-APPA-043"/>
    <n v="1"/>
    <x v="452"/>
    <x v="0"/>
    <x v="2"/>
    <x v="2"/>
    <s v="   delivered "/>
    <x v="0"/>
    <s v="Hoodie Model R43"/>
    <x v="1"/>
    <n v="68.040000000000006"/>
    <x v="82"/>
  </r>
  <r>
    <x v="453"/>
    <x v="223"/>
    <s v="PROD-HOME-112"/>
    <n v="4"/>
    <x v="453"/>
    <x v="1"/>
    <x v="5"/>
    <x v="3"/>
    <s v=" cancelled"/>
    <x v="3"/>
    <s v="Desk Lamp Model I112"/>
    <x v="3"/>
    <n v="70.23"/>
    <x v="268"/>
  </r>
  <r>
    <x v="454"/>
    <x v="30"/>
    <s v="PROD-APPA-122"/>
    <n v="1"/>
    <x v="454"/>
    <x v="0"/>
    <x v="3"/>
    <x v="3"/>
    <s v="PENDING_REVIEW"/>
    <x v="2"/>
    <s v="T-Shirt Model S122"/>
    <x v="1"/>
    <n v="15.08"/>
    <x v="155"/>
  </r>
  <r>
    <x v="455"/>
    <x v="117"/>
    <s v="PROD-APPA-062"/>
    <n v="1"/>
    <x v="455"/>
    <x v="0"/>
    <x v="6"/>
    <x v="2"/>
    <s v="   delivered "/>
    <x v="0"/>
    <s v="Socks Model K62"/>
    <x v="1"/>
    <n v="63.42"/>
    <x v="84"/>
  </r>
  <r>
    <x v="456"/>
    <x v="117"/>
    <s v="PROD-LUXU-129"/>
    <n v="5"/>
    <x v="456"/>
    <x v="2"/>
    <x v="4"/>
    <x v="3"/>
    <s v="REFUNDED "/>
    <x v="4"/>
    <s v="Silk Scarf Model Z129"/>
    <x v="4"/>
    <n v="1610"/>
    <x v="269"/>
  </r>
  <r>
    <x v="457"/>
    <x v="234"/>
    <s v="PROD-ELEC-028"/>
    <n v="2"/>
    <x v="457"/>
    <x v="1"/>
    <x v="0"/>
    <x v="0"/>
    <s v="   delivered "/>
    <x v="0"/>
    <s v="Keyboard Model C28"/>
    <x v="0"/>
    <n v="162.44999999999999"/>
    <x v="270"/>
  </r>
  <r>
    <x v="458"/>
    <x v="235"/>
    <s v="PROD-APPA-044"/>
    <n v="1"/>
    <x v="458"/>
    <x v="4"/>
    <x v="6"/>
    <x v="2"/>
    <s v="   delivered "/>
    <x v="0"/>
    <s v="Jacket Model S44"/>
    <x v="1"/>
    <n v="93.08"/>
    <x v="235"/>
  </r>
  <r>
    <x v="459"/>
    <x v="123"/>
    <s v="PROD-LUXU-096"/>
    <n v="1"/>
    <x v="459"/>
    <x v="2"/>
    <x v="3"/>
    <x v="3"/>
    <s v="REFUNDED "/>
    <x v="4"/>
    <s v="Leather Handbag Model S96"/>
    <x v="4"/>
    <n v="2336.6799999999998"/>
    <x v="164"/>
  </r>
  <r>
    <x v="460"/>
    <x v="231"/>
    <s v="PROD-HOME-093"/>
    <n v="5"/>
    <x v="460"/>
    <x v="1"/>
    <x v="3"/>
    <x v="4"/>
    <s v=" cancelled"/>
    <x v="3"/>
    <s v="Organizer Model P93"/>
    <x v="3"/>
    <n v="175.55"/>
    <x v="63"/>
  </r>
  <r>
    <x v="461"/>
    <x v="39"/>
    <s v="PROD-DIGI-041"/>
    <n v="2"/>
    <x v="461"/>
    <x v="1"/>
    <x v="4"/>
    <x v="0"/>
    <s v="PENDING_REVIEW"/>
    <x v="2"/>
    <s v="Cloud Storage Basic Model P41"/>
    <x v="2"/>
    <n v="96.93"/>
    <x v="173"/>
  </r>
  <r>
    <x v="462"/>
    <x v="236"/>
    <s v="PROD-HOME-094"/>
    <n v="1"/>
    <x v="462"/>
    <x v="1"/>
    <x v="1"/>
    <x v="1"/>
    <s v="   delivered "/>
    <x v="0"/>
    <s v="Blender Model Q94"/>
    <x v="3"/>
    <n v="129.13"/>
    <x v="249"/>
  </r>
  <r>
    <x v="463"/>
    <x v="228"/>
    <s v="PROD-DIGI-029"/>
    <n v="1"/>
    <x v="463"/>
    <x v="1"/>
    <x v="0"/>
    <x v="0"/>
    <s v="   delivered "/>
    <x v="0"/>
    <s v="VPN 6-Month Pass Model D29"/>
    <x v="2"/>
    <n v="10.97"/>
    <x v="14"/>
  </r>
  <r>
    <x v="464"/>
    <x v="237"/>
    <s v="PROD-LUXU-003"/>
    <n v="1"/>
    <x v="464"/>
    <x v="3"/>
    <x v="3"/>
    <x v="4"/>
    <s v=" disputed  "/>
    <x v="5"/>
    <s v="Designer Watch Model D3"/>
    <x v="4"/>
    <n v="1599.08"/>
    <x v="36"/>
  </r>
  <r>
    <x v="465"/>
    <x v="172"/>
    <s v="PROD-HOME-008"/>
    <n v="1"/>
    <x v="465"/>
    <x v="1"/>
    <x v="0"/>
    <x v="0"/>
    <s v=" cancelled"/>
    <x v="3"/>
    <s v="Toaster Model I8"/>
    <x v="3"/>
    <n v="44.88"/>
    <x v="271"/>
  </r>
  <r>
    <x v="466"/>
    <x v="104"/>
    <s v="PROD-HOME-081"/>
    <n v="3"/>
    <x v="466"/>
    <x v="1"/>
    <x v="4"/>
    <x v="0"/>
    <s v="   delivered "/>
    <x v="0"/>
    <s v="Desk Lamp Model D81"/>
    <x v="3"/>
    <n v="177.42"/>
    <x v="259"/>
  </r>
  <r>
    <x v="467"/>
    <x v="238"/>
    <s v="PROD-ELEC-028"/>
    <n v="4"/>
    <x v="467"/>
    <x v="0"/>
    <x v="5"/>
    <x v="4"/>
    <s v=" cancelled"/>
    <x v="3"/>
    <s v="Keyboard Model C28"/>
    <x v="0"/>
    <n v="162.44999999999999"/>
    <x v="272"/>
  </r>
  <r>
    <x v="468"/>
    <x v="84"/>
    <s v="PROD-HOME-016"/>
    <n v="1"/>
    <x v="468"/>
    <x v="2"/>
    <x v="3"/>
    <x v="3"/>
    <s v=" disputed  "/>
    <x v="5"/>
    <s v="Blender Model Q16"/>
    <x v="3"/>
    <n v="79.23"/>
    <x v="150"/>
  </r>
  <r>
    <x v="469"/>
    <x v="106"/>
    <s v="PROD-DIGI-041"/>
    <n v="1"/>
    <x v="469"/>
    <x v="1"/>
    <x v="2"/>
    <x v="2"/>
    <s v="PENDING_REVIEW"/>
    <x v="2"/>
    <s v="Cloud Storage Basic Model P41"/>
    <x v="2"/>
    <n v="96.93"/>
    <x v="211"/>
  </r>
  <r>
    <x v="470"/>
    <x v="239"/>
    <s v="PROD-HOME-108"/>
    <n v="1"/>
    <x v="470"/>
    <x v="1"/>
    <x v="0"/>
    <x v="0"/>
    <s v="   delivered "/>
    <x v="0"/>
    <s v="Mug Model E108"/>
    <x v="3"/>
    <n v="116.99"/>
    <x v="273"/>
  </r>
  <r>
    <x v="471"/>
    <x v="240"/>
    <s v="PROD-DIGI-110"/>
    <n v="2"/>
    <x v="471"/>
    <x v="1"/>
    <x v="6"/>
    <x v="2"/>
    <s v="   delivered "/>
    <x v="0"/>
    <s v="Cloud Storage Basic Model G110"/>
    <x v="2"/>
    <n v="53.87"/>
    <x v="274"/>
  </r>
  <r>
    <x v="472"/>
    <x v="9"/>
    <s v="PROD-ELEC-035"/>
    <n v="1"/>
    <x v="472"/>
    <x v="1"/>
    <x v="6"/>
    <x v="2"/>
    <s v="   delivered "/>
    <x v="0"/>
    <s v="Smartwatch Model J35"/>
    <x v="0"/>
    <n v="161.94999999999999"/>
    <x v="54"/>
  </r>
  <r>
    <x v="473"/>
    <x v="241"/>
    <s v="PROD-LUXU-023"/>
    <n v="4"/>
    <x v="473"/>
    <x v="2"/>
    <x v="5"/>
    <x v="2"/>
    <s v="PENDING_REVIEW"/>
    <x v="2"/>
    <s v="Premium Perfume Model X23"/>
    <x v="4"/>
    <n v="767.78"/>
    <x v="275"/>
  </r>
  <r>
    <x v="474"/>
    <x v="130"/>
    <s v="PROD-HOME-075"/>
    <n v="1"/>
    <x v="474"/>
    <x v="1"/>
    <x v="0"/>
    <x v="0"/>
    <s v="   delivered "/>
    <x v="0"/>
    <s v="Mug Model X75"/>
    <x v="3"/>
    <n v="40.94"/>
    <x v="205"/>
  </r>
  <r>
    <x v="475"/>
    <x v="242"/>
    <s v="PROD-LUXU-052"/>
    <n v="1"/>
    <x v="475"/>
    <x v="1"/>
    <x v="2"/>
    <x v="4"/>
    <s v=" cancelled"/>
    <x v="3"/>
    <s v="Silk Scarf Model A52"/>
    <x v="4"/>
    <n v="1339.88"/>
    <x v="102"/>
  </r>
  <r>
    <x v="476"/>
    <x v="28"/>
    <s v="PROD-ELEC-047"/>
    <n v="1"/>
    <x v="476"/>
    <x v="0"/>
    <x v="2"/>
    <x v="1"/>
    <s v="   delivered "/>
    <x v="0"/>
    <s v="Headphones Model V47"/>
    <x v="0"/>
    <n v="19.940000000000001"/>
    <x v="258"/>
  </r>
  <r>
    <x v="477"/>
    <x v="243"/>
    <s v="PROD-LUXU-120"/>
    <n v="1"/>
    <x v="477"/>
    <x v="0"/>
    <x v="4"/>
    <x v="4"/>
    <s v=" cancelled"/>
    <x v="3"/>
    <s v="Premium Perfume Model Q120"/>
    <x v="4"/>
    <n v="505.45"/>
    <x v="46"/>
  </r>
  <r>
    <x v="478"/>
    <x v="196"/>
    <s v="PROD-DIGI-150"/>
    <n v="1"/>
    <x v="478"/>
    <x v="1"/>
    <x v="4"/>
    <x v="0"/>
    <s v="SHIPPED  "/>
    <x v="1"/>
    <s v="E-Book Access Model U150"/>
    <x v="2"/>
    <n v="75.69"/>
    <x v="165"/>
  </r>
  <r>
    <x v="479"/>
    <x v="171"/>
    <s v="PROD-APPA-070"/>
    <n v="1"/>
    <x v="479"/>
    <x v="4"/>
    <x v="1"/>
    <x v="2"/>
    <s v="REFUNDED "/>
    <x v="4"/>
    <s v="T-Shirt Model S70"/>
    <x v="1"/>
    <n v="75.45"/>
    <x v="161"/>
  </r>
  <r>
    <x v="480"/>
    <x v="117"/>
    <s v="PROD-APPA-119"/>
    <n v="5"/>
    <x v="480"/>
    <x v="3"/>
    <x v="3"/>
    <x v="4"/>
    <s v="REFUNDED "/>
    <x v="4"/>
    <s v="Sneakers Model P119"/>
    <x v="1"/>
    <n v="19.329999999999998"/>
    <x v="276"/>
  </r>
  <r>
    <x v="481"/>
    <x v="244"/>
    <s v="PROD-HOME-050"/>
    <n v="2"/>
    <x v="481"/>
    <x v="1"/>
    <x v="1"/>
    <x v="0"/>
    <s v="   delivered "/>
    <x v="0"/>
    <s v="Coffee Maker Model Y50"/>
    <x v="3"/>
    <n v="102.26"/>
    <x v="277"/>
  </r>
  <r>
    <x v="482"/>
    <x v="201"/>
    <s v="PROD-LUXU-127"/>
    <n v="1"/>
    <x v="482"/>
    <x v="0"/>
    <x v="2"/>
    <x v="3"/>
    <s v=" cancelled"/>
    <x v="3"/>
    <s v="Gold Bracelet Model X127"/>
    <x v="4"/>
    <n v="410.48"/>
    <x v="278"/>
  </r>
  <r>
    <x v="483"/>
    <x v="174"/>
    <s v="PROD-LUXU-143"/>
    <n v="4"/>
    <x v="483"/>
    <x v="2"/>
    <x v="0"/>
    <x v="4"/>
    <s v="REFUNDED "/>
    <x v="4"/>
    <s v="Leather Handbag Model N143"/>
    <x v="4"/>
    <n v="1374.1"/>
    <x v="153"/>
  </r>
  <r>
    <x v="484"/>
    <x v="12"/>
    <s v="PROD-HOME-009"/>
    <n v="1"/>
    <x v="484"/>
    <x v="1"/>
    <x v="0"/>
    <x v="0"/>
    <s v="   delivered "/>
    <x v="0"/>
    <s v="Coffee Maker Model J9"/>
    <x v="3"/>
    <n v="34.840000000000003"/>
    <x v="30"/>
  </r>
  <r>
    <x v="485"/>
    <x v="196"/>
    <s v="PROD-LUXU-117"/>
    <n v="4"/>
    <x v="485"/>
    <x v="3"/>
    <x v="4"/>
    <x v="2"/>
    <s v=" disputed  "/>
    <x v="5"/>
    <s v="Silk Scarf Model N117"/>
    <x v="4"/>
    <n v="1740.35"/>
    <x v="69"/>
  </r>
  <r>
    <x v="486"/>
    <x v="4"/>
    <s v="PROD-DIGI-011"/>
    <n v="1"/>
    <x v="486"/>
    <x v="0"/>
    <x v="2"/>
    <x v="2"/>
    <s v="   delivered "/>
    <x v="0"/>
    <s v="VPN 6-Month Pass Model L11"/>
    <x v="2"/>
    <n v="16.73"/>
    <x v="151"/>
  </r>
  <r>
    <x v="487"/>
    <x v="245"/>
    <s v="PROD-APPA-071"/>
    <n v="2"/>
    <x v="487"/>
    <x v="1"/>
    <x v="0"/>
    <x v="2"/>
    <s v="   delivered "/>
    <x v="0"/>
    <s v="Socks Model T71"/>
    <x v="1"/>
    <n v="23.19"/>
    <x v="279"/>
  </r>
  <r>
    <x v="488"/>
    <x v="99"/>
    <s v="PROD-DIGI-029"/>
    <n v="2"/>
    <x v="488"/>
    <x v="0"/>
    <x v="1"/>
    <x v="0"/>
    <s v="   delivered "/>
    <x v="0"/>
    <s v="VPN 6-Month Pass Model D29"/>
    <x v="2"/>
    <n v="10.97"/>
    <x v="280"/>
  </r>
  <r>
    <x v="489"/>
    <x v="169"/>
    <s v="PROD-LUXU-127"/>
    <n v="1"/>
    <x v="489"/>
    <x v="3"/>
    <x v="6"/>
    <x v="2"/>
    <s v=" disputed  "/>
    <x v="5"/>
    <s v="Gold Bracelet Model X127"/>
    <x v="4"/>
    <n v="410.48"/>
    <x v="278"/>
  </r>
  <r>
    <x v="490"/>
    <x v="168"/>
    <s v="PROD-LUXU-123"/>
    <n v="4"/>
    <x v="490"/>
    <x v="0"/>
    <x v="4"/>
    <x v="3"/>
    <s v=" disputed  "/>
    <x v="5"/>
    <s v="Designer Watch Model T123"/>
    <x v="4"/>
    <n v="1301.92"/>
    <x v="261"/>
  </r>
  <r>
    <x v="491"/>
    <x v="162"/>
    <s v="PROD-DIGI-125"/>
    <n v="5"/>
    <x v="491"/>
    <x v="3"/>
    <x v="3"/>
    <x v="4"/>
    <s v="PENDING_REVIEW"/>
    <x v="2"/>
    <s v="Premium Stream 1M Model V125"/>
    <x v="2"/>
    <n v="18.87"/>
    <x v="281"/>
  </r>
  <r>
    <x v="492"/>
    <x v="22"/>
    <s v="PROD-DIGI-019"/>
    <n v="4"/>
    <x v="492"/>
    <x v="0"/>
    <x v="3"/>
    <x v="3"/>
    <s v="PENDING_REVIEW"/>
    <x v="2"/>
    <s v="Software License Tier A Model T19"/>
    <x v="2"/>
    <n v="30.38"/>
    <x v="225"/>
  </r>
  <r>
    <x v="493"/>
    <x v="246"/>
    <s v="PROD-LUXU-116"/>
    <n v="1"/>
    <x v="493"/>
    <x v="3"/>
    <x v="6"/>
    <x v="3"/>
    <s v=" disputed  "/>
    <x v="5"/>
    <s v="Designer Watch Model M116"/>
    <x v="4"/>
    <n v="968.52"/>
    <x v="282"/>
  </r>
  <r>
    <x v="494"/>
    <x v="117"/>
    <s v="PROD-ELEC-038"/>
    <n v="2"/>
    <x v="494"/>
    <x v="1"/>
    <x v="1"/>
    <x v="1"/>
    <s v="   delivered "/>
    <x v="0"/>
    <s v="Cable Model M38"/>
    <x v="0"/>
    <n v="91.18"/>
    <x v="283"/>
  </r>
  <r>
    <x v="495"/>
    <x v="218"/>
    <s v="PROD-LUXU-116"/>
    <n v="1"/>
    <x v="495"/>
    <x v="3"/>
    <x v="5"/>
    <x v="4"/>
    <s v=" cancelled"/>
    <x v="3"/>
    <s v="Designer Watch Model M116"/>
    <x v="4"/>
    <n v="968.52"/>
    <x v="282"/>
  </r>
  <r>
    <x v="496"/>
    <x v="18"/>
    <s v="PROD-ELEC-067"/>
    <n v="2"/>
    <x v="496"/>
    <x v="1"/>
    <x v="6"/>
    <x v="2"/>
    <s v="SHIPPED  "/>
    <x v="1"/>
    <s v="Cable Model P67"/>
    <x v="0"/>
    <n v="187.9"/>
    <x v="284"/>
  </r>
  <r>
    <x v="497"/>
    <x v="166"/>
    <s v="PROD-APPA-111"/>
    <n v="2"/>
    <x v="497"/>
    <x v="0"/>
    <x v="6"/>
    <x v="2"/>
    <s v="   delivered "/>
    <x v="0"/>
    <s v="Hoodie Model H111"/>
    <x v="1"/>
    <n v="57.44"/>
    <x v="285"/>
  </r>
  <r>
    <x v="498"/>
    <x v="34"/>
    <s v="PROD-DIGI-006"/>
    <n v="1"/>
    <x v="498"/>
    <x v="1"/>
    <x v="1"/>
    <x v="2"/>
    <s v="   delivered "/>
    <x v="0"/>
    <s v="Premium Stream 1M Model G6"/>
    <x v="2"/>
    <n v="47.23"/>
    <x v="28"/>
  </r>
  <r>
    <x v="499"/>
    <x v="161"/>
    <s v="PROD-APPA-070"/>
    <n v="1"/>
    <x v="499"/>
    <x v="1"/>
    <x v="6"/>
    <x v="0"/>
    <s v="   delivered "/>
    <x v="0"/>
    <s v="T-Shirt Model S70"/>
    <x v="1"/>
    <n v="75.45"/>
    <x v="161"/>
  </r>
  <r>
    <x v="500"/>
    <x v="143"/>
    <s v="PROD-LUXU-116"/>
    <n v="4"/>
    <x v="500"/>
    <x v="2"/>
    <x v="3"/>
    <x v="3"/>
    <s v=" disputed  "/>
    <x v="5"/>
    <s v="Designer Watch Model M116"/>
    <x v="4"/>
    <n v="968.52"/>
    <x v="159"/>
  </r>
  <r>
    <x v="501"/>
    <x v="32"/>
    <s v="PROD-APPA-079"/>
    <n v="1"/>
    <x v="501"/>
    <x v="2"/>
    <x v="3"/>
    <x v="2"/>
    <s v="REFUNDED "/>
    <x v="4"/>
    <s v="Hoodie Model B79"/>
    <x v="1"/>
    <n v="106.9"/>
    <x v="71"/>
  </r>
  <r>
    <x v="502"/>
    <x v="141"/>
    <s v="PROD-DIGI-148"/>
    <n v="1"/>
    <x v="502"/>
    <x v="0"/>
    <x v="2"/>
    <x v="2"/>
    <s v=" cancelled"/>
    <x v="3"/>
    <s v="Premium Stream 1M Model S148"/>
    <x v="2"/>
    <n v="9.73"/>
    <x v="286"/>
  </r>
  <r>
    <x v="503"/>
    <x v="245"/>
    <s v="PROD-APPA-071"/>
    <n v="4"/>
    <x v="503"/>
    <x v="3"/>
    <x v="5"/>
    <x v="2"/>
    <s v=" disputed  "/>
    <x v="5"/>
    <s v="Socks Model T71"/>
    <x v="1"/>
    <n v="23.19"/>
    <x v="203"/>
  </r>
  <r>
    <x v="504"/>
    <x v="171"/>
    <s v="PROD-ELEC-103"/>
    <n v="3"/>
    <x v="504"/>
    <x v="1"/>
    <x v="0"/>
    <x v="1"/>
    <s v="   delivered "/>
    <x v="0"/>
    <s v="Webcam Model Z103"/>
    <x v="0"/>
    <n v="60.39"/>
    <x v="287"/>
  </r>
  <r>
    <x v="505"/>
    <x v="235"/>
    <s v="PROD-ELEC-047"/>
    <n v="1"/>
    <x v="505"/>
    <x v="1"/>
    <x v="3"/>
    <x v="3"/>
    <s v=" cancelled"/>
    <x v="3"/>
    <s v="Headphones Model V47"/>
    <x v="0"/>
    <n v="19.940000000000001"/>
    <x v="258"/>
  </r>
  <r>
    <x v="506"/>
    <x v="121"/>
    <s v="PROD-ELEC-049"/>
    <n v="1"/>
    <x v="506"/>
    <x v="3"/>
    <x v="5"/>
    <x v="4"/>
    <s v=" disputed  "/>
    <x v="5"/>
    <s v="Keyboard Model X49"/>
    <x v="0"/>
    <n v="30.84"/>
    <x v="288"/>
  </r>
  <r>
    <x v="507"/>
    <x v="149"/>
    <s v="PROD-HOME-095"/>
    <n v="1"/>
    <x v="507"/>
    <x v="1"/>
    <x v="6"/>
    <x v="0"/>
    <s v="   delivered "/>
    <x v="0"/>
    <s v="Organizer Model R95"/>
    <x v="3"/>
    <n v="109.58"/>
    <x v="27"/>
  </r>
  <r>
    <x v="508"/>
    <x v="110"/>
    <s v="PROD-ELEC-007"/>
    <n v="1"/>
    <x v="508"/>
    <x v="1"/>
    <x v="5"/>
    <x v="4"/>
    <s v=" cancelled"/>
    <x v="3"/>
    <s v="Smartwatch Model H7"/>
    <x v="0"/>
    <n v="204.37"/>
    <x v="24"/>
  </r>
  <r>
    <x v="509"/>
    <x v="165"/>
    <s v="PROD-DIGI-141"/>
    <n v="4"/>
    <x v="509"/>
    <x v="3"/>
    <x v="3"/>
    <x v="2"/>
    <s v="REFUNDED "/>
    <x v="4"/>
    <s v="Cloud Storage Basic Model L141"/>
    <x v="2"/>
    <n v="93.62"/>
    <x v="289"/>
  </r>
  <r>
    <x v="510"/>
    <x v="105"/>
    <s v="PROD-APPA-079"/>
    <n v="1"/>
    <x v="510"/>
    <x v="0"/>
    <x v="6"/>
    <x v="0"/>
    <s v="   delivered "/>
    <x v="0"/>
    <s v="Hoodie Model B79"/>
    <x v="1"/>
    <n v="106.9"/>
    <x v="71"/>
  </r>
  <r>
    <x v="511"/>
    <x v="23"/>
    <s v="PROD-ELEC-038"/>
    <n v="1"/>
    <x v="511"/>
    <x v="3"/>
    <x v="3"/>
    <x v="3"/>
    <s v=" disputed  "/>
    <x v="5"/>
    <s v="Cable Model M38"/>
    <x v="0"/>
    <n v="91.18"/>
    <x v="169"/>
  </r>
  <r>
    <x v="512"/>
    <x v="247"/>
    <s v="PROD-LUXU-096"/>
    <n v="4"/>
    <x v="512"/>
    <x v="2"/>
    <x v="2"/>
    <x v="2"/>
    <s v="REFUNDED "/>
    <x v="4"/>
    <s v="Leather Handbag Model S96"/>
    <x v="4"/>
    <n v="2336.6799999999998"/>
    <x v="290"/>
  </r>
  <r>
    <x v="513"/>
    <x v="177"/>
    <s v="PROD-DIGI-030"/>
    <n v="1"/>
    <x v="513"/>
    <x v="0"/>
    <x v="4"/>
    <x v="0"/>
    <s v="   delivered "/>
    <x v="0"/>
    <s v="VPN 6-Month Pass Model E30"/>
    <x v="2"/>
    <n v="28.63"/>
    <x v="291"/>
  </r>
  <r>
    <x v="514"/>
    <x v="212"/>
    <s v="PROD-APPA-134"/>
    <n v="1"/>
    <x v="514"/>
    <x v="4"/>
    <x v="2"/>
    <x v="2"/>
    <s v="   delivered "/>
    <x v="0"/>
    <s v="Hoodie Model E134"/>
    <x v="1"/>
    <n v="58.39"/>
    <x v="229"/>
  </r>
  <r>
    <x v="515"/>
    <x v="248"/>
    <s v="PROD-DIGI-130"/>
    <n v="3"/>
    <x v="515"/>
    <x v="1"/>
    <x v="1"/>
    <x v="2"/>
    <s v="   delivered "/>
    <x v="0"/>
    <s v="VPN 6-Month Pass Model A130"/>
    <x v="2"/>
    <n v="81.61"/>
    <x v="292"/>
  </r>
  <r>
    <x v="516"/>
    <x v="27"/>
    <s v="PROD-HOME-033"/>
    <n v="1"/>
    <x v="516"/>
    <x v="0"/>
    <x v="0"/>
    <x v="0"/>
    <s v="SHIPPED  "/>
    <x v="1"/>
    <s v="Mug Model H33"/>
    <x v="3"/>
    <n v="45.31"/>
    <x v="108"/>
  </r>
  <r>
    <x v="517"/>
    <x v="158"/>
    <s v="PROD-HOME-017"/>
    <n v="4"/>
    <x v="517"/>
    <x v="2"/>
    <x v="3"/>
    <x v="4"/>
    <s v=" disputed  "/>
    <x v="5"/>
    <s v="Pillow Model R17"/>
    <x v="3"/>
    <n v="169.86"/>
    <x v="293"/>
  </r>
  <r>
    <x v="518"/>
    <x v="202"/>
    <s v="PROD-HOME-095"/>
    <n v="4"/>
    <x v="518"/>
    <x v="0"/>
    <x v="3"/>
    <x v="4"/>
    <s v="REFUNDED "/>
    <x v="4"/>
    <s v="Organizer Model R95"/>
    <x v="3"/>
    <n v="109.58"/>
    <x v="294"/>
  </r>
  <r>
    <x v="519"/>
    <x v="249"/>
    <s v="PROD-ELEC-049"/>
    <n v="1"/>
    <x v="519"/>
    <x v="1"/>
    <x v="2"/>
    <x v="0"/>
    <s v="   delivered "/>
    <x v="0"/>
    <s v="Keyboard Model X49"/>
    <x v="0"/>
    <n v="30.84"/>
    <x v="288"/>
  </r>
  <r>
    <x v="520"/>
    <x v="250"/>
    <s v="PROD-LUXU-026"/>
    <n v="1"/>
    <x v="520"/>
    <x v="0"/>
    <x v="3"/>
    <x v="4"/>
    <s v=" disputed  "/>
    <x v="5"/>
    <s v="Gold Bracelet Model A26"/>
    <x v="4"/>
    <n v="1096.3900000000001"/>
    <x v="43"/>
  </r>
  <r>
    <x v="521"/>
    <x v="244"/>
    <s v="PROD-APPA-042"/>
    <n v="5"/>
    <x v="521"/>
    <x v="3"/>
    <x v="5"/>
    <x v="3"/>
    <s v=" cancelled"/>
    <x v="3"/>
    <s v="Jeans Model Q42"/>
    <x v="1"/>
    <n v="82.57"/>
    <x v="208"/>
  </r>
  <r>
    <x v="522"/>
    <x v="94"/>
    <s v="PROD-LUXU-018"/>
    <n v="1"/>
    <x v="522"/>
    <x v="2"/>
    <x v="2"/>
    <x v="3"/>
    <s v=" cancelled"/>
    <x v="3"/>
    <s v="Leather Handbag Model S18"/>
    <x v="4"/>
    <n v="1475.11"/>
    <x v="65"/>
  </r>
  <r>
    <x v="523"/>
    <x v="251"/>
    <s v="PROD-APPA-119"/>
    <n v="1"/>
    <x v="523"/>
    <x v="4"/>
    <x v="6"/>
    <x v="1"/>
    <s v="   delivered "/>
    <x v="0"/>
    <s v="Sneakers Model P119"/>
    <x v="1"/>
    <n v="19.329999999999998"/>
    <x v="87"/>
  </r>
  <r>
    <x v="524"/>
    <x v="67"/>
    <s v="PROD-APPA-002"/>
    <n v="4"/>
    <x v="524"/>
    <x v="1"/>
    <x v="3"/>
    <x v="3"/>
    <s v=" cancelled"/>
    <x v="3"/>
    <s v="Sneakers Model C2"/>
    <x v="1"/>
    <n v="21.27"/>
    <x v="167"/>
  </r>
  <r>
    <x v="525"/>
    <x v="37"/>
    <s v="PROD-ELEC-007"/>
    <n v="1"/>
    <x v="525"/>
    <x v="0"/>
    <x v="6"/>
    <x v="0"/>
    <s v="PENDING_REVIEW"/>
    <x v="2"/>
    <s v="Smartwatch Model H7"/>
    <x v="0"/>
    <n v="204.37"/>
    <x v="24"/>
  </r>
  <r>
    <x v="526"/>
    <x v="154"/>
    <s v="PROD-DIGI-118"/>
    <n v="1"/>
    <x v="526"/>
    <x v="1"/>
    <x v="0"/>
    <x v="2"/>
    <s v="   delivered "/>
    <x v="0"/>
    <s v="Premium Stream 1M Model O118"/>
    <x v="2"/>
    <n v="53.05"/>
    <x v="98"/>
  </r>
  <r>
    <x v="527"/>
    <x v="187"/>
    <s v="PROD-APPA-072"/>
    <n v="1"/>
    <x v="527"/>
    <x v="0"/>
    <x v="4"/>
    <x v="2"/>
    <s v="   delivered "/>
    <x v="0"/>
    <s v="Jacket Model U72"/>
    <x v="1"/>
    <n v="75.400000000000006"/>
    <x v="19"/>
  </r>
  <r>
    <x v="528"/>
    <x v="252"/>
    <s v="PROD-DIGI-090"/>
    <n v="5"/>
    <x v="528"/>
    <x v="0"/>
    <x v="5"/>
    <x v="2"/>
    <s v="PENDING_REVIEW"/>
    <x v="2"/>
    <s v="VPN 6-Month Pass Model M90"/>
    <x v="2"/>
    <n v="5.91"/>
    <x v="34"/>
  </r>
  <r>
    <x v="529"/>
    <x v="124"/>
    <s v="PROD-ELEC-056"/>
    <n v="1"/>
    <x v="529"/>
    <x v="0"/>
    <x v="2"/>
    <x v="2"/>
    <s v="SHIPPED  "/>
    <x v="1"/>
    <s v="Charger Model E56"/>
    <x v="0"/>
    <n v="186.13"/>
    <x v="72"/>
  </r>
  <r>
    <x v="530"/>
    <x v="253"/>
    <s v="PROD-APPA-014"/>
    <n v="2"/>
    <x v="530"/>
    <x v="1"/>
    <x v="1"/>
    <x v="2"/>
    <s v="   delivered "/>
    <x v="0"/>
    <s v="Cap Model O14"/>
    <x v="1"/>
    <n v="41.83"/>
    <x v="295"/>
  </r>
  <r>
    <x v="531"/>
    <x v="138"/>
    <s v="PROD-DIGI-024"/>
    <n v="1"/>
    <x v="531"/>
    <x v="1"/>
    <x v="6"/>
    <x v="0"/>
    <s v="   delivered "/>
    <x v="0"/>
    <s v="Premium Stream 1M Model Y24"/>
    <x v="2"/>
    <n v="29.9"/>
    <x v="137"/>
  </r>
  <r>
    <x v="532"/>
    <x v="170"/>
    <s v="PROD-APPA-014"/>
    <n v="1"/>
    <x v="532"/>
    <x v="0"/>
    <x v="0"/>
    <x v="0"/>
    <s v="   delivered "/>
    <x v="0"/>
    <s v="Cap Model O14"/>
    <x v="1"/>
    <n v="41.83"/>
    <x v="144"/>
  </r>
  <r>
    <x v="533"/>
    <x v="187"/>
    <s v="PROD-HOME-093"/>
    <n v="1"/>
    <x v="533"/>
    <x v="1"/>
    <x v="2"/>
    <x v="2"/>
    <s v="SHIPPED  "/>
    <x v="1"/>
    <s v="Organizer Model P93"/>
    <x v="3"/>
    <n v="175.55"/>
    <x v="123"/>
  </r>
  <r>
    <x v="534"/>
    <x v="240"/>
    <s v="PROD-ELEC-140"/>
    <n v="5"/>
    <x v="534"/>
    <x v="3"/>
    <x v="5"/>
    <x v="2"/>
    <s v="PENDING_REVIEW"/>
    <x v="2"/>
    <s v="Smartwatch Model K140"/>
    <x v="0"/>
    <n v="221.95"/>
    <x v="296"/>
  </r>
  <r>
    <x v="535"/>
    <x v="219"/>
    <s v="PROD-DIGI-150"/>
    <n v="1"/>
    <x v="535"/>
    <x v="3"/>
    <x v="5"/>
    <x v="4"/>
    <s v="PENDING_REVIEW"/>
    <x v="2"/>
    <s v="E-Book Access Model U150"/>
    <x v="2"/>
    <n v="75.69"/>
    <x v="165"/>
  </r>
  <r>
    <x v="536"/>
    <x v="58"/>
    <s v="PROD-HOME-094"/>
    <n v="1"/>
    <x v="536"/>
    <x v="1"/>
    <x v="6"/>
    <x v="2"/>
    <s v="   delivered "/>
    <x v="0"/>
    <s v="Blender Model Q94"/>
    <x v="3"/>
    <n v="129.13"/>
    <x v="249"/>
  </r>
  <r>
    <x v="537"/>
    <x v="206"/>
    <s v="PROD-HOME-009"/>
    <n v="1"/>
    <x v="537"/>
    <x v="0"/>
    <x v="0"/>
    <x v="0"/>
    <s v="   delivered "/>
    <x v="0"/>
    <s v="Coffee Maker Model J9"/>
    <x v="3"/>
    <n v="34.840000000000003"/>
    <x v="30"/>
  </r>
  <r>
    <x v="538"/>
    <x v="254"/>
    <s v="PROD-APPA-097"/>
    <n v="1"/>
    <x v="538"/>
    <x v="1"/>
    <x v="0"/>
    <x v="2"/>
    <s v="   delivered "/>
    <x v="0"/>
    <s v="Cap Model T97"/>
    <x v="1"/>
    <n v="99.18"/>
    <x v="12"/>
  </r>
  <r>
    <x v="539"/>
    <x v="105"/>
    <s v="PROD-HOME-106"/>
    <n v="2"/>
    <x v="539"/>
    <x v="1"/>
    <x v="2"/>
    <x v="2"/>
    <s v="   delivered "/>
    <x v="0"/>
    <s v="Blender Model C106"/>
    <x v="3"/>
    <n v="112.89"/>
    <x v="103"/>
  </r>
  <r>
    <x v="540"/>
    <x v="44"/>
    <s v="PROD-APPA-119"/>
    <n v="3"/>
    <x v="540"/>
    <x v="0"/>
    <x v="2"/>
    <x v="0"/>
    <s v="   delivered "/>
    <x v="0"/>
    <s v="Sneakers Model P119"/>
    <x v="1"/>
    <n v="19.329999999999998"/>
    <x v="76"/>
  </r>
  <r>
    <x v="541"/>
    <x v="4"/>
    <s v="PROD-DIGI-019"/>
    <n v="1"/>
    <x v="541"/>
    <x v="0"/>
    <x v="1"/>
    <x v="1"/>
    <s v="   delivered "/>
    <x v="0"/>
    <s v="Software License Tier A Model T19"/>
    <x v="2"/>
    <n v="30.38"/>
    <x v="297"/>
  </r>
  <r>
    <x v="542"/>
    <x v="255"/>
    <s v="PROD-ELEC-035"/>
    <n v="1"/>
    <x v="542"/>
    <x v="0"/>
    <x v="3"/>
    <x v="2"/>
    <s v=" cancelled"/>
    <x v="3"/>
    <s v="Smartwatch Model J35"/>
    <x v="0"/>
    <n v="161.94999999999999"/>
    <x v="54"/>
  </r>
  <r>
    <x v="543"/>
    <x v="173"/>
    <s v="PROD-DIGI-148"/>
    <n v="5"/>
    <x v="543"/>
    <x v="0"/>
    <x v="5"/>
    <x v="2"/>
    <s v=" disputed  "/>
    <x v="5"/>
    <s v="Premium Stream 1M Model S148"/>
    <x v="2"/>
    <n v="9.73"/>
    <x v="187"/>
  </r>
  <r>
    <x v="544"/>
    <x v="217"/>
    <s v="PROD-APPA-119"/>
    <n v="1"/>
    <x v="544"/>
    <x v="1"/>
    <x v="0"/>
    <x v="0"/>
    <s v="   delivered "/>
    <x v="0"/>
    <s v="Sneakers Model P119"/>
    <x v="1"/>
    <n v="19.329999999999998"/>
    <x v="87"/>
  </r>
  <r>
    <x v="545"/>
    <x v="201"/>
    <s v="PROD-DIGI-114"/>
    <n v="1"/>
    <x v="545"/>
    <x v="1"/>
    <x v="4"/>
    <x v="0"/>
    <s v="   delivered "/>
    <x v="0"/>
    <s v="E-Book Access Model K114"/>
    <x v="2"/>
    <n v="57.11"/>
    <x v="298"/>
  </r>
  <r>
    <x v="546"/>
    <x v="147"/>
    <s v="PROD-APPA-121"/>
    <n v="1"/>
    <x v="546"/>
    <x v="1"/>
    <x v="3"/>
    <x v="3"/>
    <s v="PENDING_REVIEW"/>
    <x v="2"/>
    <s v="Sneakers Model R121"/>
    <x v="1"/>
    <n v="44.15"/>
    <x v="131"/>
  </r>
  <r>
    <x v="547"/>
    <x v="49"/>
    <s v="PROD-LUXU-066"/>
    <n v="1"/>
    <x v="547"/>
    <x v="2"/>
    <x v="6"/>
    <x v="4"/>
    <s v="PENDING_REVIEW"/>
    <x v="2"/>
    <s v="Gold Bracelet Model O66"/>
    <x v="4"/>
    <n v="640.54999999999995"/>
    <x v="299"/>
  </r>
  <r>
    <x v="548"/>
    <x v="87"/>
    <s v="PROD-DIGI-029"/>
    <n v="2"/>
    <x v="548"/>
    <x v="1"/>
    <x v="0"/>
    <x v="0"/>
    <s v="   delivered "/>
    <x v="0"/>
    <s v="VPN 6-Month Pass Model D29"/>
    <x v="2"/>
    <n v="10.97"/>
    <x v="280"/>
  </r>
  <r>
    <x v="549"/>
    <x v="79"/>
    <s v="PROD-ELEC-104"/>
    <n v="1"/>
    <x v="549"/>
    <x v="1"/>
    <x v="4"/>
    <x v="1"/>
    <s v="   delivered "/>
    <x v="0"/>
    <s v="Smartwatch Model A104"/>
    <x v="0"/>
    <n v="80.59"/>
    <x v="90"/>
  </r>
  <r>
    <x v="550"/>
    <x v="155"/>
    <s v="PROD-HOME-054"/>
    <n v="1"/>
    <x v="550"/>
    <x v="0"/>
    <x v="1"/>
    <x v="2"/>
    <s v="   delivered "/>
    <x v="0"/>
    <s v="Mug Model C54"/>
    <x v="3"/>
    <n v="85.78"/>
    <x v="172"/>
  </r>
  <r>
    <x v="551"/>
    <x v="44"/>
    <s v="PROD-ELEC-021"/>
    <n v="2"/>
    <x v="551"/>
    <x v="1"/>
    <x v="2"/>
    <x v="2"/>
    <s v="   delivered "/>
    <x v="0"/>
    <s v="Keyboard Model V21"/>
    <x v="0"/>
    <n v="208.12"/>
    <x v="300"/>
  </r>
  <r>
    <x v="552"/>
    <x v="20"/>
    <s v="PROD-APPA-135"/>
    <n v="1"/>
    <x v="552"/>
    <x v="1"/>
    <x v="1"/>
    <x v="0"/>
    <s v="   delivered "/>
    <x v="0"/>
    <s v="Hoodie Model F135"/>
    <x v="1"/>
    <n v="46.94"/>
    <x v="68"/>
  </r>
  <r>
    <x v="553"/>
    <x v="220"/>
    <s v="PROD-DIGI-073"/>
    <n v="1"/>
    <x v="553"/>
    <x v="3"/>
    <x v="3"/>
    <x v="2"/>
    <s v="REFUNDED "/>
    <x v="4"/>
    <s v="VPN 6-Month Pass Model V73"/>
    <x v="2"/>
    <n v="58.13"/>
    <x v="21"/>
  </r>
  <r>
    <x v="554"/>
    <x v="220"/>
    <s v="PROD-LUXU-066"/>
    <n v="5"/>
    <x v="554"/>
    <x v="3"/>
    <x v="2"/>
    <x v="4"/>
    <s v=" disputed  "/>
    <x v="5"/>
    <s v="Gold Bracelet Model O66"/>
    <x v="4"/>
    <n v="640.54999999999995"/>
    <x v="118"/>
  </r>
  <r>
    <x v="555"/>
    <x v="219"/>
    <s v="PROD-HOME-045"/>
    <n v="1"/>
    <x v="555"/>
    <x v="0"/>
    <x v="5"/>
    <x v="2"/>
    <s v="PENDING_REVIEW"/>
    <x v="2"/>
    <s v="Mug Model T45"/>
    <x v="3"/>
    <n v="179.22"/>
    <x v="152"/>
  </r>
  <r>
    <x v="556"/>
    <x v="52"/>
    <s v="PROD-DIGI-105"/>
    <n v="1"/>
    <x v="556"/>
    <x v="1"/>
    <x v="4"/>
    <x v="0"/>
    <s v=" cancelled"/>
    <x v="3"/>
    <s v="VPN 6-Month Pass Model B105"/>
    <x v="2"/>
    <n v="36.130000000000003"/>
    <x v="79"/>
  </r>
  <r>
    <x v="557"/>
    <x v="147"/>
    <s v="PROD-DIGI-029"/>
    <n v="1"/>
    <x v="557"/>
    <x v="0"/>
    <x v="0"/>
    <x v="1"/>
    <s v="SHIPPED  "/>
    <x v="1"/>
    <s v="VPN 6-Month Pass Model D29"/>
    <x v="2"/>
    <n v="10.97"/>
    <x v="14"/>
  </r>
  <r>
    <x v="558"/>
    <x v="23"/>
    <s v="PROD-ELEC-028"/>
    <n v="5"/>
    <x v="558"/>
    <x v="2"/>
    <x v="3"/>
    <x v="4"/>
    <s v=" disputed  "/>
    <x v="5"/>
    <s v="Keyboard Model C28"/>
    <x v="0"/>
    <n v="162.44999999999999"/>
    <x v="301"/>
  </r>
  <r>
    <x v="559"/>
    <x v="159"/>
    <s v="PROD-DIGI-053"/>
    <n v="3"/>
    <x v="559"/>
    <x v="1"/>
    <x v="4"/>
    <x v="1"/>
    <s v="   delivered "/>
    <x v="0"/>
    <s v="Premium Stream 1M Model B53"/>
    <x v="2"/>
    <n v="13.87"/>
    <x v="302"/>
  </r>
  <r>
    <x v="560"/>
    <x v="223"/>
    <s v="PROD-DIGI-110"/>
    <n v="1"/>
    <x v="560"/>
    <x v="0"/>
    <x v="0"/>
    <x v="0"/>
    <s v="   delivered "/>
    <x v="0"/>
    <s v="Cloud Storage Basic Model G110"/>
    <x v="2"/>
    <n v="53.87"/>
    <x v="303"/>
  </r>
  <r>
    <x v="561"/>
    <x v="256"/>
    <s v="PROD-APPA-042"/>
    <n v="1"/>
    <x v="561"/>
    <x v="0"/>
    <x v="4"/>
    <x v="1"/>
    <s v="   delivered "/>
    <x v="0"/>
    <s v="Jeans Model Q42"/>
    <x v="1"/>
    <n v="82.57"/>
    <x v="95"/>
  </r>
  <r>
    <x v="562"/>
    <x v="32"/>
    <s v="PROD-DIGI-125"/>
    <n v="1"/>
    <x v="562"/>
    <x v="0"/>
    <x v="2"/>
    <x v="2"/>
    <s v=" disputed  "/>
    <x v="5"/>
    <s v="Premium Stream 1M Model V125"/>
    <x v="2"/>
    <n v="18.87"/>
    <x v="44"/>
  </r>
  <r>
    <x v="563"/>
    <x v="80"/>
    <s v="PROD-HOME-138"/>
    <n v="1"/>
    <x v="563"/>
    <x v="4"/>
    <x v="0"/>
    <x v="0"/>
    <s v=" disputed  "/>
    <x v="5"/>
    <s v="Desk Lamp Model I138"/>
    <x v="3"/>
    <n v="94.55"/>
    <x v="188"/>
  </r>
  <r>
    <x v="564"/>
    <x v="84"/>
    <s v="PROD-LUXU-084"/>
    <n v="1"/>
    <x v="564"/>
    <x v="3"/>
    <x v="4"/>
    <x v="3"/>
    <s v=" cancelled"/>
    <x v="3"/>
    <s v="Leather Handbag Model G84"/>
    <x v="4"/>
    <n v="899.17"/>
    <x v="304"/>
  </r>
  <r>
    <x v="565"/>
    <x v="198"/>
    <s v="PROD-DIGI-011"/>
    <n v="5"/>
    <x v="565"/>
    <x v="3"/>
    <x v="5"/>
    <x v="2"/>
    <s v="PENDING_REVIEW"/>
    <x v="2"/>
    <s v="VPN 6-Month Pass Model L11"/>
    <x v="2"/>
    <n v="16.73"/>
    <x v="305"/>
  </r>
  <r>
    <x v="566"/>
    <x v="105"/>
    <s v="PROD-DIGI-024"/>
    <n v="1"/>
    <x v="566"/>
    <x v="1"/>
    <x v="1"/>
    <x v="2"/>
    <s v="   delivered "/>
    <x v="0"/>
    <s v="Premium Stream 1M Model Y24"/>
    <x v="2"/>
    <n v="29.9"/>
    <x v="137"/>
  </r>
  <r>
    <x v="567"/>
    <x v="171"/>
    <s v="PROD-HOME-045"/>
    <n v="1"/>
    <x v="567"/>
    <x v="1"/>
    <x v="2"/>
    <x v="2"/>
    <s v="   delivered "/>
    <x v="0"/>
    <s v="Mug Model T45"/>
    <x v="3"/>
    <n v="179.22"/>
    <x v="152"/>
  </r>
  <r>
    <x v="568"/>
    <x v="76"/>
    <s v="PROD-APPA-040"/>
    <n v="1"/>
    <x v="568"/>
    <x v="4"/>
    <x v="6"/>
    <x v="1"/>
    <s v="SHIPPED  "/>
    <x v="1"/>
    <s v="Jacket Model O40"/>
    <x v="1"/>
    <n v="114.16"/>
    <x v="50"/>
  </r>
  <r>
    <x v="569"/>
    <x v="13"/>
    <s v="PROD-ELEC-056"/>
    <n v="4"/>
    <x v="569"/>
    <x v="2"/>
    <x v="3"/>
    <x v="3"/>
    <s v="REFUNDED "/>
    <x v="4"/>
    <s v="Charger Model E56"/>
    <x v="0"/>
    <n v="186.13"/>
    <x v="306"/>
  </r>
  <r>
    <x v="570"/>
    <x v="236"/>
    <s v="PROD-ELEC-001"/>
    <n v="1"/>
    <x v="570"/>
    <x v="0"/>
    <x v="2"/>
    <x v="0"/>
    <s v="SHIPPED  "/>
    <x v="1"/>
    <s v="Mouse Model B1"/>
    <x v="0"/>
    <n v="189.26"/>
    <x v="114"/>
  </r>
  <r>
    <x v="571"/>
    <x v="179"/>
    <s v="PROD-LUXU-096"/>
    <n v="5"/>
    <x v="571"/>
    <x v="2"/>
    <x v="1"/>
    <x v="2"/>
    <s v=" cancelled"/>
    <x v="3"/>
    <s v="Leather Handbag Model S96"/>
    <x v="4"/>
    <n v="2336.6799999999998"/>
    <x v="257"/>
  </r>
  <r>
    <x v="572"/>
    <x v="35"/>
    <s v="PROD-ELEC-057"/>
    <n v="1"/>
    <x v="572"/>
    <x v="0"/>
    <x v="1"/>
    <x v="2"/>
    <s v="   delivered "/>
    <x v="0"/>
    <s v="Keyboard Model F57"/>
    <x v="0"/>
    <n v="60.02"/>
    <x v="0"/>
  </r>
  <r>
    <x v="573"/>
    <x v="16"/>
    <s v="PROD-ELEC-028"/>
    <n v="1"/>
    <x v="573"/>
    <x v="1"/>
    <x v="6"/>
    <x v="1"/>
    <s v=" disputed  "/>
    <x v="5"/>
    <s v="Keyboard Model C28"/>
    <x v="0"/>
    <n v="162.44999999999999"/>
    <x v="32"/>
  </r>
  <r>
    <x v="574"/>
    <x v="39"/>
    <s v="PROD-LUXU-003"/>
    <n v="1"/>
    <x v="574"/>
    <x v="3"/>
    <x v="3"/>
    <x v="4"/>
    <s v=" disputed  "/>
    <x v="5"/>
    <s v="Designer Watch Model D3"/>
    <x v="4"/>
    <n v="1599.08"/>
    <x v="36"/>
  </r>
  <r>
    <x v="575"/>
    <x v="257"/>
    <s v="PROD-LUXU-129"/>
    <n v="5"/>
    <x v="575"/>
    <x v="3"/>
    <x v="6"/>
    <x v="3"/>
    <s v="PENDING_REVIEW"/>
    <x v="2"/>
    <s v="Silk Scarf Model Z129"/>
    <x v="4"/>
    <n v="1610"/>
    <x v="269"/>
  </r>
  <r>
    <x v="576"/>
    <x v="8"/>
    <s v="PROD-LUXU-117"/>
    <n v="4"/>
    <x v="576"/>
    <x v="0"/>
    <x v="6"/>
    <x v="3"/>
    <s v="REFUNDED "/>
    <x v="4"/>
    <s v="Silk Scarf Model N117"/>
    <x v="4"/>
    <n v="1740.35"/>
    <x v="69"/>
  </r>
  <r>
    <x v="577"/>
    <x v="98"/>
    <s v="PROD-LUXU-036"/>
    <n v="1"/>
    <x v="577"/>
    <x v="2"/>
    <x v="0"/>
    <x v="2"/>
    <s v="REFUNDED "/>
    <x v="4"/>
    <s v="Silk Scarf Model K36"/>
    <x v="4"/>
    <n v="737.6"/>
    <x v="307"/>
  </r>
  <r>
    <x v="578"/>
    <x v="148"/>
    <s v="PROD-DIGI-109"/>
    <n v="5"/>
    <x v="578"/>
    <x v="3"/>
    <x v="3"/>
    <x v="2"/>
    <s v="REFUNDED "/>
    <x v="4"/>
    <s v="VPN 6-Month Pass Model F109"/>
    <x v="2"/>
    <n v="22.87"/>
    <x v="308"/>
  </r>
  <r>
    <x v="579"/>
    <x v="173"/>
    <s v="PROD-DIGI-099"/>
    <n v="1"/>
    <x v="579"/>
    <x v="1"/>
    <x v="0"/>
    <x v="0"/>
    <s v="   delivered "/>
    <x v="0"/>
    <s v="Premium Stream 1M Model V99"/>
    <x v="2"/>
    <n v="30.08"/>
    <x v="89"/>
  </r>
  <r>
    <x v="580"/>
    <x v="112"/>
    <s v="PROD-HOME-081"/>
    <n v="1"/>
    <x v="580"/>
    <x v="3"/>
    <x v="5"/>
    <x v="2"/>
    <s v="REFUNDED "/>
    <x v="4"/>
    <s v="Desk Lamp Model D81"/>
    <x v="3"/>
    <n v="177.42"/>
    <x v="309"/>
  </r>
  <r>
    <x v="581"/>
    <x v="158"/>
    <s v="PROD-ELEC-059"/>
    <n v="1"/>
    <x v="581"/>
    <x v="1"/>
    <x v="1"/>
    <x v="2"/>
    <s v=" disputed  "/>
    <x v="5"/>
    <s v="Charger Model H59"/>
    <x v="0"/>
    <n v="204.89"/>
    <x v="310"/>
  </r>
  <r>
    <x v="582"/>
    <x v="183"/>
    <s v="PROD-APPA-079"/>
    <n v="1"/>
    <x v="582"/>
    <x v="0"/>
    <x v="2"/>
    <x v="0"/>
    <s v="   delivered "/>
    <x v="0"/>
    <s v="Hoodie Model B79"/>
    <x v="1"/>
    <n v="106.9"/>
    <x v="71"/>
  </r>
  <r>
    <x v="583"/>
    <x v="258"/>
    <s v="PROD-HOME-075"/>
    <n v="1"/>
    <x v="583"/>
    <x v="2"/>
    <x v="5"/>
    <x v="2"/>
    <s v=" disputed  "/>
    <x v="5"/>
    <s v="Mug Model X75"/>
    <x v="3"/>
    <n v="40.94"/>
    <x v="205"/>
  </r>
  <r>
    <x v="584"/>
    <x v="153"/>
    <s v="PROD-ELEC-083"/>
    <n v="1"/>
    <x v="584"/>
    <x v="1"/>
    <x v="0"/>
    <x v="2"/>
    <s v="   delivered "/>
    <x v="0"/>
    <s v="Keyboard Model F83"/>
    <x v="0"/>
    <n v="77.150000000000006"/>
    <x v="111"/>
  </r>
  <r>
    <x v="585"/>
    <x v="80"/>
    <s v="PROD-LUXU-092"/>
    <n v="4"/>
    <x v="585"/>
    <x v="3"/>
    <x v="3"/>
    <x v="2"/>
    <s v="REFUNDED "/>
    <x v="4"/>
    <s v="Leather Handbag Model O92"/>
    <x v="4"/>
    <n v="1245.53"/>
    <x v="311"/>
  </r>
  <r>
    <x v="586"/>
    <x v="204"/>
    <s v="PROD-ELEC-049"/>
    <n v="4"/>
    <x v="586"/>
    <x v="2"/>
    <x v="5"/>
    <x v="3"/>
    <s v=" disputed  "/>
    <x v="5"/>
    <s v="Keyboard Model X49"/>
    <x v="0"/>
    <n v="30.84"/>
    <x v="253"/>
  </r>
  <r>
    <x v="587"/>
    <x v="259"/>
    <s v="PROD-APPA-097"/>
    <n v="2"/>
    <x v="587"/>
    <x v="4"/>
    <x v="4"/>
    <x v="0"/>
    <s v="   delivered "/>
    <x v="0"/>
    <s v="Cap Model T97"/>
    <x v="1"/>
    <n v="99.18"/>
    <x v="312"/>
  </r>
  <r>
    <x v="588"/>
    <x v="4"/>
    <s v="PROD-HOME-017"/>
    <n v="1"/>
    <x v="588"/>
    <x v="1"/>
    <x v="6"/>
    <x v="2"/>
    <s v="   delivered "/>
    <x v="0"/>
    <s v="Pillow Model R17"/>
    <x v="3"/>
    <n v="169.86"/>
    <x v="56"/>
  </r>
  <r>
    <x v="589"/>
    <x v="106"/>
    <s v="PROD-APPA-079"/>
    <n v="1"/>
    <x v="589"/>
    <x v="0"/>
    <x v="4"/>
    <x v="1"/>
    <s v="   delivered "/>
    <x v="0"/>
    <s v="Hoodie Model B79"/>
    <x v="1"/>
    <n v="106.9"/>
    <x v="71"/>
  </r>
  <r>
    <x v="590"/>
    <x v="174"/>
    <s v="PROD-DIGI-011"/>
    <n v="1"/>
    <x v="590"/>
    <x v="1"/>
    <x v="4"/>
    <x v="0"/>
    <s v="   delivered "/>
    <x v="0"/>
    <s v="VPN 6-Month Pass Model L11"/>
    <x v="2"/>
    <n v="16.73"/>
    <x v="151"/>
  </r>
  <r>
    <x v="591"/>
    <x v="260"/>
    <s v="PROD-ELEC-126"/>
    <n v="2"/>
    <x v="591"/>
    <x v="1"/>
    <x v="2"/>
    <x v="0"/>
    <s v="   delivered "/>
    <x v="0"/>
    <s v="Smartwatch Model W126"/>
    <x v="0"/>
    <n v="114.91"/>
    <x v="313"/>
  </r>
  <r>
    <x v="592"/>
    <x v="29"/>
    <s v="PROD-LUXU-020"/>
    <n v="4"/>
    <x v="592"/>
    <x v="0"/>
    <x v="4"/>
    <x v="2"/>
    <s v="REFUNDED "/>
    <x v="4"/>
    <s v="Leather Handbag Model U20"/>
    <x v="4"/>
    <n v="1806.15"/>
    <x v="67"/>
  </r>
  <r>
    <x v="593"/>
    <x v="196"/>
    <s v="PROD-DIGI-132"/>
    <n v="5"/>
    <x v="593"/>
    <x v="2"/>
    <x v="5"/>
    <x v="4"/>
    <s v="REFUNDED "/>
    <x v="4"/>
    <s v="Software License Tier A Model C132"/>
    <x v="2"/>
    <n v="29.36"/>
    <x v="154"/>
  </r>
  <r>
    <x v="594"/>
    <x v="121"/>
    <s v="PROD-ELEC-031"/>
    <n v="1"/>
    <x v="594"/>
    <x v="0"/>
    <x v="2"/>
    <x v="2"/>
    <s v="   delivered "/>
    <x v="0"/>
    <s v="Webcam Model F31"/>
    <x v="0"/>
    <n v="184.37"/>
    <x v="130"/>
  </r>
  <r>
    <x v="595"/>
    <x v="223"/>
    <s v="PROD-DIGI-073"/>
    <n v="2"/>
    <x v="595"/>
    <x v="1"/>
    <x v="0"/>
    <x v="2"/>
    <s v="   delivered "/>
    <x v="0"/>
    <s v="VPN 6-Month Pass Model V73"/>
    <x v="2"/>
    <n v="58.13"/>
    <x v="314"/>
  </r>
  <r>
    <x v="596"/>
    <x v="233"/>
    <s v="PROD-APPA-015"/>
    <n v="1"/>
    <x v="596"/>
    <x v="1"/>
    <x v="6"/>
    <x v="1"/>
    <s v="PENDING_REVIEW"/>
    <x v="2"/>
    <s v="Cap Model P15"/>
    <x v="1"/>
    <n v="21.11"/>
    <x v="62"/>
  </r>
  <r>
    <x v="597"/>
    <x v="62"/>
    <s v="PROD-LUXU-086"/>
    <n v="5"/>
    <x v="597"/>
    <x v="1"/>
    <x v="0"/>
    <x v="3"/>
    <s v=" disputed  "/>
    <x v="5"/>
    <s v="Gold Bracelet Model I86"/>
    <x v="4"/>
    <n v="852.47"/>
    <x v="232"/>
  </r>
  <r>
    <x v="598"/>
    <x v="91"/>
    <s v="PROD-ELEC-126"/>
    <n v="2"/>
    <x v="598"/>
    <x v="0"/>
    <x v="6"/>
    <x v="0"/>
    <s v="   delivered "/>
    <x v="0"/>
    <s v="Smartwatch Model W126"/>
    <x v="0"/>
    <n v="114.91"/>
    <x v="313"/>
  </r>
  <r>
    <x v="599"/>
    <x v="174"/>
    <s v="PROD-DIGI-099"/>
    <n v="5"/>
    <x v="599"/>
    <x v="0"/>
    <x v="3"/>
    <x v="2"/>
    <s v="PENDING_REVIEW"/>
    <x v="2"/>
    <s v="Premium Stream 1M Model V99"/>
    <x v="2"/>
    <n v="30.08"/>
    <x v="315"/>
  </r>
  <r>
    <x v="600"/>
    <x v="149"/>
    <s v="PROD-APPA-079"/>
    <n v="3"/>
    <x v="600"/>
    <x v="0"/>
    <x v="2"/>
    <x v="1"/>
    <s v="   delivered "/>
    <x v="0"/>
    <s v="Hoodie Model B79"/>
    <x v="1"/>
    <n v="106.9"/>
    <x v="316"/>
  </r>
  <r>
    <x v="601"/>
    <x v="5"/>
    <s v="PROD-HOME-106"/>
    <n v="1"/>
    <x v="601"/>
    <x v="1"/>
    <x v="1"/>
    <x v="2"/>
    <s v="   delivered "/>
    <x v="0"/>
    <s v="Blender Model C106"/>
    <x v="3"/>
    <n v="112.89"/>
    <x v="206"/>
  </r>
  <r>
    <x v="602"/>
    <x v="16"/>
    <s v="PROD-HOME-039"/>
    <n v="1"/>
    <x v="602"/>
    <x v="0"/>
    <x v="1"/>
    <x v="0"/>
    <s v="   delivered "/>
    <x v="0"/>
    <s v="Organizer Model N39"/>
    <x v="3"/>
    <n v="149.08000000000001"/>
    <x v="31"/>
  </r>
  <r>
    <x v="603"/>
    <x v="48"/>
    <s v="PROD-ELEC-055"/>
    <n v="1"/>
    <x v="603"/>
    <x v="1"/>
    <x v="1"/>
    <x v="2"/>
    <s v="   delivered "/>
    <x v="0"/>
    <s v="Webcam Model D55"/>
    <x v="0"/>
    <n v="168.56"/>
    <x v="15"/>
  </r>
  <r>
    <x v="604"/>
    <x v="215"/>
    <s v="PROD-APPA-091"/>
    <n v="1"/>
    <x v="604"/>
    <x v="1"/>
    <x v="3"/>
    <x v="2"/>
    <s v="PENDING_REVIEW"/>
    <x v="2"/>
    <s v="Jacket Model N91"/>
    <x v="1"/>
    <n v="13.96"/>
    <x v="7"/>
  </r>
  <r>
    <x v="605"/>
    <x v="18"/>
    <s v="PROD-DIGI-011"/>
    <n v="1"/>
    <x v="605"/>
    <x v="1"/>
    <x v="4"/>
    <x v="0"/>
    <s v="   delivered "/>
    <x v="0"/>
    <s v="VPN 6-Month Pass Model L11"/>
    <x v="2"/>
    <n v="16.73"/>
    <x v="151"/>
  </r>
  <r>
    <x v="606"/>
    <x v="251"/>
    <s v="PROD-ELEC-140"/>
    <n v="4"/>
    <x v="606"/>
    <x v="0"/>
    <x v="5"/>
    <x v="2"/>
    <s v="REFUNDED "/>
    <x v="4"/>
    <s v="Smartwatch Model K140"/>
    <x v="0"/>
    <n v="221.95"/>
    <x v="148"/>
  </r>
  <r>
    <x v="607"/>
    <x v="88"/>
    <s v="PROD-LUXU-032"/>
    <n v="4"/>
    <x v="607"/>
    <x v="1"/>
    <x v="0"/>
    <x v="4"/>
    <s v="REFUNDED "/>
    <x v="4"/>
    <s v="Premium Perfume Model G32"/>
    <x v="4"/>
    <n v="1990.92"/>
    <x v="13"/>
  </r>
  <r>
    <x v="608"/>
    <x v="90"/>
    <s v="PROD-HOME-074"/>
    <n v="1"/>
    <x v="608"/>
    <x v="0"/>
    <x v="0"/>
    <x v="2"/>
    <s v="   delivered "/>
    <x v="0"/>
    <s v="Blender Model W74"/>
    <x v="3"/>
    <n v="127.16"/>
    <x v="5"/>
  </r>
  <r>
    <x v="609"/>
    <x v="52"/>
    <s v="PROD-APPA-134"/>
    <n v="1"/>
    <x v="609"/>
    <x v="1"/>
    <x v="0"/>
    <x v="0"/>
    <s v="   delivered "/>
    <x v="0"/>
    <s v="Hoodie Model E134"/>
    <x v="1"/>
    <n v="58.39"/>
    <x v="229"/>
  </r>
  <r>
    <x v="610"/>
    <x v="261"/>
    <s v="PROD-ELEC-012"/>
    <n v="4"/>
    <x v="610"/>
    <x v="1"/>
    <x v="5"/>
    <x v="4"/>
    <s v="REFUNDED "/>
    <x v="4"/>
    <s v="Cable Model M12"/>
    <x v="0"/>
    <n v="83.9"/>
    <x v="317"/>
  </r>
  <r>
    <x v="611"/>
    <x v="27"/>
    <s v="PROD-APPA-121"/>
    <n v="1"/>
    <x v="611"/>
    <x v="0"/>
    <x v="2"/>
    <x v="1"/>
    <s v=" cancelled"/>
    <x v="3"/>
    <s v="Sneakers Model R121"/>
    <x v="1"/>
    <n v="44.15"/>
    <x v="131"/>
  </r>
  <r>
    <x v="612"/>
    <x v="262"/>
    <s v="PROD-HOME-010"/>
    <n v="1"/>
    <x v="612"/>
    <x v="1"/>
    <x v="0"/>
    <x v="0"/>
    <s v="   delivered "/>
    <x v="0"/>
    <s v="Desk Lamp Model K10"/>
    <x v="3"/>
    <n v="62.32"/>
    <x v="242"/>
  </r>
  <r>
    <x v="613"/>
    <x v="214"/>
    <s v="PROD-LUXU-084"/>
    <n v="1"/>
    <x v="613"/>
    <x v="0"/>
    <x v="2"/>
    <x v="3"/>
    <s v="REFUNDED "/>
    <x v="4"/>
    <s v="Leather Handbag Model G84"/>
    <x v="4"/>
    <n v="899.17"/>
    <x v="304"/>
  </r>
  <r>
    <x v="614"/>
    <x v="94"/>
    <s v="PROD-DIGI-141"/>
    <n v="5"/>
    <x v="614"/>
    <x v="3"/>
    <x v="5"/>
    <x v="4"/>
    <s v="REFUNDED "/>
    <x v="4"/>
    <s v="Cloud Storage Basic Model L141"/>
    <x v="2"/>
    <n v="93.62"/>
    <x v="318"/>
  </r>
  <r>
    <x v="615"/>
    <x v="210"/>
    <s v="PROD-DIGI-063"/>
    <n v="5"/>
    <x v="615"/>
    <x v="3"/>
    <x v="3"/>
    <x v="4"/>
    <s v=" cancelled"/>
    <x v="3"/>
    <s v="Cloud Storage Basic Model L63"/>
    <x v="2"/>
    <n v="20.48"/>
    <x v="319"/>
  </r>
  <r>
    <x v="616"/>
    <x v="263"/>
    <s v="PROD-ELEC-056"/>
    <n v="2"/>
    <x v="616"/>
    <x v="1"/>
    <x v="0"/>
    <x v="0"/>
    <s v="   delivered "/>
    <x v="0"/>
    <s v="Charger Model E56"/>
    <x v="0"/>
    <n v="186.13"/>
    <x v="320"/>
  </r>
  <r>
    <x v="617"/>
    <x v="37"/>
    <s v="PROD-ELEC-107"/>
    <n v="1"/>
    <x v="617"/>
    <x v="0"/>
    <x v="6"/>
    <x v="1"/>
    <s v="   delivered "/>
    <x v="0"/>
    <s v="Mouse Model D107"/>
    <x v="0"/>
    <n v="155.19"/>
    <x v="112"/>
  </r>
  <r>
    <x v="618"/>
    <x v="264"/>
    <s v="PROD-LUXU-124"/>
    <n v="4"/>
    <x v="618"/>
    <x v="0"/>
    <x v="6"/>
    <x v="4"/>
    <s v="REFUNDED "/>
    <x v="4"/>
    <s v="Leather Handbag Model U124"/>
    <x v="4"/>
    <n v="1880.36"/>
    <x v="47"/>
  </r>
  <r>
    <x v="619"/>
    <x v="10"/>
    <s v="PROD-APPA-040"/>
    <n v="1"/>
    <x v="619"/>
    <x v="1"/>
    <x v="5"/>
    <x v="3"/>
    <s v=" cancelled"/>
    <x v="3"/>
    <s v="Jacket Model O40"/>
    <x v="1"/>
    <n v="114.16"/>
    <x v="50"/>
  </r>
  <r>
    <x v="620"/>
    <x v="256"/>
    <s v="PROD-ELEC-007"/>
    <n v="4"/>
    <x v="620"/>
    <x v="1"/>
    <x v="3"/>
    <x v="2"/>
    <s v="REFUNDED "/>
    <x v="4"/>
    <s v="Smartwatch Model H7"/>
    <x v="0"/>
    <n v="204.37"/>
    <x v="321"/>
  </r>
  <r>
    <x v="621"/>
    <x v="129"/>
    <s v="PROD-DIGI-011"/>
    <n v="1"/>
    <x v="621"/>
    <x v="1"/>
    <x v="4"/>
    <x v="1"/>
    <s v="   delivered "/>
    <x v="0"/>
    <s v="VPN 6-Month Pass Model L11"/>
    <x v="2"/>
    <n v="16.73"/>
    <x v="151"/>
  </r>
  <r>
    <x v="622"/>
    <x v="133"/>
    <s v="PROD-DIGI-046"/>
    <n v="1"/>
    <x v="622"/>
    <x v="2"/>
    <x v="5"/>
    <x v="2"/>
    <s v=" cancelled"/>
    <x v="3"/>
    <s v="VPN 6-Month Pass Model U46"/>
    <x v="2"/>
    <n v="47.44"/>
    <x v="101"/>
  </r>
  <r>
    <x v="623"/>
    <x v="265"/>
    <s v="PROD-DIGI-142"/>
    <n v="1"/>
    <x v="623"/>
    <x v="4"/>
    <x v="6"/>
    <x v="1"/>
    <s v="   delivered "/>
    <x v="0"/>
    <s v="Software License Tier A Model M142"/>
    <x v="2"/>
    <n v="55.59"/>
    <x v="322"/>
  </r>
  <r>
    <x v="624"/>
    <x v="27"/>
    <s v="PROD-DIGI-145"/>
    <n v="3"/>
    <x v="624"/>
    <x v="1"/>
    <x v="4"/>
    <x v="0"/>
    <s v="SHIPPED  "/>
    <x v="1"/>
    <s v="Premium Stream 1M Model P145"/>
    <x v="2"/>
    <n v="84.01"/>
    <x v="157"/>
  </r>
  <r>
    <x v="625"/>
    <x v="89"/>
    <s v="PROD-APPA-015"/>
    <n v="2"/>
    <x v="625"/>
    <x v="1"/>
    <x v="2"/>
    <x v="2"/>
    <s v="   delivered "/>
    <x v="0"/>
    <s v="Cap Model P15"/>
    <x v="1"/>
    <n v="21.11"/>
    <x v="323"/>
  </r>
  <r>
    <x v="626"/>
    <x v="220"/>
    <s v="PROD-DIGI-109"/>
    <n v="5"/>
    <x v="626"/>
    <x v="2"/>
    <x v="5"/>
    <x v="2"/>
    <s v=" cancelled"/>
    <x v="3"/>
    <s v="VPN 6-Month Pass Model F109"/>
    <x v="2"/>
    <n v="22.87"/>
    <x v="308"/>
  </r>
  <r>
    <x v="627"/>
    <x v="134"/>
    <s v="PROD-HOME-080"/>
    <n v="1"/>
    <x v="627"/>
    <x v="1"/>
    <x v="1"/>
    <x v="2"/>
    <s v="SHIPPED  "/>
    <x v="1"/>
    <s v="Toaster Model C80"/>
    <x v="3"/>
    <n v="45.24"/>
    <x v="73"/>
  </r>
  <r>
    <x v="628"/>
    <x v="1"/>
    <s v="PROD-DIGI-029"/>
    <n v="5"/>
    <x v="628"/>
    <x v="3"/>
    <x v="5"/>
    <x v="4"/>
    <s v="REFUNDED "/>
    <x v="4"/>
    <s v="VPN 6-Month Pass Model D29"/>
    <x v="2"/>
    <n v="10.97"/>
    <x v="85"/>
  </r>
  <r>
    <x v="629"/>
    <x v="180"/>
    <s v="PROD-APPA-079"/>
    <n v="2"/>
    <x v="629"/>
    <x v="0"/>
    <x v="2"/>
    <x v="2"/>
    <s v="   delivered "/>
    <x v="0"/>
    <s v="Hoodie Model B79"/>
    <x v="1"/>
    <n v="106.9"/>
    <x v="324"/>
  </r>
  <r>
    <x v="630"/>
    <x v="258"/>
    <s v="PROD-ELEC-038"/>
    <n v="2"/>
    <x v="630"/>
    <x v="1"/>
    <x v="1"/>
    <x v="2"/>
    <s v="   delivered "/>
    <x v="0"/>
    <s v="Cable Model M38"/>
    <x v="0"/>
    <n v="91.18"/>
    <x v="283"/>
  </r>
  <r>
    <x v="631"/>
    <x v="132"/>
    <s v="PROD-HOME-094"/>
    <n v="1"/>
    <x v="631"/>
    <x v="1"/>
    <x v="2"/>
    <x v="2"/>
    <s v="   delivered "/>
    <x v="0"/>
    <s v="Blender Model Q94"/>
    <x v="3"/>
    <n v="129.13"/>
    <x v="249"/>
  </r>
  <r>
    <x v="632"/>
    <x v="16"/>
    <s v="PROD-APPA-027"/>
    <n v="2"/>
    <x v="632"/>
    <x v="1"/>
    <x v="2"/>
    <x v="2"/>
    <s v="   delivered "/>
    <x v="0"/>
    <s v="Jacket Model B27"/>
    <x v="1"/>
    <n v="64.290000000000006"/>
    <x v="193"/>
  </r>
  <r>
    <x v="633"/>
    <x v="123"/>
    <s v="PROD-HOME-113"/>
    <n v="1"/>
    <x v="633"/>
    <x v="1"/>
    <x v="2"/>
    <x v="0"/>
    <s v="   delivered "/>
    <x v="0"/>
    <s v="Desk Lamp Model J113"/>
    <x v="3"/>
    <n v="69.489999999999995"/>
    <x v="105"/>
  </r>
  <r>
    <x v="634"/>
    <x v="177"/>
    <s v="PROD-DIGI-063"/>
    <n v="1"/>
    <x v="634"/>
    <x v="0"/>
    <x v="4"/>
    <x v="2"/>
    <s v="   delivered "/>
    <x v="0"/>
    <s v="Cloud Storage Basic Model L63"/>
    <x v="2"/>
    <n v="20.48"/>
    <x v="60"/>
  </r>
  <r>
    <x v="635"/>
    <x v="266"/>
    <s v="PROD-HOME-016"/>
    <n v="1"/>
    <x v="635"/>
    <x v="0"/>
    <x v="5"/>
    <x v="2"/>
    <s v="PENDING_REVIEW"/>
    <x v="2"/>
    <s v="Blender Model Q16"/>
    <x v="3"/>
    <n v="79.23"/>
    <x v="150"/>
  </r>
  <r>
    <x v="636"/>
    <x v="73"/>
    <s v="PROD-LUXU-096"/>
    <n v="4"/>
    <x v="636"/>
    <x v="3"/>
    <x v="2"/>
    <x v="3"/>
    <s v="PENDING_REVIEW"/>
    <x v="2"/>
    <s v="Leather Handbag Model S96"/>
    <x v="4"/>
    <n v="2336.6799999999998"/>
    <x v="290"/>
  </r>
  <r>
    <x v="637"/>
    <x v="212"/>
    <s v="PROD-HOME-054"/>
    <n v="5"/>
    <x v="637"/>
    <x v="3"/>
    <x v="5"/>
    <x v="3"/>
    <s v="REFUNDED "/>
    <x v="4"/>
    <s v="Mug Model C54"/>
    <x v="3"/>
    <n v="85.78"/>
    <x v="325"/>
  </r>
  <r>
    <x v="638"/>
    <x v="99"/>
    <s v="PROD-LUXU-069"/>
    <n v="5"/>
    <x v="638"/>
    <x v="3"/>
    <x v="5"/>
    <x v="3"/>
    <s v=" disputed  "/>
    <x v="5"/>
    <s v="Leather Handbag Model R69"/>
    <x v="4"/>
    <n v="425.14"/>
    <x v="326"/>
  </r>
  <r>
    <x v="639"/>
    <x v="93"/>
    <s v="PROD-ELEC-100"/>
    <n v="1"/>
    <x v="639"/>
    <x v="0"/>
    <x v="2"/>
    <x v="2"/>
    <s v="   delivered "/>
    <x v="0"/>
    <s v="Charger Model W100"/>
    <x v="0"/>
    <n v="219.96"/>
    <x v="239"/>
  </r>
  <r>
    <x v="640"/>
    <x v="105"/>
    <s v="PROD-HOME-133"/>
    <n v="1"/>
    <x v="640"/>
    <x v="0"/>
    <x v="2"/>
    <x v="2"/>
    <s v="   delivered "/>
    <x v="0"/>
    <s v="Organizer Model D133"/>
    <x v="3"/>
    <n v="144.43"/>
    <x v="327"/>
  </r>
  <r>
    <x v="641"/>
    <x v="267"/>
    <s v="PROD-LUXU-026"/>
    <n v="1"/>
    <x v="641"/>
    <x v="0"/>
    <x v="5"/>
    <x v="3"/>
    <s v="REFUNDED "/>
    <x v="4"/>
    <s v="Gold Bracelet Model A26"/>
    <x v="4"/>
    <n v="1096.3900000000001"/>
    <x v="43"/>
  </r>
  <r>
    <x v="642"/>
    <x v="225"/>
    <s v="PROD-ELEC-028"/>
    <n v="3"/>
    <x v="642"/>
    <x v="1"/>
    <x v="0"/>
    <x v="0"/>
    <s v="   delivered "/>
    <x v="0"/>
    <s v="Keyboard Model C28"/>
    <x v="0"/>
    <n v="162.44999999999999"/>
    <x v="48"/>
  </r>
  <r>
    <x v="643"/>
    <x v="147"/>
    <s v="PROD-ELEC-061"/>
    <n v="1"/>
    <x v="643"/>
    <x v="0"/>
    <x v="2"/>
    <x v="0"/>
    <s v="   delivered "/>
    <x v="0"/>
    <s v="Mouse Model J61"/>
    <x v="0"/>
    <n v="232.7"/>
    <x v="109"/>
  </r>
  <r>
    <x v="644"/>
    <x v="18"/>
    <s v="PROD-DIGI-051"/>
    <n v="1"/>
    <x v="644"/>
    <x v="1"/>
    <x v="2"/>
    <x v="0"/>
    <s v="   delivered "/>
    <x v="0"/>
    <s v="Premium Stream 1M Model Z51"/>
    <x v="2"/>
    <n v="55.69"/>
    <x v="110"/>
  </r>
  <r>
    <x v="645"/>
    <x v="152"/>
    <s v="PROD-DIGI-024"/>
    <n v="1"/>
    <x v="645"/>
    <x v="4"/>
    <x v="1"/>
    <x v="1"/>
    <s v="   delivered "/>
    <x v="0"/>
    <s v="Premium Stream 1M Model Y24"/>
    <x v="2"/>
    <n v="29.9"/>
    <x v="137"/>
  </r>
  <r>
    <x v="646"/>
    <x v="112"/>
    <s v="PROD-DIGI-150"/>
    <n v="1"/>
    <x v="646"/>
    <x v="1"/>
    <x v="2"/>
    <x v="2"/>
    <s v="   delivered "/>
    <x v="0"/>
    <s v="E-Book Access Model U150"/>
    <x v="2"/>
    <n v="75.69"/>
    <x v="165"/>
  </r>
  <r>
    <x v="647"/>
    <x v="225"/>
    <s v="PROD-ELEC-067"/>
    <n v="2"/>
    <x v="647"/>
    <x v="1"/>
    <x v="4"/>
    <x v="2"/>
    <s v="   delivered "/>
    <x v="0"/>
    <s v="Cable Model P67"/>
    <x v="0"/>
    <n v="187.9"/>
    <x v="284"/>
  </r>
  <r>
    <x v="648"/>
    <x v="262"/>
    <s v="PROD-DIGI-053"/>
    <n v="5"/>
    <x v="648"/>
    <x v="2"/>
    <x v="5"/>
    <x v="3"/>
    <s v=" cancelled"/>
    <x v="3"/>
    <s v="Premium Stream 1M Model B53"/>
    <x v="2"/>
    <n v="13.87"/>
    <x v="328"/>
  </r>
  <r>
    <x v="649"/>
    <x v="118"/>
    <s v="PROD-LUXU-048"/>
    <n v="1"/>
    <x v="649"/>
    <x v="2"/>
    <x v="5"/>
    <x v="3"/>
    <s v=" cancelled"/>
    <x v="3"/>
    <s v="Leather Handbag Model W48"/>
    <x v="4"/>
    <n v="315.82"/>
    <x v="329"/>
  </r>
  <r>
    <x v="650"/>
    <x v="192"/>
    <s v="PROD-APPA-149"/>
    <n v="1"/>
    <x v="650"/>
    <x v="2"/>
    <x v="3"/>
    <x v="3"/>
    <s v=" disputed  "/>
    <x v="5"/>
    <s v="Socks Model T149"/>
    <x v="1"/>
    <n v="45.95"/>
    <x v="42"/>
  </r>
  <r>
    <x v="651"/>
    <x v="218"/>
    <s v="PROD-ELEC-049"/>
    <n v="1"/>
    <x v="651"/>
    <x v="1"/>
    <x v="1"/>
    <x v="1"/>
    <s v="   delivered "/>
    <x v="0"/>
    <s v="Keyboard Model X49"/>
    <x v="0"/>
    <n v="30.84"/>
    <x v="288"/>
  </r>
  <r>
    <x v="652"/>
    <x v="105"/>
    <s v="PROD-ELEC-056"/>
    <n v="5"/>
    <x v="652"/>
    <x v="1"/>
    <x v="3"/>
    <x v="2"/>
    <s v="REFUNDED "/>
    <x v="4"/>
    <s v="Charger Model E56"/>
    <x v="0"/>
    <n v="186.13"/>
    <x v="330"/>
  </r>
  <r>
    <x v="653"/>
    <x v="268"/>
    <s v="PROD-DIGI-115"/>
    <n v="1"/>
    <x v="653"/>
    <x v="0"/>
    <x v="1"/>
    <x v="1"/>
    <s v="   delivered "/>
    <x v="0"/>
    <s v="Premium Stream 1M Model L115"/>
    <x v="2"/>
    <n v="62.86"/>
    <x v="78"/>
  </r>
  <r>
    <x v="654"/>
    <x v="201"/>
    <s v="PROD-HOME-065"/>
    <n v="1"/>
    <x v="654"/>
    <x v="0"/>
    <x v="6"/>
    <x v="0"/>
    <s v="REFUNDED "/>
    <x v="4"/>
    <s v="Mug Model N65"/>
    <x v="3"/>
    <n v="131.44999999999999"/>
    <x v="331"/>
  </r>
  <r>
    <x v="655"/>
    <x v="269"/>
    <s v="PROD-DIGI-109"/>
    <n v="1"/>
    <x v="655"/>
    <x v="0"/>
    <x v="2"/>
    <x v="0"/>
    <s v="   delivered "/>
    <x v="0"/>
    <s v="VPN 6-Month Pass Model F109"/>
    <x v="2"/>
    <n v="22.87"/>
    <x v="20"/>
  </r>
  <r>
    <x v="656"/>
    <x v="270"/>
    <s v="PROD-LUXU-092"/>
    <n v="1"/>
    <x v="656"/>
    <x v="0"/>
    <x v="5"/>
    <x v="2"/>
    <s v="REFUNDED "/>
    <x v="4"/>
    <s v="Leather Handbag Model O92"/>
    <x v="4"/>
    <n v="1245.53"/>
    <x v="204"/>
  </r>
  <r>
    <x v="657"/>
    <x v="265"/>
    <s v="PROD-HOME-085"/>
    <n v="4"/>
    <x v="657"/>
    <x v="1"/>
    <x v="3"/>
    <x v="2"/>
    <s v="PENDING_REVIEW"/>
    <x v="2"/>
    <s v="Blender Model H85"/>
    <x v="3"/>
    <n v="130"/>
    <x v="332"/>
  </r>
  <r>
    <x v="658"/>
    <x v="270"/>
    <s v="PROD-HOME-033"/>
    <n v="5"/>
    <x v="658"/>
    <x v="0"/>
    <x v="3"/>
    <x v="2"/>
    <s v=" disputed  "/>
    <x v="5"/>
    <s v="Mug Model H33"/>
    <x v="3"/>
    <n v="45.31"/>
    <x v="333"/>
  </r>
  <r>
    <x v="659"/>
    <x v="230"/>
    <s v="PROD-DIGI-115"/>
    <n v="1"/>
    <x v="659"/>
    <x v="1"/>
    <x v="6"/>
    <x v="0"/>
    <s v="   delivered "/>
    <x v="0"/>
    <s v="Premium Stream 1M Model L115"/>
    <x v="2"/>
    <n v="62.86"/>
    <x v="78"/>
  </r>
  <r>
    <x v="660"/>
    <x v="224"/>
    <s v="PROD-DIGI-139"/>
    <n v="1"/>
    <x v="660"/>
    <x v="1"/>
    <x v="1"/>
    <x v="0"/>
    <s v="   delivered "/>
    <x v="0"/>
    <s v="Software License Tier A Model J139"/>
    <x v="2"/>
    <n v="90.05"/>
    <x v="264"/>
  </r>
  <r>
    <x v="661"/>
    <x v="14"/>
    <s v="PROD-HOME-039"/>
    <n v="1"/>
    <x v="661"/>
    <x v="0"/>
    <x v="0"/>
    <x v="0"/>
    <s v="REFUNDED "/>
    <x v="4"/>
    <s v="Organizer Model N39"/>
    <x v="3"/>
    <n v="149.08000000000001"/>
    <x v="31"/>
  </r>
  <r>
    <x v="662"/>
    <x v="17"/>
    <s v="PROD-DIGI-145"/>
    <n v="4"/>
    <x v="662"/>
    <x v="0"/>
    <x v="5"/>
    <x v="3"/>
    <s v="PENDING_REVIEW"/>
    <x v="2"/>
    <s v="Premium Stream 1M Model P145"/>
    <x v="2"/>
    <n v="84.01"/>
    <x v="334"/>
  </r>
  <r>
    <x v="663"/>
    <x v="271"/>
    <s v="PROD-HOME-068"/>
    <n v="1"/>
    <x v="663"/>
    <x v="1"/>
    <x v="1"/>
    <x v="0"/>
    <s v="   delivered "/>
    <x v="0"/>
    <s v="Coffee Maker Model Q68"/>
    <x v="3"/>
    <n v="28.02"/>
    <x v="41"/>
  </r>
  <r>
    <x v="664"/>
    <x v="171"/>
    <s v="PROD-ELEC-060"/>
    <n v="1"/>
    <x v="664"/>
    <x v="0"/>
    <x v="0"/>
    <x v="2"/>
    <s v="SHIPPED  "/>
    <x v="1"/>
    <s v="Mouse Model I60"/>
    <x v="0"/>
    <n v="168.25"/>
    <x v="139"/>
  </r>
  <r>
    <x v="665"/>
    <x v="85"/>
    <s v="PROD-DIGI-109"/>
    <n v="1"/>
    <x v="665"/>
    <x v="1"/>
    <x v="2"/>
    <x v="2"/>
    <s v="   delivered "/>
    <x v="0"/>
    <s v="VPN 6-Month Pass Model F109"/>
    <x v="2"/>
    <n v="22.87"/>
    <x v="20"/>
  </r>
  <r>
    <x v="666"/>
    <x v="92"/>
    <s v="PROD-DIGI-148"/>
    <n v="1"/>
    <x v="666"/>
    <x v="0"/>
    <x v="4"/>
    <x v="1"/>
    <s v="   delivered "/>
    <x v="0"/>
    <s v="Premium Stream 1M Model S148"/>
    <x v="2"/>
    <n v="9.73"/>
    <x v="286"/>
  </r>
  <r>
    <x v="667"/>
    <x v="51"/>
    <s v="PROD-DIGI-090"/>
    <n v="1"/>
    <x v="667"/>
    <x v="0"/>
    <x v="2"/>
    <x v="0"/>
    <s v="   delivered "/>
    <x v="0"/>
    <s v="VPN 6-Month Pass Model M90"/>
    <x v="2"/>
    <n v="5.91"/>
    <x v="126"/>
  </r>
  <r>
    <x v="668"/>
    <x v="240"/>
    <s v="PROD-ELEC-078"/>
    <n v="1"/>
    <x v="668"/>
    <x v="0"/>
    <x v="1"/>
    <x v="1"/>
    <s v="SHIPPED  "/>
    <x v="1"/>
    <s v="Mouse Model A78"/>
    <x v="0"/>
    <n v="141.34"/>
    <x v="2"/>
  </r>
  <r>
    <x v="669"/>
    <x v="248"/>
    <s v="PROD-DIGI-150"/>
    <n v="1"/>
    <x v="669"/>
    <x v="0"/>
    <x v="1"/>
    <x v="0"/>
    <s v="SHIPPED  "/>
    <x v="1"/>
    <s v="E-Book Access Model U150"/>
    <x v="2"/>
    <n v="75.69"/>
    <x v="165"/>
  </r>
  <r>
    <x v="670"/>
    <x v="259"/>
    <s v="PROD-DIGI-046"/>
    <n v="1"/>
    <x v="670"/>
    <x v="1"/>
    <x v="1"/>
    <x v="2"/>
    <s v="SHIPPED  "/>
    <x v="1"/>
    <s v="VPN 6-Month Pass Model U46"/>
    <x v="2"/>
    <n v="47.44"/>
    <x v="101"/>
  </r>
  <r>
    <x v="671"/>
    <x v="81"/>
    <s v="PROD-DIGI-046"/>
    <n v="4"/>
    <x v="671"/>
    <x v="3"/>
    <x v="3"/>
    <x v="2"/>
    <s v="REFUNDED "/>
    <x v="4"/>
    <s v="VPN 6-Month Pass Model U46"/>
    <x v="2"/>
    <n v="47.44"/>
    <x v="335"/>
  </r>
  <r>
    <x v="672"/>
    <x v="146"/>
    <s v="PROD-HOME-034"/>
    <n v="1"/>
    <x v="672"/>
    <x v="1"/>
    <x v="0"/>
    <x v="0"/>
    <s v="   delivered "/>
    <x v="0"/>
    <s v="Desk Lamp Model I34"/>
    <x v="3"/>
    <n v="141.91"/>
    <x v="120"/>
  </r>
  <r>
    <x v="673"/>
    <x v="173"/>
    <s v="PROD-LUXU-129"/>
    <n v="1"/>
    <x v="673"/>
    <x v="3"/>
    <x v="3"/>
    <x v="2"/>
    <s v="PENDING_REVIEW"/>
    <x v="2"/>
    <s v="Silk Scarf Model Z129"/>
    <x v="4"/>
    <n v="1610"/>
    <x v="207"/>
  </r>
  <r>
    <x v="674"/>
    <x v="250"/>
    <s v="PROD-ELEC-004"/>
    <n v="1"/>
    <x v="674"/>
    <x v="0"/>
    <x v="2"/>
    <x v="1"/>
    <s v="PENDING_REVIEW"/>
    <x v="2"/>
    <s v="Keyboard Model E4"/>
    <x v="0"/>
    <n v="69.680000000000007"/>
    <x v="23"/>
  </r>
  <r>
    <x v="675"/>
    <x v="250"/>
    <s v="PROD-LUXU-124"/>
    <n v="4"/>
    <x v="675"/>
    <x v="2"/>
    <x v="1"/>
    <x v="2"/>
    <s v="PENDING_REVIEW"/>
    <x v="2"/>
    <s v="Leather Handbag Model U124"/>
    <x v="4"/>
    <n v="1880.36"/>
    <x v="47"/>
  </r>
  <r>
    <x v="676"/>
    <x v="183"/>
    <s v="PROD-ELEC-104"/>
    <n v="2"/>
    <x v="676"/>
    <x v="0"/>
    <x v="0"/>
    <x v="2"/>
    <s v="   delivered "/>
    <x v="0"/>
    <s v="Smartwatch Model A104"/>
    <x v="0"/>
    <n v="80.59"/>
    <x v="336"/>
  </r>
  <r>
    <x v="677"/>
    <x v="198"/>
    <s v="PROD-APPA-042"/>
    <n v="1"/>
    <x v="677"/>
    <x v="1"/>
    <x v="4"/>
    <x v="0"/>
    <s v="   delivered "/>
    <x v="0"/>
    <s v="Jeans Model Q42"/>
    <x v="1"/>
    <n v="82.57"/>
    <x v="95"/>
  </r>
  <r>
    <x v="678"/>
    <x v="184"/>
    <s v="PROD-LUXU-084"/>
    <n v="4"/>
    <x v="678"/>
    <x v="1"/>
    <x v="6"/>
    <x v="2"/>
    <s v="REFUNDED "/>
    <x v="4"/>
    <s v="Leather Handbag Model G84"/>
    <x v="4"/>
    <n v="899.17"/>
    <x v="337"/>
  </r>
  <r>
    <x v="679"/>
    <x v="77"/>
    <s v="PROD-LUXU-084"/>
    <n v="1"/>
    <x v="679"/>
    <x v="1"/>
    <x v="4"/>
    <x v="2"/>
    <s v="PENDING_REVIEW"/>
    <x v="2"/>
    <s v="Leather Handbag Model G84"/>
    <x v="4"/>
    <n v="899.17"/>
    <x v="304"/>
  </r>
  <r>
    <x v="680"/>
    <x v="272"/>
    <s v="PROD-DIGI-139"/>
    <n v="1"/>
    <x v="680"/>
    <x v="0"/>
    <x v="0"/>
    <x v="0"/>
    <s v="SHIPPED  "/>
    <x v="1"/>
    <s v="Software License Tier A Model J139"/>
    <x v="2"/>
    <n v="90.05"/>
    <x v="264"/>
  </r>
  <r>
    <x v="681"/>
    <x v="5"/>
    <s v="PROD-DIGI-024"/>
    <n v="1"/>
    <x v="681"/>
    <x v="1"/>
    <x v="3"/>
    <x v="4"/>
    <s v="PENDING_REVIEW"/>
    <x v="2"/>
    <s v="Premium Stream 1M Model Y24"/>
    <x v="2"/>
    <n v="29.9"/>
    <x v="137"/>
  </r>
  <r>
    <x v="682"/>
    <x v="156"/>
    <s v="PROD-DIGI-006"/>
    <n v="1"/>
    <x v="682"/>
    <x v="1"/>
    <x v="1"/>
    <x v="2"/>
    <s v="   delivered "/>
    <x v="0"/>
    <s v="Premium Stream 1M Model G6"/>
    <x v="2"/>
    <n v="47.23"/>
    <x v="28"/>
  </r>
  <r>
    <x v="683"/>
    <x v="26"/>
    <s v="PROD-HOME-054"/>
    <n v="1"/>
    <x v="683"/>
    <x v="0"/>
    <x v="6"/>
    <x v="0"/>
    <s v="   delivered "/>
    <x v="0"/>
    <s v="Mug Model C54"/>
    <x v="3"/>
    <n v="85.78"/>
    <x v="172"/>
  </r>
  <r>
    <x v="684"/>
    <x v="104"/>
    <s v="PROD-ELEC-021"/>
    <n v="1"/>
    <x v="684"/>
    <x v="0"/>
    <x v="6"/>
    <x v="2"/>
    <s v=" cancelled"/>
    <x v="3"/>
    <s v="Keyboard Model V21"/>
    <x v="0"/>
    <n v="208.12"/>
    <x v="338"/>
  </r>
  <r>
    <x v="685"/>
    <x v="181"/>
    <s v="PROD-ELEC-056"/>
    <n v="3"/>
    <x v="685"/>
    <x v="0"/>
    <x v="1"/>
    <x v="1"/>
    <s v="   delivered "/>
    <x v="0"/>
    <s v="Charger Model E56"/>
    <x v="0"/>
    <n v="186.13"/>
    <x v="339"/>
  </r>
  <r>
    <x v="686"/>
    <x v="135"/>
    <s v="PROD-ELEC-088"/>
    <n v="2"/>
    <x v="686"/>
    <x v="1"/>
    <x v="1"/>
    <x v="1"/>
    <s v="   delivered "/>
    <x v="0"/>
    <s v="Mouse Model K88"/>
    <x v="0"/>
    <n v="93.39"/>
    <x v="199"/>
  </r>
  <r>
    <x v="687"/>
    <x v="45"/>
    <s v="PROD-ELEC-035"/>
    <n v="1"/>
    <x v="687"/>
    <x v="0"/>
    <x v="2"/>
    <x v="0"/>
    <s v="   delivered "/>
    <x v="0"/>
    <s v="Smartwatch Model J35"/>
    <x v="0"/>
    <n v="161.94999999999999"/>
    <x v="54"/>
  </r>
  <r>
    <x v="688"/>
    <x v="76"/>
    <s v="PROD-APPA-122"/>
    <n v="1"/>
    <x v="688"/>
    <x v="2"/>
    <x v="3"/>
    <x v="4"/>
    <s v="REFUNDED "/>
    <x v="4"/>
    <s v="T-Shirt Model S122"/>
    <x v="1"/>
    <n v="15.08"/>
    <x v="155"/>
  </r>
  <r>
    <x v="689"/>
    <x v="217"/>
    <s v="PROD-APPA-014"/>
    <n v="1"/>
    <x v="689"/>
    <x v="1"/>
    <x v="2"/>
    <x v="2"/>
    <s v="   delivered "/>
    <x v="0"/>
    <s v="Cap Model O14"/>
    <x v="1"/>
    <n v="41.83"/>
    <x v="144"/>
  </r>
  <r>
    <x v="690"/>
    <x v="246"/>
    <s v="PROD-ELEC-060"/>
    <n v="2"/>
    <x v="690"/>
    <x v="0"/>
    <x v="2"/>
    <x v="0"/>
    <s v="   delivered "/>
    <x v="0"/>
    <s v="Mouse Model I60"/>
    <x v="0"/>
    <n v="168.25"/>
    <x v="340"/>
  </r>
  <r>
    <x v="691"/>
    <x v="7"/>
    <s v="PROD-HOME-138"/>
    <n v="1"/>
    <x v="691"/>
    <x v="1"/>
    <x v="2"/>
    <x v="0"/>
    <s v="   delivered "/>
    <x v="0"/>
    <s v="Desk Lamp Model I138"/>
    <x v="3"/>
    <n v="94.55"/>
    <x v="188"/>
  </r>
  <r>
    <x v="692"/>
    <x v="27"/>
    <s v="PROD-APPA-111"/>
    <n v="4"/>
    <x v="692"/>
    <x v="1"/>
    <x v="5"/>
    <x v="4"/>
    <s v="REFUNDED "/>
    <x v="4"/>
    <s v="Hoodie Model H111"/>
    <x v="1"/>
    <n v="57.44"/>
    <x v="142"/>
  </r>
  <r>
    <x v="693"/>
    <x v="6"/>
    <s v="PROD-DIGI-109"/>
    <n v="1"/>
    <x v="693"/>
    <x v="1"/>
    <x v="4"/>
    <x v="2"/>
    <s v="   delivered "/>
    <x v="0"/>
    <s v="VPN 6-Month Pass Model F109"/>
    <x v="2"/>
    <n v="22.87"/>
    <x v="20"/>
  </r>
  <r>
    <x v="694"/>
    <x v="81"/>
    <s v="PROD-APPA-119"/>
    <n v="1"/>
    <x v="694"/>
    <x v="0"/>
    <x v="0"/>
    <x v="0"/>
    <s v="   delivered "/>
    <x v="0"/>
    <s v="Sneakers Model P119"/>
    <x v="1"/>
    <n v="19.329999999999998"/>
    <x v="87"/>
  </r>
  <r>
    <x v="695"/>
    <x v="23"/>
    <s v="PROD-LUXU-026"/>
    <n v="1"/>
    <x v="695"/>
    <x v="3"/>
    <x v="2"/>
    <x v="3"/>
    <s v="REFUNDED "/>
    <x v="4"/>
    <s v="Gold Bracelet Model A26"/>
    <x v="4"/>
    <n v="1096.3900000000001"/>
    <x v="43"/>
  </r>
  <r>
    <x v="696"/>
    <x v="18"/>
    <s v="PROD-LUXU-124"/>
    <n v="1"/>
    <x v="696"/>
    <x v="2"/>
    <x v="6"/>
    <x v="3"/>
    <s v=" disputed  "/>
    <x v="5"/>
    <s v="Leather Handbag Model U124"/>
    <x v="4"/>
    <n v="1880.36"/>
    <x v="341"/>
  </r>
  <r>
    <x v="697"/>
    <x v="65"/>
    <s v="PROD-ELEC-104"/>
    <n v="1"/>
    <x v="697"/>
    <x v="1"/>
    <x v="2"/>
    <x v="0"/>
    <s v="   delivered "/>
    <x v="0"/>
    <s v="Smartwatch Model A104"/>
    <x v="0"/>
    <n v="80.59"/>
    <x v="90"/>
  </r>
  <r>
    <x v="698"/>
    <x v="127"/>
    <s v="PROD-ELEC-087"/>
    <n v="2"/>
    <x v="698"/>
    <x v="0"/>
    <x v="1"/>
    <x v="0"/>
    <s v="   delivered "/>
    <x v="0"/>
    <s v="Mouse Model J87"/>
    <x v="0"/>
    <n v="164.06"/>
    <x v="342"/>
  </r>
  <r>
    <x v="699"/>
    <x v="143"/>
    <s v="PROD-APPA-137"/>
    <n v="2"/>
    <x v="699"/>
    <x v="0"/>
    <x v="4"/>
    <x v="0"/>
    <s v="SHIPPED  "/>
    <x v="1"/>
    <s v="Sneakers Model H137"/>
    <x v="1"/>
    <n v="33.53"/>
    <x v="174"/>
  </r>
  <r>
    <x v="700"/>
    <x v="43"/>
    <s v="PROD-DIGI-090"/>
    <n v="1"/>
    <x v="700"/>
    <x v="1"/>
    <x v="6"/>
    <x v="1"/>
    <s v="   delivered "/>
    <x v="0"/>
    <s v="VPN 6-Month Pass Model M90"/>
    <x v="2"/>
    <n v="5.91"/>
    <x v="126"/>
  </r>
  <r>
    <x v="701"/>
    <x v="250"/>
    <s v="PROD-DIGI-046"/>
    <n v="4"/>
    <x v="701"/>
    <x v="2"/>
    <x v="3"/>
    <x v="2"/>
    <s v=" disputed  "/>
    <x v="5"/>
    <s v="VPN 6-Month Pass Model U46"/>
    <x v="2"/>
    <n v="47.44"/>
    <x v="335"/>
  </r>
  <r>
    <x v="702"/>
    <x v="141"/>
    <s v="PROD-DIGI-110"/>
    <n v="1"/>
    <x v="702"/>
    <x v="1"/>
    <x v="0"/>
    <x v="0"/>
    <s v="REFUNDED "/>
    <x v="4"/>
    <s v="Cloud Storage Basic Model G110"/>
    <x v="2"/>
    <n v="53.87"/>
    <x v="303"/>
  </r>
  <r>
    <x v="703"/>
    <x v="29"/>
    <s v="PROD-ELEC-087"/>
    <n v="1"/>
    <x v="703"/>
    <x v="1"/>
    <x v="0"/>
    <x v="0"/>
    <s v="   delivered "/>
    <x v="0"/>
    <s v="Mouse Model J87"/>
    <x v="0"/>
    <n v="164.06"/>
    <x v="25"/>
  </r>
  <r>
    <x v="704"/>
    <x v="160"/>
    <s v="PROD-ELEC-012"/>
    <n v="1"/>
    <x v="704"/>
    <x v="1"/>
    <x v="6"/>
    <x v="0"/>
    <s v="   delivered "/>
    <x v="0"/>
    <s v="Cable Model M12"/>
    <x v="0"/>
    <n v="83.9"/>
    <x v="170"/>
  </r>
  <r>
    <x v="705"/>
    <x v="71"/>
    <s v="PROD-HOME-009"/>
    <n v="4"/>
    <x v="705"/>
    <x v="0"/>
    <x v="5"/>
    <x v="2"/>
    <s v=" cancelled"/>
    <x v="3"/>
    <s v="Coffee Maker Model J9"/>
    <x v="3"/>
    <n v="34.840000000000003"/>
    <x v="237"/>
  </r>
  <r>
    <x v="706"/>
    <x v="176"/>
    <s v="PROD-LUXU-116"/>
    <n v="1"/>
    <x v="706"/>
    <x v="3"/>
    <x v="1"/>
    <x v="2"/>
    <s v="REFUNDED "/>
    <x v="4"/>
    <s v="Designer Watch Model M116"/>
    <x v="4"/>
    <n v="968.52"/>
    <x v="282"/>
  </r>
  <r>
    <x v="707"/>
    <x v="168"/>
    <s v="PROD-DIGI-053"/>
    <n v="1"/>
    <x v="707"/>
    <x v="1"/>
    <x v="2"/>
    <x v="0"/>
    <s v="   delivered "/>
    <x v="0"/>
    <s v="Premium Stream 1M Model B53"/>
    <x v="2"/>
    <n v="13.87"/>
    <x v="3"/>
  </r>
  <r>
    <x v="708"/>
    <x v="241"/>
    <s v="PROD-LUXU-123"/>
    <n v="4"/>
    <x v="708"/>
    <x v="1"/>
    <x v="5"/>
    <x v="2"/>
    <s v="PENDING_REVIEW"/>
    <x v="2"/>
    <s v="Designer Watch Model T123"/>
    <x v="4"/>
    <n v="1301.92"/>
    <x v="261"/>
  </r>
  <r>
    <x v="709"/>
    <x v="218"/>
    <s v="PROD-DIGI-063"/>
    <n v="1"/>
    <x v="709"/>
    <x v="1"/>
    <x v="0"/>
    <x v="1"/>
    <s v="   delivered "/>
    <x v="0"/>
    <s v="Cloud Storage Basic Model L63"/>
    <x v="2"/>
    <n v="20.48"/>
    <x v="60"/>
  </r>
  <r>
    <x v="710"/>
    <x v="6"/>
    <s v="PROD-DIGI-131"/>
    <n v="1"/>
    <x v="710"/>
    <x v="1"/>
    <x v="4"/>
    <x v="2"/>
    <s v="   delivered "/>
    <x v="0"/>
    <s v="VPN 6-Month Pass Model B131"/>
    <x v="2"/>
    <n v="46.92"/>
    <x v="4"/>
  </r>
  <r>
    <x v="711"/>
    <x v="273"/>
    <s v="PROD-DIGI-131"/>
    <n v="1"/>
    <x v="711"/>
    <x v="1"/>
    <x v="1"/>
    <x v="2"/>
    <s v="   delivered "/>
    <x v="0"/>
    <s v="VPN 6-Month Pass Model B131"/>
    <x v="2"/>
    <n v="46.92"/>
    <x v="4"/>
  </r>
  <r>
    <x v="712"/>
    <x v="176"/>
    <s v="PROD-ELEC-035"/>
    <n v="1"/>
    <x v="712"/>
    <x v="2"/>
    <x v="3"/>
    <x v="3"/>
    <s v="PENDING_REVIEW"/>
    <x v="2"/>
    <s v="Smartwatch Model J35"/>
    <x v="0"/>
    <n v="161.94999999999999"/>
    <x v="54"/>
  </r>
  <r>
    <x v="713"/>
    <x v="216"/>
    <s v="PROD-ELEC-098"/>
    <n v="2"/>
    <x v="713"/>
    <x v="1"/>
    <x v="0"/>
    <x v="2"/>
    <s v="   delivered "/>
    <x v="0"/>
    <s v="Keyboard Model U98"/>
    <x v="0"/>
    <n v="188.09"/>
    <x v="343"/>
  </r>
  <r>
    <x v="714"/>
    <x v="39"/>
    <s v="PROD-APPA-091"/>
    <n v="1"/>
    <x v="714"/>
    <x v="0"/>
    <x v="2"/>
    <x v="0"/>
    <s v="   delivered "/>
    <x v="0"/>
    <s v="Jacket Model N91"/>
    <x v="1"/>
    <n v="13.96"/>
    <x v="7"/>
  </r>
  <r>
    <x v="715"/>
    <x v="133"/>
    <s v="PROD-APPA-002"/>
    <n v="1"/>
    <x v="715"/>
    <x v="1"/>
    <x v="0"/>
    <x v="0"/>
    <s v="   delivered "/>
    <x v="0"/>
    <s v="Sneakers Model C2"/>
    <x v="1"/>
    <n v="21.27"/>
    <x v="197"/>
  </r>
  <r>
    <x v="716"/>
    <x v="8"/>
    <s v="PROD-LUXU-117"/>
    <n v="4"/>
    <x v="716"/>
    <x v="2"/>
    <x v="4"/>
    <x v="3"/>
    <s v=" disputed  "/>
    <x v="5"/>
    <s v="Silk Scarf Model N117"/>
    <x v="4"/>
    <n v="1740.35"/>
    <x v="69"/>
  </r>
  <r>
    <x v="717"/>
    <x v="161"/>
    <s v="PROD-APPA-058"/>
    <n v="1"/>
    <x v="717"/>
    <x v="1"/>
    <x v="2"/>
    <x v="0"/>
    <s v="   delivered "/>
    <x v="0"/>
    <s v="Socks Model G58"/>
    <x v="1"/>
    <n v="30.18"/>
    <x v="55"/>
  </r>
  <r>
    <x v="718"/>
    <x v="10"/>
    <s v="PROD-DIGI-046"/>
    <n v="1"/>
    <x v="718"/>
    <x v="1"/>
    <x v="1"/>
    <x v="0"/>
    <s v="   delivered "/>
    <x v="0"/>
    <s v="VPN 6-Month Pass Model U46"/>
    <x v="2"/>
    <n v="47.44"/>
    <x v="101"/>
  </r>
  <r>
    <x v="719"/>
    <x v="171"/>
    <s v="PROD-ELEC-007"/>
    <n v="1"/>
    <x v="719"/>
    <x v="0"/>
    <x v="6"/>
    <x v="2"/>
    <s v="   delivered "/>
    <x v="0"/>
    <s v="Smartwatch Model H7"/>
    <x v="0"/>
    <n v="204.37"/>
    <x v="24"/>
  </r>
  <r>
    <x v="720"/>
    <x v="99"/>
    <s v="PROD-HOME-081"/>
    <n v="1"/>
    <x v="720"/>
    <x v="1"/>
    <x v="4"/>
    <x v="1"/>
    <s v="   delivered "/>
    <x v="0"/>
    <s v="Desk Lamp Model D81"/>
    <x v="3"/>
    <n v="177.42"/>
    <x v="309"/>
  </r>
  <r>
    <x v="721"/>
    <x v="112"/>
    <s v="PROD-LUXU-023"/>
    <n v="1"/>
    <x v="721"/>
    <x v="0"/>
    <x v="2"/>
    <x v="2"/>
    <s v=" cancelled"/>
    <x v="3"/>
    <s v="Premium Perfume Model X23"/>
    <x v="4"/>
    <n v="767.78"/>
    <x v="61"/>
  </r>
  <r>
    <x v="722"/>
    <x v="31"/>
    <s v="PROD-DIGI-076"/>
    <n v="1"/>
    <x v="722"/>
    <x v="2"/>
    <x v="3"/>
    <x v="2"/>
    <s v="PENDING_REVIEW"/>
    <x v="2"/>
    <s v="E-Book Access Model Y76"/>
    <x v="2"/>
    <n v="92.33"/>
    <x v="8"/>
  </r>
  <r>
    <x v="723"/>
    <x v="255"/>
    <s v="PROD-HOME-034"/>
    <n v="1"/>
    <x v="723"/>
    <x v="3"/>
    <x v="3"/>
    <x v="4"/>
    <s v=" cancelled"/>
    <x v="3"/>
    <s v="Desk Lamp Model I34"/>
    <x v="3"/>
    <n v="141.91"/>
    <x v="120"/>
  </r>
  <r>
    <x v="724"/>
    <x v="105"/>
    <s v="PROD-HOME-008"/>
    <n v="3"/>
    <x v="724"/>
    <x v="1"/>
    <x v="2"/>
    <x v="0"/>
    <s v="   delivered "/>
    <x v="0"/>
    <s v="Toaster Model I8"/>
    <x v="3"/>
    <n v="44.88"/>
    <x v="344"/>
  </r>
  <r>
    <x v="725"/>
    <x v="46"/>
    <s v="PROD-DIGI-110"/>
    <n v="1"/>
    <x v="725"/>
    <x v="3"/>
    <x v="3"/>
    <x v="3"/>
    <s v=" cancelled"/>
    <x v="3"/>
    <s v="Cloud Storage Basic Model G110"/>
    <x v="2"/>
    <n v="53.87"/>
    <x v="303"/>
  </r>
  <r>
    <x v="726"/>
    <x v="150"/>
    <s v="PROD-ELEC-059"/>
    <n v="2"/>
    <x v="726"/>
    <x v="1"/>
    <x v="6"/>
    <x v="2"/>
    <s v="   delivered "/>
    <x v="0"/>
    <s v="Charger Model H59"/>
    <x v="0"/>
    <n v="204.89"/>
    <x v="266"/>
  </r>
  <r>
    <x v="727"/>
    <x v="44"/>
    <s v="PROD-ELEC-067"/>
    <n v="1"/>
    <x v="727"/>
    <x v="1"/>
    <x v="4"/>
    <x v="0"/>
    <s v="   delivered "/>
    <x v="0"/>
    <s v="Cable Model P67"/>
    <x v="0"/>
    <n v="187.9"/>
    <x v="106"/>
  </r>
  <r>
    <x v="728"/>
    <x v="26"/>
    <s v="PROD-DIGI-090"/>
    <n v="5"/>
    <x v="728"/>
    <x v="1"/>
    <x v="3"/>
    <x v="4"/>
    <s v=" cancelled"/>
    <x v="3"/>
    <s v="VPN 6-Month Pass Model M90"/>
    <x v="2"/>
    <n v="5.91"/>
    <x v="34"/>
  </r>
  <r>
    <x v="729"/>
    <x v="73"/>
    <s v="PROD-DIGI-076"/>
    <n v="1"/>
    <x v="729"/>
    <x v="1"/>
    <x v="2"/>
    <x v="0"/>
    <s v="SHIPPED  "/>
    <x v="1"/>
    <s v="E-Book Access Model Y76"/>
    <x v="2"/>
    <n v="92.33"/>
    <x v="8"/>
  </r>
  <r>
    <x v="730"/>
    <x v="274"/>
    <s v="PROD-HOME-034"/>
    <n v="4"/>
    <x v="730"/>
    <x v="1"/>
    <x v="5"/>
    <x v="4"/>
    <s v="REFUNDED "/>
    <x v="4"/>
    <s v="Desk Lamp Model I34"/>
    <x v="3"/>
    <n v="141.91"/>
    <x v="345"/>
  </r>
  <r>
    <x v="731"/>
    <x v="85"/>
    <s v="PROD-APPA-044"/>
    <n v="1"/>
    <x v="731"/>
    <x v="1"/>
    <x v="5"/>
    <x v="4"/>
    <s v="PENDING_REVIEW"/>
    <x v="2"/>
    <s v="Jacket Model S44"/>
    <x v="1"/>
    <n v="93.08"/>
    <x v="235"/>
  </r>
  <r>
    <x v="732"/>
    <x v="5"/>
    <s v="PROD-ELEC-060"/>
    <n v="1"/>
    <x v="732"/>
    <x v="1"/>
    <x v="1"/>
    <x v="2"/>
    <s v=" disputed  "/>
    <x v="5"/>
    <s v="Mouse Model I60"/>
    <x v="0"/>
    <n v="168.25"/>
    <x v="139"/>
  </r>
  <r>
    <x v="733"/>
    <x v="217"/>
    <s v="PROD-LUXU-020"/>
    <n v="4"/>
    <x v="733"/>
    <x v="0"/>
    <x v="4"/>
    <x v="3"/>
    <s v=" disputed  "/>
    <x v="5"/>
    <s v="Leather Handbag Model U20"/>
    <x v="4"/>
    <n v="1806.15"/>
    <x v="67"/>
  </r>
  <r>
    <x v="734"/>
    <x v="150"/>
    <s v="PROD-HOME-013"/>
    <n v="1"/>
    <x v="734"/>
    <x v="0"/>
    <x v="4"/>
    <x v="0"/>
    <s v="   delivered "/>
    <x v="0"/>
    <s v="Desk Lamp Model N13"/>
    <x v="3"/>
    <n v="50.77"/>
    <x v="40"/>
  </r>
  <r>
    <x v="735"/>
    <x v="236"/>
    <s v="PROD-LUXU-086"/>
    <n v="1"/>
    <x v="735"/>
    <x v="2"/>
    <x v="1"/>
    <x v="2"/>
    <s v="PENDING_REVIEW"/>
    <x v="2"/>
    <s v="Gold Bracelet Model I86"/>
    <x v="4"/>
    <n v="852.47"/>
    <x v="29"/>
  </r>
  <r>
    <x v="736"/>
    <x v="1"/>
    <s v="PROD-HOME-008"/>
    <n v="4"/>
    <x v="736"/>
    <x v="0"/>
    <x v="5"/>
    <x v="4"/>
    <s v=" disputed  "/>
    <x v="5"/>
    <s v="Toaster Model I8"/>
    <x v="3"/>
    <n v="44.88"/>
    <x v="346"/>
  </r>
  <r>
    <x v="737"/>
    <x v="168"/>
    <s v="PROD-ELEC-060"/>
    <n v="1"/>
    <x v="737"/>
    <x v="0"/>
    <x v="4"/>
    <x v="1"/>
    <s v="   delivered "/>
    <x v="0"/>
    <s v="Mouse Model I60"/>
    <x v="0"/>
    <n v="168.25"/>
    <x v="139"/>
  </r>
  <r>
    <x v="738"/>
    <x v="144"/>
    <s v="PROD-HOME-013"/>
    <n v="1"/>
    <x v="738"/>
    <x v="4"/>
    <x v="6"/>
    <x v="2"/>
    <s v="   delivered "/>
    <x v="0"/>
    <s v="Desk Lamp Model N13"/>
    <x v="3"/>
    <n v="50.77"/>
    <x v="40"/>
  </r>
  <r>
    <x v="739"/>
    <x v="101"/>
    <s v="PROD-DIGI-076"/>
    <n v="1"/>
    <x v="739"/>
    <x v="1"/>
    <x v="0"/>
    <x v="0"/>
    <s v="   delivered "/>
    <x v="0"/>
    <s v="E-Book Access Model Y76"/>
    <x v="2"/>
    <n v="92.33"/>
    <x v="8"/>
  </r>
  <r>
    <x v="740"/>
    <x v="197"/>
    <s v="PROD-LUXU-117"/>
    <n v="4"/>
    <x v="740"/>
    <x v="1"/>
    <x v="4"/>
    <x v="2"/>
    <s v="PENDING_REVIEW"/>
    <x v="2"/>
    <s v="Silk Scarf Model N117"/>
    <x v="4"/>
    <n v="1740.35"/>
    <x v="69"/>
  </r>
  <r>
    <x v="741"/>
    <x v="144"/>
    <s v="PROD-LUXU-020"/>
    <n v="1"/>
    <x v="741"/>
    <x v="0"/>
    <x v="6"/>
    <x v="4"/>
    <s v=" disputed  "/>
    <x v="5"/>
    <s v="Leather Handbag Model U20"/>
    <x v="4"/>
    <n v="1806.15"/>
    <x v="347"/>
  </r>
  <r>
    <x v="742"/>
    <x v="201"/>
    <s v="PROD-ELEC-021"/>
    <n v="1"/>
    <x v="742"/>
    <x v="1"/>
    <x v="0"/>
    <x v="1"/>
    <s v="   delivered "/>
    <x v="0"/>
    <s v="Keyboard Model V21"/>
    <x v="0"/>
    <n v="208.12"/>
    <x v="338"/>
  </r>
  <r>
    <x v="743"/>
    <x v="168"/>
    <s v="PROD-LUXU-084"/>
    <n v="5"/>
    <x v="743"/>
    <x v="2"/>
    <x v="1"/>
    <x v="2"/>
    <s v="REFUNDED "/>
    <x v="4"/>
    <s v="Leather Handbag Model G84"/>
    <x v="4"/>
    <n v="899.17"/>
    <x v="99"/>
  </r>
  <r>
    <x v="744"/>
    <x v="112"/>
    <s v="PROD-HOME-074"/>
    <n v="4"/>
    <x v="744"/>
    <x v="3"/>
    <x v="5"/>
    <x v="2"/>
    <s v="PENDING_REVIEW"/>
    <x v="2"/>
    <s v="Blender Model W74"/>
    <x v="3"/>
    <n v="127.16"/>
    <x v="348"/>
  </r>
  <r>
    <x v="745"/>
    <x v="261"/>
    <s v="PROD-ELEC-098"/>
    <n v="1"/>
    <x v="745"/>
    <x v="1"/>
    <x v="2"/>
    <x v="0"/>
    <s v="   delivered "/>
    <x v="0"/>
    <s v="Keyboard Model U98"/>
    <x v="0"/>
    <n v="188.09"/>
    <x v="70"/>
  </r>
  <r>
    <x v="746"/>
    <x v="18"/>
    <s v="PROD-DIGI-030"/>
    <n v="1"/>
    <x v="746"/>
    <x v="1"/>
    <x v="1"/>
    <x v="2"/>
    <s v="SHIPPED  "/>
    <x v="1"/>
    <s v="VPN 6-Month Pass Model E30"/>
    <x v="2"/>
    <n v="28.63"/>
    <x v="291"/>
  </r>
  <r>
    <x v="747"/>
    <x v="100"/>
    <s v="PROD-HOME-093"/>
    <n v="1"/>
    <x v="747"/>
    <x v="1"/>
    <x v="0"/>
    <x v="1"/>
    <s v="SHIPPED  "/>
    <x v="1"/>
    <s v="Organizer Model P93"/>
    <x v="3"/>
    <n v="175.55"/>
    <x v="123"/>
  </r>
  <r>
    <x v="748"/>
    <x v="225"/>
    <s v="PROD-APPA-111"/>
    <n v="1"/>
    <x v="748"/>
    <x v="4"/>
    <x v="4"/>
    <x v="0"/>
    <s v="REFUNDED "/>
    <x v="4"/>
    <s v="Hoodie Model H111"/>
    <x v="1"/>
    <n v="57.44"/>
    <x v="177"/>
  </r>
  <r>
    <x v="749"/>
    <x v="260"/>
    <s v="PROD-APPA-037"/>
    <n v="1"/>
    <x v="749"/>
    <x v="1"/>
    <x v="2"/>
    <x v="0"/>
    <s v="   delivered "/>
    <x v="0"/>
    <s v="Jacket Model L37"/>
    <x v="1"/>
    <n v="114.88"/>
    <x v="285"/>
  </r>
  <r>
    <x v="750"/>
    <x v="128"/>
    <s v="PROD-DIGI-011"/>
    <n v="2"/>
    <x v="750"/>
    <x v="1"/>
    <x v="2"/>
    <x v="2"/>
    <s v="PENDING_REVIEW"/>
    <x v="2"/>
    <s v="VPN 6-Month Pass Model L11"/>
    <x v="2"/>
    <n v="16.73"/>
    <x v="143"/>
  </r>
  <r>
    <x v="751"/>
    <x v="75"/>
    <s v="PROD-LUXU-117"/>
    <n v="1"/>
    <x v="751"/>
    <x v="0"/>
    <x v="2"/>
    <x v="2"/>
    <s v="REFUNDED "/>
    <x v="4"/>
    <s v="Silk Scarf Model N117"/>
    <x v="4"/>
    <n v="1740.35"/>
    <x v="349"/>
  </r>
  <r>
    <x v="752"/>
    <x v="215"/>
    <s v="PROD-ELEC-049"/>
    <n v="3"/>
    <x v="752"/>
    <x v="1"/>
    <x v="2"/>
    <x v="2"/>
    <s v="   delivered "/>
    <x v="0"/>
    <s v="Keyboard Model X49"/>
    <x v="0"/>
    <n v="30.84"/>
    <x v="350"/>
  </r>
  <r>
    <x v="753"/>
    <x v="163"/>
    <s v="PROD-DIGI-139"/>
    <n v="1"/>
    <x v="753"/>
    <x v="1"/>
    <x v="4"/>
    <x v="0"/>
    <s v="   delivered "/>
    <x v="0"/>
    <s v="Software License Tier A Model J139"/>
    <x v="2"/>
    <n v="90.05"/>
    <x v="264"/>
  </r>
  <r>
    <x v="754"/>
    <x v="124"/>
    <s v="PROD-APPA-014"/>
    <n v="5"/>
    <x v="754"/>
    <x v="2"/>
    <x v="3"/>
    <x v="4"/>
    <s v=" disputed  "/>
    <x v="5"/>
    <s v="Cap Model O14"/>
    <x v="1"/>
    <n v="41.83"/>
    <x v="115"/>
  </r>
  <r>
    <x v="755"/>
    <x v="238"/>
    <s v="PROD-APPA-101"/>
    <n v="1"/>
    <x v="755"/>
    <x v="1"/>
    <x v="6"/>
    <x v="2"/>
    <s v="   delivered "/>
    <x v="0"/>
    <s v="Jeans Model X101"/>
    <x v="1"/>
    <n v="99.82"/>
    <x v="228"/>
  </r>
  <r>
    <x v="756"/>
    <x v="235"/>
    <s v="PROD-DIGI-064"/>
    <n v="1"/>
    <x v="756"/>
    <x v="0"/>
    <x v="4"/>
    <x v="0"/>
    <s v="   delivered "/>
    <x v="0"/>
    <s v="E-Book Access Model M64"/>
    <x v="2"/>
    <n v="92.09"/>
    <x v="351"/>
  </r>
  <r>
    <x v="757"/>
    <x v="222"/>
    <s v="PROD-DIGI-053"/>
    <n v="2"/>
    <x v="757"/>
    <x v="0"/>
    <x v="1"/>
    <x v="2"/>
    <s v="   delivered "/>
    <x v="0"/>
    <s v="Premium Stream 1M Model B53"/>
    <x v="2"/>
    <n v="13.87"/>
    <x v="352"/>
  </r>
  <r>
    <x v="758"/>
    <x v="273"/>
    <s v="PROD-ELEC-049"/>
    <n v="1"/>
    <x v="758"/>
    <x v="1"/>
    <x v="4"/>
    <x v="0"/>
    <s v="   delivered "/>
    <x v="0"/>
    <s v="Keyboard Model X49"/>
    <x v="0"/>
    <n v="30.84"/>
    <x v="288"/>
  </r>
  <r>
    <x v="759"/>
    <x v="195"/>
    <s v="PROD-DIGI-090"/>
    <n v="1"/>
    <x v="759"/>
    <x v="1"/>
    <x v="2"/>
    <x v="1"/>
    <s v="   delivered "/>
    <x v="0"/>
    <s v="VPN 6-Month Pass Model M90"/>
    <x v="2"/>
    <n v="5.91"/>
    <x v="126"/>
  </r>
  <r>
    <x v="760"/>
    <x v="37"/>
    <s v="PROD-ELEC-004"/>
    <n v="2"/>
    <x v="760"/>
    <x v="1"/>
    <x v="2"/>
    <x v="0"/>
    <s v="   delivered "/>
    <x v="0"/>
    <s v="Keyboard Model E4"/>
    <x v="0"/>
    <n v="69.680000000000007"/>
    <x v="237"/>
  </r>
  <r>
    <x v="761"/>
    <x v="76"/>
    <s v="PROD-DIGI-046"/>
    <n v="1"/>
    <x v="761"/>
    <x v="1"/>
    <x v="5"/>
    <x v="3"/>
    <s v=" cancelled"/>
    <x v="3"/>
    <s v="VPN 6-Month Pass Model U46"/>
    <x v="2"/>
    <n v="47.44"/>
    <x v="101"/>
  </r>
  <r>
    <x v="762"/>
    <x v="239"/>
    <s v="PROD-APPA-149"/>
    <n v="1"/>
    <x v="762"/>
    <x v="1"/>
    <x v="5"/>
    <x v="3"/>
    <s v="REFUNDED "/>
    <x v="4"/>
    <s v="Socks Model T149"/>
    <x v="1"/>
    <n v="45.95"/>
    <x v="42"/>
  </r>
  <r>
    <x v="763"/>
    <x v="230"/>
    <s v="PROD-HOME-093"/>
    <n v="1"/>
    <x v="763"/>
    <x v="0"/>
    <x v="5"/>
    <x v="4"/>
    <s v="PENDING_REVIEW"/>
    <x v="2"/>
    <s v="Organizer Model P93"/>
    <x v="3"/>
    <n v="175.55"/>
    <x v="123"/>
  </r>
  <r>
    <x v="764"/>
    <x v="275"/>
    <s v="PROD-APPA-149"/>
    <n v="1"/>
    <x v="764"/>
    <x v="0"/>
    <x v="1"/>
    <x v="0"/>
    <s v="SHIPPED  "/>
    <x v="1"/>
    <s v="Socks Model T149"/>
    <x v="1"/>
    <n v="45.95"/>
    <x v="42"/>
  </r>
  <r>
    <x v="765"/>
    <x v="244"/>
    <s v="PROD-ELEC-067"/>
    <n v="1"/>
    <x v="765"/>
    <x v="1"/>
    <x v="4"/>
    <x v="1"/>
    <s v="   delivered "/>
    <x v="0"/>
    <s v="Cable Model P67"/>
    <x v="0"/>
    <n v="187.9"/>
    <x v="106"/>
  </r>
  <r>
    <x v="766"/>
    <x v="38"/>
    <s v="PROD-DIGI-022"/>
    <n v="1"/>
    <x v="766"/>
    <x v="0"/>
    <x v="0"/>
    <x v="0"/>
    <s v="   delivered "/>
    <x v="0"/>
    <s v="E-Book Access Model W22"/>
    <x v="2"/>
    <n v="11.22"/>
    <x v="213"/>
  </r>
  <r>
    <x v="767"/>
    <x v="273"/>
    <s v="PROD-ELEC-007"/>
    <n v="2"/>
    <x v="767"/>
    <x v="1"/>
    <x v="1"/>
    <x v="0"/>
    <s v="   delivered "/>
    <x v="0"/>
    <s v="Smartwatch Model H7"/>
    <x v="0"/>
    <n v="204.37"/>
    <x v="353"/>
  </r>
  <r>
    <x v="768"/>
    <x v="228"/>
    <s v="PROD-LUXU-123"/>
    <n v="5"/>
    <x v="768"/>
    <x v="3"/>
    <x v="6"/>
    <x v="4"/>
    <s v=" disputed  "/>
    <x v="5"/>
    <s v="Designer Watch Model T123"/>
    <x v="4"/>
    <n v="1301.92"/>
    <x v="222"/>
  </r>
  <r>
    <x v="769"/>
    <x v="225"/>
    <s v="PROD-DIGI-030"/>
    <n v="5"/>
    <x v="769"/>
    <x v="2"/>
    <x v="3"/>
    <x v="4"/>
    <s v="REFUNDED "/>
    <x v="4"/>
    <s v="VPN 6-Month Pass Model E30"/>
    <x v="2"/>
    <n v="28.63"/>
    <x v="176"/>
  </r>
  <r>
    <x v="770"/>
    <x v="174"/>
    <s v="PROD-ELEC-057"/>
    <n v="1"/>
    <x v="770"/>
    <x v="0"/>
    <x v="0"/>
    <x v="0"/>
    <s v="   delivered "/>
    <x v="0"/>
    <s v="Keyboard Model F57"/>
    <x v="0"/>
    <n v="60.02"/>
    <x v="0"/>
  </r>
  <r>
    <x v="771"/>
    <x v="259"/>
    <s v="PROD-DIGI-114"/>
    <n v="5"/>
    <x v="771"/>
    <x v="1"/>
    <x v="3"/>
    <x v="4"/>
    <s v="PENDING_REVIEW"/>
    <x v="2"/>
    <s v="E-Book Access Model K114"/>
    <x v="2"/>
    <n v="57.11"/>
    <x v="97"/>
  </r>
  <r>
    <x v="772"/>
    <x v="69"/>
    <s v="PROD-ELEC-128"/>
    <n v="2"/>
    <x v="772"/>
    <x v="0"/>
    <x v="2"/>
    <x v="2"/>
    <s v="   delivered "/>
    <x v="0"/>
    <s v="Charger Model Y128"/>
    <x v="0"/>
    <n v="46.33"/>
    <x v="354"/>
  </r>
  <r>
    <x v="773"/>
    <x v="42"/>
    <s v="PROD-HOME-017"/>
    <n v="1"/>
    <x v="773"/>
    <x v="0"/>
    <x v="0"/>
    <x v="0"/>
    <s v="   delivered "/>
    <x v="0"/>
    <s v="Pillow Model R17"/>
    <x v="3"/>
    <n v="169.86"/>
    <x v="56"/>
  </r>
  <r>
    <x v="774"/>
    <x v="172"/>
    <s v="PROD-HOME-009"/>
    <n v="1"/>
    <x v="774"/>
    <x v="0"/>
    <x v="3"/>
    <x v="3"/>
    <s v="REFUNDED "/>
    <x v="4"/>
    <s v="Coffee Maker Model J9"/>
    <x v="3"/>
    <n v="34.840000000000003"/>
    <x v="30"/>
  </r>
  <r>
    <x v="775"/>
    <x v="169"/>
    <s v="PROD-LUXU-143"/>
    <n v="4"/>
    <x v="775"/>
    <x v="3"/>
    <x v="6"/>
    <x v="3"/>
    <s v=" cancelled"/>
    <x v="3"/>
    <s v="Leather Handbag Model N143"/>
    <x v="4"/>
    <n v="1374.1"/>
    <x v="153"/>
  </r>
  <r>
    <x v="776"/>
    <x v="276"/>
    <s v="PROD-ELEC-140"/>
    <n v="1"/>
    <x v="776"/>
    <x v="4"/>
    <x v="6"/>
    <x v="0"/>
    <s v="SHIPPED  "/>
    <x v="1"/>
    <s v="Smartwatch Model K140"/>
    <x v="0"/>
    <n v="221.95"/>
    <x v="171"/>
  </r>
  <r>
    <x v="777"/>
    <x v="77"/>
    <s v="PROD-DIGI-131"/>
    <n v="1"/>
    <x v="777"/>
    <x v="0"/>
    <x v="6"/>
    <x v="0"/>
    <s v="SHIPPED  "/>
    <x v="1"/>
    <s v="VPN 6-Month Pass Model B131"/>
    <x v="2"/>
    <n v="46.92"/>
    <x v="4"/>
  </r>
  <r>
    <x v="778"/>
    <x v="157"/>
    <s v="PROD-LUXU-124"/>
    <n v="5"/>
    <x v="778"/>
    <x v="3"/>
    <x v="0"/>
    <x v="2"/>
    <s v=" disputed  "/>
    <x v="5"/>
    <s v="Leather Handbag Model U124"/>
    <x v="4"/>
    <n v="1880.36"/>
    <x v="128"/>
  </r>
  <r>
    <x v="779"/>
    <x v="32"/>
    <s v="PROD-LUXU-003"/>
    <n v="5"/>
    <x v="779"/>
    <x v="3"/>
    <x v="2"/>
    <x v="3"/>
    <s v=" disputed  "/>
    <x v="5"/>
    <s v="Designer Watch Model D3"/>
    <x v="4"/>
    <n v="1599.08"/>
    <x v="355"/>
  </r>
  <r>
    <x v="780"/>
    <x v="40"/>
    <s v="PROD-DIGI-105"/>
    <n v="2"/>
    <x v="780"/>
    <x v="0"/>
    <x v="0"/>
    <x v="2"/>
    <s v="   delivered "/>
    <x v="0"/>
    <s v="VPN 6-Month Pass Model B105"/>
    <x v="2"/>
    <n v="36.130000000000003"/>
    <x v="107"/>
  </r>
  <r>
    <x v="781"/>
    <x v="60"/>
    <s v="PROD-HOME-017"/>
    <n v="5"/>
    <x v="781"/>
    <x v="2"/>
    <x v="3"/>
    <x v="2"/>
    <s v="REFUNDED "/>
    <x v="4"/>
    <s v="Pillow Model R17"/>
    <x v="3"/>
    <n v="169.86"/>
    <x v="356"/>
  </r>
  <r>
    <x v="782"/>
    <x v="3"/>
    <s v="PROD-HOME-068"/>
    <n v="1"/>
    <x v="782"/>
    <x v="0"/>
    <x v="6"/>
    <x v="1"/>
    <s v="   delivered "/>
    <x v="0"/>
    <s v="Coffee Maker Model Q68"/>
    <x v="3"/>
    <n v="28.02"/>
    <x v="41"/>
  </r>
  <r>
    <x v="783"/>
    <x v="53"/>
    <s v="PROD-ELEC-004"/>
    <n v="1"/>
    <x v="783"/>
    <x v="1"/>
    <x v="4"/>
    <x v="0"/>
    <s v="   delivered "/>
    <x v="0"/>
    <s v="Keyboard Model E4"/>
    <x v="0"/>
    <n v="69.680000000000007"/>
    <x v="23"/>
  </r>
  <r>
    <x v="784"/>
    <x v="277"/>
    <s v="PROD-LUXU-032"/>
    <n v="4"/>
    <x v="784"/>
    <x v="0"/>
    <x v="0"/>
    <x v="3"/>
    <s v="PENDING_REVIEW"/>
    <x v="2"/>
    <s v="Premium Perfume Model G32"/>
    <x v="4"/>
    <n v="1990.92"/>
    <x v="13"/>
  </r>
  <r>
    <x v="785"/>
    <x v="270"/>
    <s v="PROD-HOME-081"/>
    <n v="1"/>
    <x v="785"/>
    <x v="1"/>
    <x v="2"/>
    <x v="2"/>
    <s v="   delivered "/>
    <x v="0"/>
    <s v="Desk Lamp Model D81"/>
    <x v="3"/>
    <n v="177.42"/>
    <x v="309"/>
  </r>
  <r>
    <x v="786"/>
    <x v="30"/>
    <s v="PROD-ELEC-031"/>
    <n v="1"/>
    <x v="786"/>
    <x v="0"/>
    <x v="5"/>
    <x v="3"/>
    <s v=" cancelled"/>
    <x v="3"/>
    <s v="Webcam Model F31"/>
    <x v="0"/>
    <n v="184.37"/>
    <x v="130"/>
  </r>
  <r>
    <x v="787"/>
    <x v="43"/>
    <s v="PROD-APPA-079"/>
    <n v="3"/>
    <x v="787"/>
    <x v="1"/>
    <x v="0"/>
    <x v="0"/>
    <s v="   delivered "/>
    <x v="0"/>
    <s v="Hoodie Model B79"/>
    <x v="1"/>
    <n v="106.9"/>
    <x v="316"/>
  </r>
  <r>
    <x v="788"/>
    <x v="127"/>
    <s v="PROD-HOME-039"/>
    <n v="3"/>
    <x v="788"/>
    <x v="1"/>
    <x v="2"/>
    <x v="1"/>
    <s v="   delivered "/>
    <x v="0"/>
    <s v="Organizer Model N39"/>
    <x v="3"/>
    <n v="149.08000000000001"/>
    <x v="100"/>
  </r>
  <r>
    <x v="789"/>
    <x v="95"/>
    <s v="PROD-DIGI-073"/>
    <n v="1"/>
    <x v="789"/>
    <x v="0"/>
    <x v="4"/>
    <x v="2"/>
    <s v="   delivered "/>
    <x v="0"/>
    <s v="VPN 6-Month Pass Model V73"/>
    <x v="2"/>
    <n v="58.13"/>
    <x v="21"/>
  </r>
  <r>
    <x v="790"/>
    <x v="142"/>
    <s v="PROD-DIGI-110"/>
    <n v="1"/>
    <x v="790"/>
    <x v="1"/>
    <x v="4"/>
    <x v="0"/>
    <s v="   delivered "/>
    <x v="0"/>
    <s v="Cloud Storage Basic Model G110"/>
    <x v="2"/>
    <n v="53.87"/>
    <x v="303"/>
  </r>
  <r>
    <x v="791"/>
    <x v="275"/>
    <s v="PROD-DIGI-022"/>
    <n v="1"/>
    <x v="791"/>
    <x v="0"/>
    <x v="4"/>
    <x v="2"/>
    <s v="SHIPPED  "/>
    <x v="1"/>
    <s v="E-Book Access Model W22"/>
    <x v="2"/>
    <n v="11.22"/>
    <x v="213"/>
  </r>
  <r>
    <x v="792"/>
    <x v="18"/>
    <s v="PROD-DIGI-105"/>
    <n v="1"/>
    <x v="792"/>
    <x v="1"/>
    <x v="4"/>
    <x v="1"/>
    <s v="   delivered "/>
    <x v="0"/>
    <s v="VPN 6-Month Pass Model B105"/>
    <x v="2"/>
    <n v="36.130000000000003"/>
    <x v="79"/>
  </r>
  <r>
    <x v="793"/>
    <x v="95"/>
    <s v="PROD-LUXU-003"/>
    <n v="4"/>
    <x v="793"/>
    <x v="0"/>
    <x v="0"/>
    <x v="4"/>
    <s v=" disputed  "/>
    <x v="5"/>
    <s v="Designer Watch Model D3"/>
    <x v="4"/>
    <n v="1599.08"/>
    <x v="224"/>
  </r>
  <r>
    <x v="794"/>
    <x v="13"/>
    <s v="PROD-ELEC-088"/>
    <n v="5"/>
    <x v="794"/>
    <x v="1"/>
    <x v="5"/>
    <x v="3"/>
    <s v=" cancelled"/>
    <x v="3"/>
    <s v="Mouse Model K88"/>
    <x v="0"/>
    <n v="93.39"/>
    <x v="357"/>
  </r>
  <r>
    <x v="795"/>
    <x v="73"/>
    <s v="PROD-ELEC-100"/>
    <n v="1"/>
    <x v="795"/>
    <x v="1"/>
    <x v="0"/>
    <x v="0"/>
    <s v="SHIPPED  "/>
    <x v="1"/>
    <s v="Charger Model W100"/>
    <x v="0"/>
    <n v="219.96"/>
    <x v="239"/>
  </r>
  <r>
    <x v="796"/>
    <x v="226"/>
    <s v="PROD-ELEC-007"/>
    <n v="1"/>
    <x v="796"/>
    <x v="1"/>
    <x v="6"/>
    <x v="0"/>
    <s v="   delivered "/>
    <x v="0"/>
    <s v="Smartwatch Model H7"/>
    <x v="0"/>
    <n v="204.37"/>
    <x v="24"/>
  </r>
  <r>
    <x v="797"/>
    <x v="53"/>
    <s v="PROD-LUXU-026"/>
    <n v="5"/>
    <x v="797"/>
    <x v="3"/>
    <x v="0"/>
    <x v="2"/>
    <s v="REFUNDED "/>
    <x v="4"/>
    <s v="Gold Bracelet Model A26"/>
    <x v="4"/>
    <n v="1096.3900000000001"/>
    <x v="134"/>
  </r>
  <r>
    <x v="798"/>
    <x v="52"/>
    <s v="PROD-APPA-043"/>
    <n v="4"/>
    <x v="798"/>
    <x v="2"/>
    <x v="3"/>
    <x v="4"/>
    <s v=" disputed  "/>
    <x v="5"/>
    <s v="Hoodie Model R43"/>
    <x v="1"/>
    <n v="68.040000000000006"/>
    <x v="358"/>
  </r>
  <r>
    <x v="799"/>
    <x v="186"/>
    <s v="PROD-APPA-119"/>
    <n v="1"/>
    <x v="799"/>
    <x v="0"/>
    <x v="4"/>
    <x v="0"/>
    <s v="   delivered "/>
    <x v="0"/>
    <s v="Sneakers Model P119"/>
    <x v="1"/>
    <n v="19.329999999999998"/>
    <x v="87"/>
  </r>
  <r>
    <x v="800"/>
    <x v="60"/>
    <s v="PROD-HOME-093"/>
    <n v="3"/>
    <x v="800"/>
    <x v="0"/>
    <x v="6"/>
    <x v="2"/>
    <s v="   delivered "/>
    <x v="0"/>
    <s v="Organizer Model P93"/>
    <x v="3"/>
    <n v="175.55"/>
    <x v="359"/>
  </r>
  <r>
    <x v="801"/>
    <x v="50"/>
    <s v="PROD-HOME-008"/>
    <n v="1"/>
    <x v="801"/>
    <x v="3"/>
    <x v="3"/>
    <x v="2"/>
    <s v=" cancelled"/>
    <x v="3"/>
    <s v="Toaster Model I8"/>
    <x v="3"/>
    <n v="44.88"/>
    <x v="271"/>
  </r>
  <r>
    <x v="802"/>
    <x v="35"/>
    <s v="PROD-DIGI-099"/>
    <n v="1"/>
    <x v="802"/>
    <x v="0"/>
    <x v="6"/>
    <x v="1"/>
    <s v="   delivered "/>
    <x v="0"/>
    <s v="Premium Stream 1M Model V99"/>
    <x v="2"/>
    <n v="30.08"/>
    <x v="89"/>
  </r>
  <r>
    <x v="803"/>
    <x v="60"/>
    <s v="PROD-APPA-002"/>
    <n v="1"/>
    <x v="803"/>
    <x v="1"/>
    <x v="2"/>
    <x v="1"/>
    <s v="   delivered "/>
    <x v="0"/>
    <s v="Sneakers Model C2"/>
    <x v="1"/>
    <n v="21.27"/>
    <x v="197"/>
  </r>
  <r>
    <x v="804"/>
    <x v="133"/>
    <s v="PROD-ELEC-059"/>
    <n v="1"/>
    <x v="804"/>
    <x v="1"/>
    <x v="2"/>
    <x v="0"/>
    <s v="   delivered "/>
    <x v="0"/>
    <s v="Charger Model H59"/>
    <x v="0"/>
    <n v="204.89"/>
    <x v="310"/>
  </r>
  <r>
    <x v="805"/>
    <x v="113"/>
    <s v="PROD-DIGI-041"/>
    <n v="1"/>
    <x v="805"/>
    <x v="2"/>
    <x v="5"/>
    <x v="2"/>
    <s v=" disputed  "/>
    <x v="5"/>
    <s v="Cloud Storage Basic Model P41"/>
    <x v="2"/>
    <n v="96.93"/>
    <x v="211"/>
  </r>
  <r>
    <x v="806"/>
    <x v="227"/>
    <s v="PROD-ELEC-128"/>
    <n v="1"/>
    <x v="806"/>
    <x v="1"/>
    <x v="6"/>
    <x v="1"/>
    <s v="   delivered "/>
    <x v="0"/>
    <s v="Charger Model Y128"/>
    <x v="0"/>
    <n v="46.33"/>
    <x v="217"/>
  </r>
  <r>
    <x v="807"/>
    <x v="235"/>
    <s v="PROD-ELEC-100"/>
    <n v="1"/>
    <x v="807"/>
    <x v="2"/>
    <x v="5"/>
    <x v="3"/>
    <s v=" cancelled"/>
    <x v="3"/>
    <s v="Charger Model W100"/>
    <x v="0"/>
    <n v="219.96"/>
    <x v="239"/>
  </r>
  <r>
    <x v="808"/>
    <x v="241"/>
    <s v="PROD-DIGI-130"/>
    <n v="2"/>
    <x v="808"/>
    <x v="1"/>
    <x v="2"/>
    <x v="1"/>
    <s v="   delivered "/>
    <x v="0"/>
    <s v="VPN 6-Month Pass Model A130"/>
    <x v="2"/>
    <n v="81.61"/>
    <x v="360"/>
  </r>
  <r>
    <x v="809"/>
    <x v="218"/>
    <s v="PROD-LUXU-003"/>
    <n v="5"/>
    <x v="809"/>
    <x v="0"/>
    <x v="3"/>
    <x v="3"/>
    <s v=" disputed  "/>
    <x v="5"/>
    <s v="Designer Watch Model D3"/>
    <x v="4"/>
    <n v="1599.08"/>
    <x v="355"/>
  </r>
  <r>
    <x v="810"/>
    <x v="94"/>
    <s v="PROD-DIGI-131"/>
    <n v="1"/>
    <x v="810"/>
    <x v="1"/>
    <x v="6"/>
    <x v="2"/>
    <s v="   delivered "/>
    <x v="0"/>
    <s v="VPN 6-Month Pass Model B131"/>
    <x v="2"/>
    <n v="46.92"/>
    <x v="4"/>
  </r>
  <r>
    <x v="811"/>
    <x v="179"/>
    <s v="PROD-ELEC-098"/>
    <n v="1"/>
    <x v="811"/>
    <x v="1"/>
    <x v="2"/>
    <x v="2"/>
    <s v="   delivered "/>
    <x v="0"/>
    <s v="Keyboard Model U98"/>
    <x v="0"/>
    <n v="188.09"/>
    <x v="70"/>
  </r>
  <r>
    <x v="812"/>
    <x v="278"/>
    <s v="PROD-ELEC-035"/>
    <n v="1"/>
    <x v="812"/>
    <x v="1"/>
    <x v="6"/>
    <x v="2"/>
    <s v="SHIPPED  "/>
    <x v="1"/>
    <s v="Smartwatch Model J35"/>
    <x v="0"/>
    <n v="161.94999999999999"/>
    <x v="54"/>
  </r>
  <r>
    <x v="813"/>
    <x v="277"/>
    <s v="PROD-APPA-058"/>
    <n v="1"/>
    <x v="813"/>
    <x v="1"/>
    <x v="6"/>
    <x v="2"/>
    <s v="   delivered "/>
    <x v="0"/>
    <s v="Socks Model G58"/>
    <x v="1"/>
    <n v="30.18"/>
    <x v="55"/>
  </r>
  <r>
    <x v="814"/>
    <x v="279"/>
    <s v="PROD-LUXU-147"/>
    <n v="4"/>
    <x v="814"/>
    <x v="3"/>
    <x v="6"/>
    <x v="3"/>
    <s v=" cancelled"/>
    <x v="3"/>
    <s v="Designer Watch Model R147"/>
    <x v="4"/>
    <n v="484.68"/>
    <x v="361"/>
  </r>
  <r>
    <x v="815"/>
    <x v="18"/>
    <s v="PROD-APPA-015"/>
    <n v="2"/>
    <x v="815"/>
    <x v="1"/>
    <x v="4"/>
    <x v="0"/>
    <s v="   delivered "/>
    <x v="0"/>
    <s v="Cap Model P15"/>
    <x v="1"/>
    <n v="21.11"/>
    <x v="323"/>
  </r>
  <r>
    <x v="816"/>
    <x v="99"/>
    <s v="PROD-LUXU-048"/>
    <n v="1"/>
    <x v="816"/>
    <x v="1"/>
    <x v="1"/>
    <x v="3"/>
    <s v=" disputed  "/>
    <x v="5"/>
    <s v="Leather Handbag Model W48"/>
    <x v="4"/>
    <n v="315.82"/>
    <x v="329"/>
  </r>
  <r>
    <x v="817"/>
    <x v="279"/>
    <s v="PROD-DIGI-131"/>
    <n v="2"/>
    <x v="817"/>
    <x v="0"/>
    <x v="4"/>
    <x v="0"/>
    <s v="   delivered "/>
    <x v="0"/>
    <s v="VPN 6-Month Pass Model B131"/>
    <x v="2"/>
    <n v="46.92"/>
    <x v="178"/>
  </r>
  <r>
    <x v="818"/>
    <x v="116"/>
    <s v="PROD-HOME-080"/>
    <n v="1"/>
    <x v="818"/>
    <x v="0"/>
    <x v="4"/>
    <x v="2"/>
    <s v="   delivered "/>
    <x v="0"/>
    <s v="Toaster Model C80"/>
    <x v="3"/>
    <n v="45.24"/>
    <x v="73"/>
  </r>
  <r>
    <x v="819"/>
    <x v="178"/>
    <s v="PROD-ELEC-028"/>
    <n v="4"/>
    <x v="819"/>
    <x v="3"/>
    <x v="3"/>
    <x v="3"/>
    <s v=" cancelled"/>
    <x v="3"/>
    <s v="Keyboard Model C28"/>
    <x v="0"/>
    <n v="162.44999999999999"/>
    <x v="272"/>
  </r>
  <r>
    <x v="820"/>
    <x v="6"/>
    <s v="PROD-DIGI-076"/>
    <n v="1"/>
    <x v="820"/>
    <x v="1"/>
    <x v="2"/>
    <x v="1"/>
    <s v="   delivered "/>
    <x v="0"/>
    <s v="E-Book Access Model Y76"/>
    <x v="2"/>
    <n v="92.33"/>
    <x v="8"/>
  </r>
  <r>
    <x v="821"/>
    <x v="258"/>
    <s v="PROD-LUXU-069"/>
    <n v="1"/>
    <x v="821"/>
    <x v="1"/>
    <x v="6"/>
    <x v="4"/>
    <s v="PENDING_REVIEW"/>
    <x v="2"/>
    <s v="Leather Handbag Model R69"/>
    <x v="4"/>
    <n v="425.14"/>
    <x v="52"/>
  </r>
  <r>
    <x v="822"/>
    <x v="219"/>
    <s v="PROD-DIGI-139"/>
    <n v="1"/>
    <x v="822"/>
    <x v="1"/>
    <x v="6"/>
    <x v="1"/>
    <s v=" cancelled"/>
    <x v="3"/>
    <s v="Software License Tier A Model J139"/>
    <x v="2"/>
    <n v="90.05"/>
    <x v="264"/>
  </r>
  <r>
    <x v="823"/>
    <x v="36"/>
    <s v="PROD-ELEC-004"/>
    <n v="1"/>
    <x v="823"/>
    <x v="0"/>
    <x v="2"/>
    <x v="2"/>
    <s v=" disputed  "/>
    <x v="5"/>
    <s v="Keyboard Model E4"/>
    <x v="0"/>
    <n v="69.680000000000007"/>
    <x v="23"/>
  </r>
  <r>
    <x v="824"/>
    <x v="204"/>
    <s v="PROD-ELEC-038"/>
    <n v="2"/>
    <x v="824"/>
    <x v="1"/>
    <x v="6"/>
    <x v="0"/>
    <s v="   delivered "/>
    <x v="0"/>
    <s v="Cable Model M38"/>
    <x v="0"/>
    <n v="91.18"/>
    <x v="283"/>
  </r>
  <r>
    <x v="825"/>
    <x v="22"/>
    <s v="PROD-HOME-080"/>
    <n v="1"/>
    <x v="825"/>
    <x v="0"/>
    <x v="0"/>
    <x v="2"/>
    <s v="   delivered "/>
    <x v="0"/>
    <s v="Toaster Model C80"/>
    <x v="3"/>
    <n v="45.24"/>
    <x v="73"/>
  </r>
  <r>
    <x v="826"/>
    <x v="33"/>
    <s v="PROD-DIGI-051"/>
    <n v="1"/>
    <x v="826"/>
    <x v="0"/>
    <x v="3"/>
    <x v="4"/>
    <s v=" disputed  "/>
    <x v="5"/>
    <s v="Premium Stream 1M Model Z51"/>
    <x v="2"/>
    <n v="55.69"/>
    <x v="110"/>
  </r>
  <r>
    <x v="827"/>
    <x v="151"/>
    <s v="PROD-ELEC-060"/>
    <n v="1"/>
    <x v="827"/>
    <x v="1"/>
    <x v="0"/>
    <x v="2"/>
    <s v="SHIPPED  "/>
    <x v="1"/>
    <s v="Mouse Model I60"/>
    <x v="0"/>
    <n v="168.25"/>
    <x v="139"/>
  </r>
  <r>
    <x v="828"/>
    <x v="14"/>
    <s v="PROD-DIGI-024"/>
    <n v="1"/>
    <x v="828"/>
    <x v="3"/>
    <x v="3"/>
    <x v="3"/>
    <s v="PENDING_REVIEW"/>
    <x v="2"/>
    <s v="Premium Stream 1M Model Y24"/>
    <x v="2"/>
    <n v="29.9"/>
    <x v="137"/>
  </r>
  <r>
    <x v="829"/>
    <x v="34"/>
    <s v="PROD-DIGI-053"/>
    <n v="2"/>
    <x v="829"/>
    <x v="0"/>
    <x v="1"/>
    <x v="0"/>
    <s v="SHIPPED  "/>
    <x v="1"/>
    <s v="Premium Stream 1M Model B53"/>
    <x v="2"/>
    <n v="13.87"/>
    <x v="352"/>
  </r>
  <r>
    <x v="830"/>
    <x v="55"/>
    <s v="PROD-DIGI-053"/>
    <n v="1"/>
    <x v="830"/>
    <x v="0"/>
    <x v="4"/>
    <x v="0"/>
    <s v="   delivered "/>
    <x v="0"/>
    <s v="Premium Stream 1M Model B53"/>
    <x v="2"/>
    <n v="13.87"/>
    <x v="3"/>
  </r>
  <r>
    <x v="831"/>
    <x v="170"/>
    <s v="PROD-HOME-094"/>
    <n v="2"/>
    <x v="831"/>
    <x v="0"/>
    <x v="4"/>
    <x v="0"/>
    <s v="   delivered "/>
    <x v="0"/>
    <s v="Blender Model Q94"/>
    <x v="3"/>
    <n v="129.13"/>
    <x v="362"/>
  </r>
  <r>
    <x v="832"/>
    <x v="67"/>
    <s v="PROD-LUXU-036"/>
    <n v="1"/>
    <x v="832"/>
    <x v="3"/>
    <x v="3"/>
    <x v="2"/>
    <s v="PENDING_REVIEW"/>
    <x v="2"/>
    <s v="Silk Scarf Model K36"/>
    <x v="4"/>
    <n v="737.6"/>
    <x v="307"/>
  </r>
  <r>
    <x v="833"/>
    <x v="19"/>
    <s v="PROD-LUXU-147"/>
    <n v="5"/>
    <x v="833"/>
    <x v="1"/>
    <x v="6"/>
    <x v="2"/>
    <s v=" disputed  "/>
    <x v="5"/>
    <s v="Designer Watch Model R147"/>
    <x v="4"/>
    <n v="484.68"/>
    <x v="194"/>
  </r>
  <r>
    <x v="834"/>
    <x v="28"/>
    <s v="PROD-DIGI-076"/>
    <n v="1"/>
    <x v="834"/>
    <x v="0"/>
    <x v="6"/>
    <x v="2"/>
    <s v="   delivered "/>
    <x v="0"/>
    <s v="E-Book Access Model Y76"/>
    <x v="2"/>
    <n v="92.33"/>
    <x v="8"/>
  </r>
  <r>
    <x v="835"/>
    <x v="90"/>
    <s v="PROD-APPA-122"/>
    <n v="1"/>
    <x v="835"/>
    <x v="1"/>
    <x v="4"/>
    <x v="0"/>
    <s v="SHIPPED  "/>
    <x v="1"/>
    <s v="T-Shirt Model S122"/>
    <x v="1"/>
    <n v="15.08"/>
    <x v="155"/>
  </r>
  <r>
    <x v="836"/>
    <x v="39"/>
    <s v="PROD-HOME-094"/>
    <n v="5"/>
    <x v="836"/>
    <x v="3"/>
    <x v="5"/>
    <x v="3"/>
    <s v=" disputed  "/>
    <x v="5"/>
    <s v="Blender Model Q94"/>
    <x v="3"/>
    <n v="129.13"/>
    <x v="363"/>
  </r>
  <r>
    <x v="837"/>
    <x v="62"/>
    <s v="PROD-DIGI-132"/>
    <n v="2"/>
    <x v="837"/>
    <x v="1"/>
    <x v="2"/>
    <x v="2"/>
    <s v="   delivered "/>
    <x v="0"/>
    <s v="Software License Tier A Model C132"/>
    <x v="2"/>
    <n v="29.36"/>
    <x v="364"/>
  </r>
  <r>
    <x v="838"/>
    <x v="109"/>
    <s v="PROD-APPA-134"/>
    <n v="1"/>
    <x v="838"/>
    <x v="1"/>
    <x v="4"/>
    <x v="0"/>
    <s v="   delivered "/>
    <x v="0"/>
    <s v="Hoodie Model E134"/>
    <x v="1"/>
    <n v="58.39"/>
    <x v="229"/>
  </r>
  <r>
    <x v="839"/>
    <x v="136"/>
    <s v="PROD-LUXU-123"/>
    <n v="4"/>
    <x v="839"/>
    <x v="2"/>
    <x v="6"/>
    <x v="4"/>
    <s v="REFUNDED "/>
    <x v="4"/>
    <s v="Designer Watch Model T123"/>
    <x v="4"/>
    <n v="1301.92"/>
    <x v="261"/>
  </r>
  <r>
    <x v="840"/>
    <x v="130"/>
    <s v="PROD-LUXU-005"/>
    <n v="4"/>
    <x v="840"/>
    <x v="3"/>
    <x v="0"/>
    <x v="4"/>
    <s v="PENDING_REVIEW"/>
    <x v="2"/>
    <s v="Leather Handbag Model F5"/>
    <x v="4"/>
    <n v="1875.24"/>
    <x v="162"/>
  </r>
  <r>
    <x v="841"/>
    <x v="271"/>
    <s v="PROD-LUXU-084"/>
    <n v="1"/>
    <x v="841"/>
    <x v="1"/>
    <x v="5"/>
    <x v="4"/>
    <s v=" disputed  "/>
    <x v="5"/>
    <s v="Leather Handbag Model G84"/>
    <x v="4"/>
    <n v="899.17"/>
    <x v="304"/>
  </r>
  <r>
    <x v="842"/>
    <x v="2"/>
    <s v="PROD-APPA-043"/>
    <n v="1"/>
    <x v="842"/>
    <x v="0"/>
    <x v="6"/>
    <x v="2"/>
    <s v="PENDING_REVIEW"/>
    <x v="2"/>
    <s v="Hoodie Model R43"/>
    <x v="1"/>
    <n v="68.040000000000006"/>
    <x v="82"/>
  </r>
  <r>
    <x v="843"/>
    <x v="144"/>
    <s v="PROD-LUXU-023"/>
    <n v="1"/>
    <x v="843"/>
    <x v="0"/>
    <x v="4"/>
    <x v="4"/>
    <s v=" cancelled"/>
    <x v="3"/>
    <s v="Premium Perfume Model X23"/>
    <x v="4"/>
    <n v="767.78"/>
    <x v="61"/>
  </r>
  <r>
    <x v="844"/>
    <x v="138"/>
    <s v="PROD-APPA-135"/>
    <n v="2"/>
    <x v="844"/>
    <x v="0"/>
    <x v="6"/>
    <x v="2"/>
    <s v="   delivered "/>
    <x v="0"/>
    <s v="Hoodie Model F135"/>
    <x v="1"/>
    <n v="46.94"/>
    <x v="365"/>
  </r>
  <r>
    <x v="845"/>
    <x v="123"/>
    <s v="PROD-DIGI-099"/>
    <n v="1"/>
    <x v="845"/>
    <x v="1"/>
    <x v="0"/>
    <x v="0"/>
    <s v="   delivered "/>
    <x v="0"/>
    <s v="Premium Stream 1M Model V99"/>
    <x v="2"/>
    <n v="30.08"/>
    <x v="89"/>
  </r>
  <r>
    <x v="846"/>
    <x v="222"/>
    <s v="PROD-APPA-014"/>
    <n v="1"/>
    <x v="846"/>
    <x v="0"/>
    <x v="0"/>
    <x v="0"/>
    <s v="   delivered "/>
    <x v="0"/>
    <s v="Cap Model O14"/>
    <x v="1"/>
    <n v="41.83"/>
    <x v="144"/>
  </r>
  <r>
    <x v="847"/>
    <x v="104"/>
    <s v="PROD-APPA-058"/>
    <n v="4"/>
    <x v="847"/>
    <x v="3"/>
    <x v="5"/>
    <x v="3"/>
    <s v=" disputed  "/>
    <x v="5"/>
    <s v="Socks Model G58"/>
    <x v="1"/>
    <n v="30.18"/>
    <x v="366"/>
  </r>
  <r>
    <x v="848"/>
    <x v="45"/>
    <s v="PROD-DIGI-145"/>
    <n v="5"/>
    <x v="848"/>
    <x v="2"/>
    <x v="5"/>
    <x v="2"/>
    <s v=" disputed  "/>
    <x v="5"/>
    <s v="Premium Stream 1M Model P145"/>
    <x v="2"/>
    <n v="84.01"/>
    <x v="367"/>
  </r>
  <r>
    <x v="849"/>
    <x v="134"/>
    <s v="PROD-LUXU-092"/>
    <n v="1"/>
    <x v="849"/>
    <x v="1"/>
    <x v="5"/>
    <x v="4"/>
    <s v=" disputed  "/>
    <x v="5"/>
    <s v="Leather Handbag Model O92"/>
    <x v="4"/>
    <n v="1245.53"/>
    <x v="204"/>
  </r>
  <r>
    <x v="850"/>
    <x v="241"/>
    <s v="PROD-HOME-094"/>
    <n v="1"/>
    <x v="850"/>
    <x v="1"/>
    <x v="0"/>
    <x v="0"/>
    <s v="SHIPPED  "/>
    <x v="1"/>
    <s v="Blender Model Q94"/>
    <x v="3"/>
    <n v="129.13"/>
    <x v="249"/>
  </r>
  <r>
    <x v="851"/>
    <x v="191"/>
    <s v="PROD-ELEC-035"/>
    <n v="3"/>
    <x v="851"/>
    <x v="1"/>
    <x v="6"/>
    <x v="0"/>
    <s v="   delivered "/>
    <x v="0"/>
    <s v="Smartwatch Model J35"/>
    <x v="0"/>
    <n v="161.94999999999999"/>
    <x v="368"/>
  </r>
  <r>
    <x v="852"/>
    <x v="262"/>
    <s v="PROD-APPA-037"/>
    <n v="1"/>
    <x v="852"/>
    <x v="1"/>
    <x v="2"/>
    <x v="1"/>
    <s v="   delivered "/>
    <x v="0"/>
    <s v="Jacket Model L37"/>
    <x v="1"/>
    <n v="114.88"/>
    <x v="285"/>
  </r>
  <r>
    <x v="853"/>
    <x v="253"/>
    <s v="PROD-LUXU-023"/>
    <n v="5"/>
    <x v="853"/>
    <x v="0"/>
    <x v="3"/>
    <x v="2"/>
    <s v="PENDING_REVIEW"/>
    <x v="2"/>
    <s v="Premium Perfume Model X23"/>
    <x v="4"/>
    <n v="767.78"/>
    <x v="215"/>
  </r>
  <r>
    <x v="854"/>
    <x v="280"/>
    <s v="PROD-LUXU-146"/>
    <n v="4"/>
    <x v="854"/>
    <x v="0"/>
    <x v="6"/>
    <x v="2"/>
    <s v="PENDING_REVIEW"/>
    <x v="2"/>
    <s v="Silk Scarf Model Q146"/>
    <x v="4"/>
    <n v="359.33"/>
    <x v="369"/>
  </r>
  <r>
    <x v="855"/>
    <x v="23"/>
    <s v="PROD-APPA-137"/>
    <n v="1"/>
    <x v="855"/>
    <x v="1"/>
    <x v="1"/>
    <x v="0"/>
    <s v="   delivered "/>
    <x v="0"/>
    <s v="Sneakers Model H137"/>
    <x v="1"/>
    <n v="33.53"/>
    <x v="1"/>
  </r>
  <r>
    <x v="856"/>
    <x v="237"/>
    <s v="PROD-HOME-050"/>
    <n v="5"/>
    <x v="856"/>
    <x v="1"/>
    <x v="5"/>
    <x v="3"/>
    <s v=" cancelled"/>
    <x v="3"/>
    <s v="Coffee Maker Model Y50"/>
    <x v="3"/>
    <n v="102.26"/>
    <x v="370"/>
  </r>
  <r>
    <x v="857"/>
    <x v="277"/>
    <s v="PROD-LUXU-082"/>
    <n v="1"/>
    <x v="857"/>
    <x v="1"/>
    <x v="2"/>
    <x v="2"/>
    <s v=" disputed  "/>
    <x v="5"/>
    <s v="Designer Watch Model E82"/>
    <x v="4"/>
    <n v="1769.3"/>
    <x v="371"/>
  </r>
  <r>
    <x v="858"/>
    <x v="171"/>
    <s v="PROD-LUXU-032"/>
    <n v="1"/>
    <x v="858"/>
    <x v="1"/>
    <x v="5"/>
    <x v="4"/>
    <s v="REFUNDED "/>
    <x v="4"/>
    <s v="Premium Perfume Model G32"/>
    <x v="4"/>
    <n v="1990.92"/>
    <x v="372"/>
  </r>
  <r>
    <x v="859"/>
    <x v="45"/>
    <s v="PROD-ELEC-021"/>
    <n v="2"/>
    <x v="859"/>
    <x v="0"/>
    <x v="2"/>
    <x v="1"/>
    <s v="SHIPPED  "/>
    <x v="1"/>
    <s v="Keyboard Model V21"/>
    <x v="0"/>
    <n v="208.12"/>
    <x v="300"/>
  </r>
  <r>
    <x v="860"/>
    <x v="205"/>
    <s v="PROD-LUXU-082"/>
    <n v="1"/>
    <x v="860"/>
    <x v="0"/>
    <x v="6"/>
    <x v="4"/>
    <s v=" cancelled"/>
    <x v="3"/>
    <s v="Designer Watch Model E82"/>
    <x v="4"/>
    <n v="1769.3"/>
    <x v="371"/>
  </r>
  <r>
    <x v="861"/>
    <x v="191"/>
    <s v="PROD-APPA-121"/>
    <n v="2"/>
    <x v="861"/>
    <x v="0"/>
    <x v="2"/>
    <x v="0"/>
    <s v="   delivered "/>
    <x v="0"/>
    <s v="Sneakers Model R121"/>
    <x v="1"/>
    <n v="44.15"/>
    <x v="373"/>
  </r>
  <r>
    <x v="862"/>
    <x v="97"/>
    <s v="PROD-DIGI-130"/>
    <n v="5"/>
    <x v="862"/>
    <x v="1"/>
    <x v="5"/>
    <x v="3"/>
    <s v="REFUNDED "/>
    <x v="4"/>
    <s v="VPN 6-Month Pass Model A130"/>
    <x v="2"/>
    <n v="81.61"/>
    <x v="374"/>
  </r>
  <r>
    <x v="863"/>
    <x v="98"/>
    <s v="PROD-ELEC-047"/>
    <n v="1"/>
    <x v="863"/>
    <x v="4"/>
    <x v="0"/>
    <x v="2"/>
    <s v=" cancelled"/>
    <x v="3"/>
    <s v="Headphones Model V47"/>
    <x v="0"/>
    <n v="19.940000000000001"/>
    <x v="258"/>
  </r>
  <r>
    <x v="864"/>
    <x v="40"/>
    <s v="PROD-HOME-106"/>
    <n v="1"/>
    <x v="864"/>
    <x v="0"/>
    <x v="1"/>
    <x v="2"/>
    <s v=" disputed  "/>
    <x v="5"/>
    <s v="Blender Model C106"/>
    <x v="3"/>
    <n v="112.89"/>
    <x v="206"/>
  </r>
  <r>
    <x v="865"/>
    <x v="66"/>
    <s v="PROD-APPA-079"/>
    <n v="5"/>
    <x v="865"/>
    <x v="1"/>
    <x v="5"/>
    <x v="2"/>
    <s v="REFUNDED "/>
    <x v="4"/>
    <s v="Hoodie Model B79"/>
    <x v="1"/>
    <n v="106.9"/>
    <x v="124"/>
  </r>
  <r>
    <x v="866"/>
    <x v="209"/>
    <s v="PROD-ELEC-021"/>
    <n v="1"/>
    <x v="866"/>
    <x v="1"/>
    <x v="4"/>
    <x v="2"/>
    <s v="   delivered "/>
    <x v="0"/>
    <s v="Keyboard Model V21"/>
    <x v="0"/>
    <n v="208.12"/>
    <x v="338"/>
  </r>
  <r>
    <x v="867"/>
    <x v="193"/>
    <s v="PROD-DIGI-150"/>
    <n v="1"/>
    <x v="867"/>
    <x v="0"/>
    <x v="6"/>
    <x v="2"/>
    <s v="   delivered "/>
    <x v="0"/>
    <s v="E-Book Access Model U150"/>
    <x v="2"/>
    <n v="75.69"/>
    <x v="165"/>
  </r>
  <r>
    <x v="868"/>
    <x v="180"/>
    <s v="PROD-LUXU-147"/>
    <n v="5"/>
    <x v="868"/>
    <x v="1"/>
    <x v="5"/>
    <x v="2"/>
    <s v=" disputed  "/>
    <x v="5"/>
    <s v="Designer Watch Model R147"/>
    <x v="4"/>
    <n v="484.68"/>
    <x v="194"/>
  </r>
  <r>
    <x v="869"/>
    <x v="88"/>
    <s v="PROD-DIGI-022"/>
    <n v="1"/>
    <x v="869"/>
    <x v="1"/>
    <x v="0"/>
    <x v="2"/>
    <s v="   delivered "/>
    <x v="0"/>
    <s v="E-Book Access Model W22"/>
    <x v="2"/>
    <n v="11.22"/>
    <x v="213"/>
  </r>
  <r>
    <x v="870"/>
    <x v="169"/>
    <s v="PROD-ELEC-140"/>
    <n v="1"/>
    <x v="870"/>
    <x v="0"/>
    <x v="0"/>
    <x v="0"/>
    <s v="   delivered "/>
    <x v="0"/>
    <s v="Smartwatch Model K140"/>
    <x v="0"/>
    <n v="221.95"/>
    <x v="171"/>
  </r>
  <r>
    <x v="871"/>
    <x v="136"/>
    <s v="PROD-HOME-138"/>
    <n v="1"/>
    <x v="871"/>
    <x v="1"/>
    <x v="1"/>
    <x v="1"/>
    <s v="   delivered "/>
    <x v="0"/>
    <s v="Desk Lamp Model I138"/>
    <x v="3"/>
    <n v="94.55"/>
    <x v="188"/>
  </r>
  <r>
    <x v="872"/>
    <x v="256"/>
    <s v="PROD-LUXU-048"/>
    <n v="1"/>
    <x v="872"/>
    <x v="0"/>
    <x v="6"/>
    <x v="3"/>
    <s v=" cancelled"/>
    <x v="3"/>
    <s v="Leather Handbag Model W48"/>
    <x v="4"/>
    <n v="315.82"/>
    <x v="329"/>
  </r>
  <r>
    <x v="873"/>
    <x v="66"/>
    <s v="PROD-LUXU-084"/>
    <n v="4"/>
    <x v="873"/>
    <x v="1"/>
    <x v="4"/>
    <x v="2"/>
    <s v=" disputed  "/>
    <x v="5"/>
    <s v="Leather Handbag Model G84"/>
    <x v="4"/>
    <n v="899.17"/>
    <x v="337"/>
  </r>
  <r>
    <x v="874"/>
    <x v="36"/>
    <s v="PROD-LUXU-143"/>
    <n v="1"/>
    <x v="874"/>
    <x v="2"/>
    <x v="0"/>
    <x v="3"/>
    <s v="PENDING_REVIEW"/>
    <x v="2"/>
    <s v="Leather Handbag Model N143"/>
    <x v="4"/>
    <n v="1374.1"/>
    <x v="265"/>
  </r>
  <r>
    <x v="875"/>
    <x v="281"/>
    <s v="PROD-LUXU-018"/>
    <n v="1"/>
    <x v="875"/>
    <x v="3"/>
    <x v="5"/>
    <x v="4"/>
    <s v="PENDING_REVIEW"/>
    <x v="2"/>
    <s v="Leather Handbag Model S18"/>
    <x v="4"/>
    <n v="1475.11"/>
    <x v="65"/>
  </r>
  <r>
    <x v="876"/>
    <x v="85"/>
    <s v="PROD-LUXU-048"/>
    <n v="1"/>
    <x v="876"/>
    <x v="0"/>
    <x v="1"/>
    <x v="4"/>
    <s v=" cancelled"/>
    <x v="3"/>
    <s v="Leather Handbag Model W48"/>
    <x v="4"/>
    <n v="315.82"/>
    <x v="329"/>
  </r>
  <r>
    <x v="877"/>
    <x v="267"/>
    <s v="PROD-DIGI-132"/>
    <n v="1"/>
    <x v="877"/>
    <x v="0"/>
    <x v="2"/>
    <x v="2"/>
    <s v="   delivered "/>
    <x v="0"/>
    <s v="Software License Tier A Model C132"/>
    <x v="2"/>
    <n v="29.36"/>
    <x v="83"/>
  </r>
  <r>
    <x v="878"/>
    <x v="151"/>
    <s v="PROD-DIGI-110"/>
    <n v="1"/>
    <x v="878"/>
    <x v="1"/>
    <x v="4"/>
    <x v="0"/>
    <s v="SHIPPED  "/>
    <x v="1"/>
    <s v="Cloud Storage Basic Model G110"/>
    <x v="2"/>
    <n v="53.87"/>
    <x v="303"/>
  </r>
  <r>
    <x v="879"/>
    <x v="9"/>
    <s v="PROD-DIGI-115"/>
    <n v="4"/>
    <x v="879"/>
    <x v="3"/>
    <x v="3"/>
    <x v="4"/>
    <s v=" disputed  "/>
    <x v="5"/>
    <s v="Premium Stream 1M Model L115"/>
    <x v="2"/>
    <n v="62.86"/>
    <x v="375"/>
  </r>
  <r>
    <x v="880"/>
    <x v="11"/>
    <s v="PROD-HOME-133"/>
    <n v="1"/>
    <x v="880"/>
    <x v="1"/>
    <x v="4"/>
    <x v="0"/>
    <s v="   delivered "/>
    <x v="0"/>
    <s v="Organizer Model D133"/>
    <x v="3"/>
    <n v="144.43"/>
    <x v="327"/>
  </r>
  <r>
    <x v="881"/>
    <x v="164"/>
    <s v="PROD-DIGI-063"/>
    <n v="1"/>
    <x v="881"/>
    <x v="1"/>
    <x v="1"/>
    <x v="2"/>
    <s v="SHIPPED  "/>
    <x v="1"/>
    <s v="Cloud Storage Basic Model L63"/>
    <x v="2"/>
    <n v="20.48"/>
    <x v="60"/>
  </r>
  <r>
    <x v="882"/>
    <x v="164"/>
    <s v="PROD-APPA-062"/>
    <n v="4"/>
    <x v="882"/>
    <x v="3"/>
    <x v="3"/>
    <x v="4"/>
    <s v="REFUNDED "/>
    <x v="4"/>
    <s v="Socks Model K62"/>
    <x v="1"/>
    <n v="63.42"/>
    <x v="376"/>
  </r>
  <r>
    <x v="883"/>
    <x v="113"/>
    <s v="PROD-ELEC-067"/>
    <n v="4"/>
    <x v="883"/>
    <x v="2"/>
    <x v="5"/>
    <x v="3"/>
    <s v=" cancelled"/>
    <x v="3"/>
    <s v="Cable Model P67"/>
    <x v="0"/>
    <n v="187.9"/>
    <x v="377"/>
  </r>
  <r>
    <x v="884"/>
    <x v="56"/>
    <s v="PROD-DIGI-141"/>
    <n v="1"/>
    <x v="884"/>
    <x v="1"/>
    <x v="0"/>
    <x v="1"/>
    <s v=" cancelled"/>
    <x v="3"/>
    <s v="Cloud Storage Basic Model L141"/>
    <x v="2"/>
    <n v="93.62"/>
    <x v="378"/>
  </r>
  <r>
    <x v="885"/>
    <x v="199"/>
    <s v="PROD-APPA-135"/>
    <n v="4"/>
    <x v="885"/>
    <x v="0"/>
    <x v="3"/>
    <x v="2"/>
    <s v="PENDING_REVIEW"/>
    <x v="2"/>
    <s v="Hoodie Model F135"/>
    <x v="1"/>
    <n v="46.94"/>
    <x v="379"/>
  </r>
  <r>
    <x v="886"/>
    <x v="243"/>
    <s v="PROD-ELEC-140"/>
    <n v="1"/>
    <x v="886"/>
    <x v="1"/>
    <x v="0"/>
    <x v="1"/>
    <s v="PENDING_REVIEW"/>
    <x v="2"/>
    <s v="Smartwatch Model K140"/>
    <x v="0"/>
    <n v="221.95"/>
    <x v="171"/>
  </r>
  <r>
    <x v="887"/>
    <x v="248"/>
    <s v="PROD-APPA-042"/>
    <n v="1"/>
    <x v="887"/>
    <x v="0"/>
    <x v="4"/>
    <x v="0"/>
    <s v="   delivered "/>
    <x v="0"/>
    <s v="Jeans Model Q42"/>
    <x v="1"/>
    <n v="82.57"/>
    <x v="95"/>
  </r>
  <r>
    <x v="888"/>
    <x v="114"/>
    <s v="PROD-LUXU-117"/>
    <n v="5"/>
    <x v="888"/>
    <x v="1"/>
    <x v="5"/>
    <x v="3"/>
    <s v="REFUNDED "/>
    <x v="4"/>
    <s v="Silk Scarf Model N117"/>
    <x v="4"/>
    <n v="1740.35"/>
    <x v="380"/>
  </r>
  <r>
    <x v="889"/>
    <x v="254"/>
    <s v="PROD-HOME-017"/>
    <n v="2"/>
    <x v="889"/>
    <x v="1"/>
    <x v="0"/>
    <x v="0"/>
    <s v="   delivered "/>
    <x v="0"/>
    <s v="Pillow Model R17"/>
    <x v="3"/>
    <n v="169.86"/>
    <x v="181"/>
  </r>
  <r>
    <x v="890"/>
    <x v="154"/>
    <s v="PROD-ELEC-028"/>
    <n v="3"/>
    <x v="890"/>
    <x v="1"/>
    <x v="0"/>
    <x v="2"/>
    <s v="PENDING_REVIEW"/>
    <x v="2"/>
    <s v="Keyboard Model C28"/>
    <x v="0"/>
    <n v="162.44999999999999"/>
    <x v="48"/>
  </r>
  <r>
    <x v="891"/>
    <x v="218"/>
    <s v="PROD-DIGI-115"/>
    <n v="1"/>
    <x v="891"/>
    <x v="1"/>
    <x v="4"/>
    <x v="0"/>
    <s v="   delivered "/>
    <x v="0"/>
    <s v="Premium Stream 1M Model L115"/>
    <x v="2"/>
    <n v="62.86"/>
    <x v="78"/>
  </r>
  <r>
    <x v="892"/>
    <x v="5"/>
    <s v="PROD-LUXU-092"/>
    <n v="4"/>
    <x v="892"/>
    <x v="3"/>
    <x v="0"/>
    <x v="4"/>
    <s v="PENDING_REVIEW"/>
    <x v="2"/>
    <s v="Leather Handbag Model O92"/>
    <x v="4"/>
    <n v="1245.53"/>
    <x v="311"/>
  </r>
  <r>
    <x v="893"/>
    <x v="282"/>
    <s v="PROD-DIGI-041"/>
    <n v="1"/>
    <x v="893"/>
    <x v="0"/>
    <x v="6"/>
    <x v="0"/>
    <s v="   delivered "/>
    <x v="0"/>
    <s v="Cloud Storage Basic Model P41"/>
    <x v="2"/>
    <n v="96.93"/>
    <x v="211"/>
  </r>
  <r>
    <x v="894"/>
    <x v="132"/>
    <s v="PROD-LUXU-086"/>
    <n v="1"/>
    <x v="894"/>
    <x v="1"/>
    <x v="1"/>
    <x v="3"/>
    <s v=" cancelled"/>
    <x v="3"/>
    <s v="Gold Bracelet Model I86"/>
    <x v="4"/>
    <n v="852.47"/>
    <x v="29"/>
  </r>
  <r>
    <x v="895"/>
    <x v="183"/>
    <s v="PROD-ELEC-035"/>
    <n v="1"/>
    <x v="895"/>
    <x v="0"/>
    <x v="1"/>
    <x v="2"/>
    <s v="   delivered "/>
    <x v="0"/>
    <s v="Smartwatch Model J35"/>
    <x v="0"/>
    <n v="161.94999999999999"/>
    <x v="54"/>
  </r>
  <r>
    <x v="896"/>
    <x v="269"/>
    <s v="PROD-ELEC-035"/>
    <n v="1"/>
    <x v="896"/>
    <x v="1"/>
    <x v="4"/>
    <x v="2"/>
    <s v="   delivered "/>
    <x v="0"/>
    <s v="Smartwatch Model J35"/>
    <x v="0"/>
    <n v="161.94999999999999"/>
    <x v="54"/>
  </r>
  <r>
    <x v="897"/>
    <x v="141"/>
    <s v="PROD-ELEC-104"/>
    <n v="2"/>
    <x v="897"/>
    <x v="1"/>
    <x v="6"/>
    <x v="2"/>
    <s v="   delivered "/>
    <x v="0"/>
    <s v="Smartwatch Model A104"/>
    <x v="0"/>
    <n v="80.59"/>
    <x v="336"/>
  </r>
  <r>
    <x v="898"/>
    <x v="213"/>
    <s v="PROD-HOME-054"/>
    <n v="2"/>
    <x v="898"/>
    <x v="0"/>
    <x v="0"/>
    <x v="0"/>
    <s v="   delivered "/>
    <x v="0"/>
    <s v="Mug Model C54"/>
    <x v="3"/>
    <n v="85.78"/>
    <x v="381"/>
  </r>
  <r>
    <x v="899"/>
    <x v="128"/>
    <s v="PROD-ELEC-104"/>
    <n v="1"/>
    <x v="899"/>
    <x v="1"/>
    <x v="6"/>
    <x v="0"/>
    <s v="   delivered "/>
    <x v="0"/>
    <s v="Smartwatch Model A104"/>
    <x v="0"/>
    <n v="80.59"/>
    <x v="90"/>
  </r>
  <r>
    <x v="900"/>
    <x v="0"/>
    <s v="PROD-APPA-072"/>
    <n v="5"/>
    <x v="900"/>
    <x v="2"/>
    <x v="5"/>
    <x v="2"/>
    <s v=" disputed  "/>
    <x v="5"/>
    <s v="Jacket Model U72"/>
    <x v="1"/>
    <n v="75.400000000000006"/>
    <x v="190"/>
  </r>
  <r>
    <x v="901"/>
    <x v="137"/>
    <s v="PROD-DIGI-076"/>
    <n v="1"/>
    <x v="901"/>
    <x v="0"/>
    <x v="2"/>
    <x v="2"/>
    <s v="   delivered "/>
    <x v="0"/>
    <s v="E-Book Access Model Y76"/>
    <x v="2"/>
    <n v="92.33"/>
    <x v="8"/>
  </r>
  <r>
    <x v="902"/>
    <x v="179"/>
    <s v="PROD-APPA-091"/>
    <n v="1"/>
    <x v="902"/>
    <x v="1"/>
    <x v="1"/>
    <x v="2"/>
    <s v="   delivered "/>
    <x v="0"/>
    <s v="Jacket Model N91"/>
    <x v="1"/>
    <n v="13.96"/>
    <x v="7"/>
  </r>
  <r>
    <x v="903"/>
    <x v="1"/>
    <s v="PROD-ELEC-107"/>
    <n v="2"/>
    <x v="903"/>
    <x v="1"/>
    <x v="6"/>
    <x v="2"/>
    <s v="   delivered "/>
    <x v="0"/>
    <s v="Mouse Model D107"/>
    <x v="0"/>
    <n v="155.19"/>
    <x v="382"/>
  </r>
  <r>
    <x v="904"/>
    <x v="229"/>
    <s v="PROD-ELEC-057"/>
    <n v="1"/>
    <x v="904"/>
    <x v="3"/>
    <x v="5"/>
    <x v="2"/>
    <s v=" cancelled"/>
    <x v="3"/>
    <s v="Keyboard Model F57"/>
    <x v="0"/>
    <n v="60.02"/>
    <x v="0"/>
  </r>
  <r>
    <x v="905"/>
    <x v="161"/>
    <s v="PROD-ELEC-128"/>
    <n v="2"/>
    <x v="905"/>
    <x v="0"/>
    <x v="4"/>
    <x v="0"/>
    <s v="   delivered "/>
    <x v="0"/>
    <s v="Charger Model Y128"/>
    <x v="0"/>
    <n v="46.33"/>
    <x v="354"/>
  </r>
  <r>
    <x v="906"/>
    <x v="6"/>
    <s v="PROD-HOME-074"/>
    <n v="2"/>
    <x v="906"/>
    <x v="0"/>
    <x v="1"/>
    <x v="2"/>
    <s v="   delivered "/>
    <x v="0"/>
    <s v="Blender Model W74"/>
    <x v="3"/>
    <n v="127.16"/>
    <x v="383"/>
  </r>
  <r>
    <x v="907"/>
    <x v="241"/>
    <s v="PROD-ELEC-021"/>
    <n v="1"/>
    <x v="907"/>
    <x v="1"/>
    <x v="4"/>
    <x v="0"/>
    <s v="   delivered "/>
    <x v="0"/>
    <s v="Keyboard Model V21"/>
    <x v="0"/>
    <n v="208.12"/>
    <x v="338"/>
  </r>
  <r>
    <x v="908"/>
    <x v="283"/>
    <s v="PROD-DIGI-029"/>
    <n v="1"/>
    <x v="908"/>
    <x v="1"/>
    <x v="6"/>
    <x v="0"/>
    <s v="   delivered "/>
    <x v="0"/>
    <s v="VPN 6-Month Pass Model D29"/>
    <x v="2"/>
    <n v="10.97"/>
    <x v="14"/>
  </r>
  <r>
    <x v="909"/>
    <x v="259"/>
    <s v="PROD-LUXU-005"/>
    <n v="4"/>
    <x v="909"/>
    <x v="3"/>
    <x v="2"/>
    <x v="2"/>
    <s v=" cancelled"/>
    <x v="3"/>
    <s v="Leather Handbag Model F5"/>
    <x v="4"/>
    <n v="1875.24"/>
    <x v="162"/>
  </r>
  <r>
    <x v="910"/>
    <x v="85"/>
    <s v="PROD-DIGI-115"/>
    <n v="1"/>
    <x v="910"/>
    <x v="0"/>
    <x v="1"/>
    <x v="1"/>
    <s v="   delivered "/>
    <x v="0"/>
    <s v="Premium Stream 1M Model L115"/>
    <x v="2"/>
    <n v="62.86"/>
    <x v="78"/>
  </r>
  <r>
    <x v="911"/>
    <x v="241"/>
    <s v="PROD-LUXU-003"/>
    <n v="5"/>
    <x v="911"/>
    <x v="1"/>
    <x v="1"/>
    <x v="2"/>
    <s v="REFUNDED "/>
    <x v="4"/>
    <s v="Designer Watch Model D3"/>
    <x v="4"/>
    <n v="1599.08"/>
    <x v="355"/>
  </r>
  <r>
    <x v="912"/>
    <x v="276"/>
    <s v="PROD-DIGI-041"/>
    <n v="5"/>
    <x v="912"/>
    <x v="0"/>
    <x v="5"/>
    <x v="4"/>
    <s v="REFUNDED "/>
    <x v="4"/>
    <s v="Cloud Storage Basic Model P41"/>
    <x v="2"/>
    <n v="96.93"/>
    <x v="384"/>
  </r>
  <r>
    <x v="913"/>
    <x v="31"/>
    <s v="PROD-APPA-062"/>
    <n v="1"/>
    <x v="913"/>
    <x v="1"/>
    <x v="0"/>
    <x v="2"/>
    <s v="   delivered "/>
    <x v="0"/>
    <s v="Socks Model K62"/>
    <x v="1"/>
    <n v="63.42"/>
    <x v="84"/>
  </r>
  <r>
    <x v="914"/>
    <x v="183"/>
    <s v="PROD-HOME-112"/>
    <n v="2"/>
    <x v="914"/>
    <x v="0"/>
    <x v="0"/>
    <x v="1"/>
    <s v="   delivered "/>
    <x v="0"/>
    <s v="Desk Lamp Model I112"/>
    <x v="3"/>
    <n v="70.23"/>
    <x v="385"/>
  </r>
  <r>
    <x v="915"/>
    <x v="284"/>
    <s v="PROD-APPA-149"/>
    <n v="2"/>
    <x v="915"/>
    <x v="1"/>
    <x v="0"/>
    <x v="2"/>
    <s v="   delivered "/>
    <x v="0"/>
    <s v="Socks Model T149"/>
    <x v="1"/>
    <n v="45.95"/>
    <x v="386"/>
  </r>
  <r>
    <x v="916"/>
    <x v="215"/>
    <s v="PROD-DIGI-114"/>
    <n v="1"/>
    <x v="916"/>
    <x v="1"/>
    <x v="4"/>
    <x v="0"/>
    <s v="   delivered "/>
    <x v="0"/>
    <s v="E-Book Access Model K114"/>
    <x v="2"/>
    <n v="57.11"/>
    <x v="298"/>
  </r>
  <r>
    <x v="917"/>
    <x v="92"/>
    <s v="PROD-HOME-010"/>
    <n v="2"/>
    <x v="917"/>
    <x v="1"/>
    <x v="2"/>
    <x v="2"/>
    <s v="   delivered "/>
    <x v="0"/>
    <s v="Desk Lamp Model K10"/>
    <x v="3"/>
    <n v="62.32"/>
    <x v="221"/>
  </r>
  <r>
    <x v="918"/>
    <x v="272"/>
    <s v="PROD-ELEC-140"/>
    <n v="1"/>
    <x v="918"/>
    <x v="0"/>
    <x v="1"/>
    <x v="0"/>
    <s v="SHIPPED  "/>
    <x v="1"/>
    <s v="Smartwatch Model K140"/>
    <x v="0"/>
    <n v="221.95"/>
    <x v="171"/>
  </r>
  <r>
    <x v="919"/>
    <x v="200"/>
    <s v="PROD-DIGI-148"/>
    <n v="1"/>
    <x v="919"/>
    <x v="1"/>
    <x v="2"/>
    <x v="2"/>
    <s v="   delivered "/>
    <x v="0"/>
    <s v="Premium Stream 1M Model S148"/>
    <x v="2"/>
    <n v="9.73"/>
    <x v="286"/>
  </r>
  <r>
    <x v="920"/>
    <x v="52"/>
    <s v="PROD-DIGI-131"/>
    <n v="1"/>
    <x v="920"/>
    <x v="0"/>
    <x v="1"/>
    <x v="0"/>
    <s v=" disputed  "/>
    <x v="5"/>
    <s v="VPN 6-Month Pass Model B131"/>
    <x v="2"/>
    <n v="46.92"/>
    <x v="4"/>
  </r>
  <r>
    <x v="921"/>
    <x v="3"/>
    <s v="PROD-HOME-074"/>
    <n v="1"/>
    <x v="921"/>
    <x v="0"/>
    <x v="5"/>
    <x v="4"/>
    <s v=" cancelled"/>
    <x v="3"/>
    <s v="Blender Model W74"/>
    <x v="3"/>
    <n v="127.16"/>
    <x v="5"/>
  </r>
  <r>
    <x v="922"/>
    <x v="52"/>
    <s v="PROD-ELEC-049"/>
    <n v="1"/>
    <x v="922"/>
    <x v="0"/>
    <x v="4"/>
    <x v="2"/>
    <s v="   delivered "/>
    <x v="0"/>
    <s v="Keyboard Model X49"/>
    <x v="0"/>
    <n v="30.84"/>
    <x v="288"/>
  </r>
  <r>
    <x v="923"/>
    <x v="241"/>
    <s v="PROD-LUXU-069"/>
    <n v="1"/>
    <x v="923"/>
    <x v="1"/>
    <x v="1"/>
    <x v="2"/>
    <s v="REFUNDED "/>
    <x v="4"/>
    <s v="Leather Handbag Model R69"/>
    <x v="4"/>
    <n v="425.14"/>
    <x v="52"/>
  </r>
  <r>
    <x v="924"/>
    <x v="176"/>
    <s v="PROD-ELEC-038"/>
    <n v="4"/>
    <x v="924"/>
    <x v="2"/>
    <x v="5"/>
    <x v="3"/>
    <s v=" cancelled"/>
    <x v="3"/>
    <s v="Cable Model M38"/>
    <x v="0"/>
    <n v="91.18"/>
    <x v="179"/>
  </r>
  <r>
    <x v="925"/>
    <x v="285"/>
    <s v="PROD-ELEC-061"/>
    <n v="4"/>
    <x v="925"/>
    <x v="3"/>
    <x v="3"/>
    <x v="3"/>
    <s v=" cancelled"/>
    <x v="3"/>
    <s v="Mouse Model J61"/>
    <x v="0"/>
    <n v="232.7"/>
    <x v="387"/>
  </r>
  <r>
    <x v="926"/>
    <x v="46"/>
    <s v="PROD-ELEC-007"/>
    <n v="1"/>
    <x v="926"/>
    <x v="1"/>
    <x v="0"/>
    <x v="0"/>
    <s v="SHIPPED  "/>
    <x v="1"/>
    <s v="Smartwatch Model H7"/>
    <x v="0"/>
    <n v="204.37"/>
    <x v="24"/>
  </r>
  <r>
    <x v="927"/>
    <x v="197"/>
    <s v="PROD-APPA-111"/>
    <n v="1"/>
    <x v="927"/>
    <x v="0"/>
    <x v="2"/>
    <x v="1"/>
    <s v="   delivered "/>
    <x v="0"/>
    <s v="Hoodie Model H111"/>
    <x v="1"/>
    <n v="57.44"/>
    <x v="177"/>
  </r>
  <r>
    <x v="928"/>
    <x v="108"/>
    <s v="PROD-APPA-058"/>
    <n v="1"/>
    <x v="928"/>
    <x v="3"/>
    <x v="3"/>
    <x v="2"/>
    <s v="PENDING_REVIEW"/>
    <x v="2"/>
    <s v="Socks Model G58"/>
    <x v="1"/>
    <n v="30.18"/>
    <x v="55"/>
  </r>
  <r>
    <x v="929"/>
    <x v="143"/>
    <s v="PROD-ELEC-047"/>
    <n v="1"/>
    <x v="929"/>
    <x v="1"/>
    <x v="2"/>
    <x v="1"/>
    <s v="   delivered "/>
    <x v="0"/>
    <s v="Headphones Model V47"/>
    <x v="0"/>
    <n v="19.940000000000001"/>
    <x v="258"/>
  </r>
  <r>
    <x v="930"/>
    <x v="239"/>
    <s v="PROD-LUXU-092"/>
    <n v="4"/>
    <x v="930"/>
    <x v="2"/>
    <x v="4"/>
    <x v="2"/>
    <s v=" cancelled"/>
    <x v="3"/>
    <s v="Leather Handbag Model O92"/>
    <x v="4"/>
    <n v="1245.53"/>
    <x v="311"/>
  </r>
  <r>
    <x v="931"/>
    <x v="217"/>
    <s v="PROD-HOME-112"/>
    <n v="1"/>
    <x v="931"/>
    <x v="3"/>
    <x v="3"/>
    <x v="2"/>
    <s v="REFUNDED "/>
    <x v="4"/>
    <s v="Desk Lamp Model I112"/>
    <x v="3"/>
    <n v="70.23"/>
    <x v="77"/>
  </r>
  <r>
    <x v="932"/>
    <x v="277"/>
    <s v="PROD-DIGI-090"/>
    <n v="4"/>
    <x v="932"/>
    <x v="1"/>
    <x v="3"/>
    <x v="3"/>
    <s v=" disputed  "/>
    <x v="5"/>
    <s v="VPN 6-Month Pass Model M90"/>
    <x v="2"/>
    <n v="5.91"/>
    <x v="388"/>
  </r>
  <r>
    <x v="933"/>
    <x v="117"/>
    <s v="PROD-APPA-079"/>
    <n v="3"/>
    <x v="933"/>
    <x v="0"/>
    <x v="6"/>
    <x v="2"/>
    <s v="   delivered "/>
    <x v="0"/>
    <s v="Hoodie Model B79"/>
    <x v="1"/>
    <n v="106.9"/>
    <x v="316"/>
  </r>
  <r>
    <x v="934"/>
    <x v="115"/>
    <s v="PROD-DIGI-132"/>
    <n v="1"/>
    <x v="934"/>
    <x v="0"/>
    <x v="6"/>
    <x v="0"/>
    <s v="   delivered "/>
    <x v="0"/>
    <s v="Software License Tier A Model C132"/>
    <x v="2"/>
    <n v="29.36"/>
    <x v="83"/>
  </r>
  <r>
    <x v="935"/>
    <x v="45"/>
    <s v="PROD-APPA-119"/>
    <n v="1"/>
    <x v="935"/>
    <x v="1"/>
    <x v="4"/>
    <x v="0"/>
    <s v="   delivered "/>
    <x v="0"/>
    <s v="Sneakers Model P119"/>
    <x v="1"/>
    <n v="19.329999999999998"/>
    <x v="87"/>
  </r>
  <r>
    <x v="936"/>
    <x v="4"/>
    <s v="PROD-APPA-079"/>
    <n v="2"/>
    <x v="936"/>
    <x v="0"/>
    <x v="2"/>
    <x v="2"/>
    <s v="PENDING_REVIEW"/>
    <x v="2"/>
    <s v="Hoodie Model B79"/>
    <x v="1"/>
    <n v="106.9"/>
    <x v="324"/>
  </r>
  <r>
    <x v="937"/>
    <x v="215"/>
    <s v="PROD-HOME-068"/>
    <n v="4"/>
    <x v="937"/>
    <x v="3"/>
    <x v="3"/>
    <x v="4"/>
    <s v=" cancelled"/>
    <x v="3"/>
    <s v="Coffee Maker Model Q68"/>
    <x v="3"/>
    <n v="28.02"/>
    <x v="389"/>
  </r>
  <r>
    <x v="938"/>
    <x v="253"/>
    <s v="PROD-DIGI-125"/>
    <n v="1"/>
    <x v="938"/>
    <x v="3"/>
    <x v="5"/>
    <x v="4"/>
    <s v="PENDING_REVIEW"/>
    <x v="2"/>
    <s v="Premium Stream 1M Model V125"/>
    <x v="2"/>
    <n v="18.87"/>
    <x v="44"/>
  </r>
  <r>
    <x v="939"/>
    <x v="70"/>
    <s v="PROD-ELEC-007"/>
    <n v="1"/>
    <x v="939"/>
    <x v="1"/>
    <x v="2"/>
    <x v="1"/>
    <s v="   delivered "/>
    <x v="0"/>
    <s v="Smartwatch Model H7"/>
    <x v="0"/>
    <n v="204.37"/>
    <x v="24"/>
  </r>
  <r>
    <x v="940"/>
    <x v="196"/>
    <s v="PROD-DIGI-150"/>
    <n v="1"/>
    <x v="940"/>
    <x v="1"/>
    <x v="2"/>
    <x v="0"/>
    <s v="   delivered "/>
    <x v="0"/>
    <s v="E-Book Access Model U150"/>
    <x v="2"/>
    <n v="75.69"/>
    <x v="165"/>
  </r>
  <r>
    <x v="941"/>
    <x v="31"/>
    <s v="PROD-ELEC-078"/>
    <n v="4"/>
    <x v="941"/>
    <x v="1"/>
    <x v="5"/>
    <x v="3"/>
    <s v=" disputed  "/>
    <x v="5"/>
    <s v="Mouse Model A78"/>
    <x v="0"/>
    <n v="141.34"/>
    <x v="141"/>
  </r>
  <r>
    <x v="942"/>
    <x v="14"/>
    <s v="PROD-ELEC-060"/>
    <n v="5"/>
    <x v="942"/>
    <x v="3"/>
    <x v="3"/>
    <x v="4"/>
    <s v=" disputed  "/>
    <x v="5"/>
    <s v="Mouse Model I60"/>
    <x v="0"/>
    <n v="168.25"/>
    <x v="390"/>
  </r>
  <r>
    <x v="943"/>
    <x v="25"/>
    <s v="PROD-APPA-111"/>
    <n v="1"/>
    <x v="943"/>
    <x v="1"/>
    <x v="0"/>
    <x v="0"/>
    <s v="   delivered "/>
    <x v="0"/>
    <s v="Hoodie Model H111"/>
    <x v="1"/>
    <n v="57.44"/>
    <x v="177"/>
  </r>
  <r>
    <x v="944"/>
    <x v="176"/>
    <s v="PROD-LUXU-084"/>
    <n v="1"/>
    <x v="944"/>
    <x v="3"/>
    <x v="5"/>
    <x v="2"/>
    <s v=" cancelled"/>
    <x v="3"/>
    <s v="Leather Handbag Model G84"/>
    <x v="4"/>
    <n v="899.17"/>
    <x v="304"/>
  </r>
  <r>
    <x v="945"/>
    <x v="162"/>
    <s v="PROD-ELEC-078"/>
    <n v="5"/>
    <x v="945"/>
    <x v="0"/>
    <x v="3"/>
    <x v="4"/>
    <s v=" disputed  "/>
    <x v="5"/>
    <s v="Mouse Model A78"/>
    <x v="0"/>
    <n v="141.34"/>
    <x v="218"/>
  </r>
  <r>
    <x v="946"/>
    <x v="164"/>
    <s v="PROD-HOME-095"/>
    <n v="5"/>
    <x v="946"/>
    <x v="1"/>
    <x v="3"/>
    <x v="2"/>
    <s v=" disputed  "/>
    <x v="5"/>
    <s v="Organizer Model R95"/>
    <x v="3"/>
    <n v="109.58"/>
    <x v="391"/>
  </r>
  <r>
    <x v="947"/>
    <x v="210"/>
    <s v="PROD-HOME-008"/>
    <n v="2"/>
    <x v="947"/>
    <x v="0"/>
    <x v="1"/>
    <x v="1"/>
    <s v="   delivered "/>
    <x v="0"/>
    <s v="Toaster Model I8"/>
    <x v="3"/>
    <n v="44.88"/>
    <x v="392"/>
  </r>
  <r>
    <x v="948"/>
    <x v="184"/>
    <s v="PROD-APPA-044"/>
    <n v="4"/>
    <x v="948"/>
    <x v="0"/>
    <x v="3"/>
    <x v="4"/>
    <s v=" cancelled"/>
    <x v="3"/>
    <s v="Jacket Model S44"/>
    <x v="1"/>
    <n v="93.08"/>
    <x v="393"/>
  </r>
  <r>
    <x v="949"/>
    <x v="243"/>
    <s v="PROD-ELEC-060"/>
    <n v="1"/>
    <x v="949"/>
    <x v="1"/>
    <x v="1"/>
    <x v="2"/>
    <s v="REFUNDED "/>
    <x v="4"/>
    <s v="Mouse Model I60"/>
    <x v="0"/>
    <n v="168.25"/>
    <x v="139"/>
  </r>
  <r>
    <x v="950"/>
    <x v="233"/>
    <s v="PROD-DIGI-046"/>
    <n v="2"/>
    <x v="950"/>
    <x v="0"/>
    <x v="2"/>
    <x v="0"/>
    <s v="   delivered "/>
    <x v="0"/>
    <s v="VPN 6-Month Pass Model U46"/>
    <x v="2"/>
    <n v="47.44"/>
    <x v="394"/>
  </r>
  <r>
    <x v="951"/>
    <x v="220"/>
    <s v="PROD-DIGI-125"/>
    <n v="1"/>
    <x v="951"/>
    <x v="0"/>
    <x v="5"/>
    <x v="3"/>
    <s v=" disputed  "/>
    <x v="5"/>
    <s v="Premium Stream 1M Model V125"/>
    <x v="2"/>
    <n v="18.87"/>
    <x v="44"/>
  </r>
  <r>
    <x v="952"/>
    <x v="128"/>
    <s v="PROD-APPA-070"/>
    <n v="1"/>
    <x v="952"/>
    <x v="1"/>
    <x v="6"/>
    <x v="2"/>
    <s v="   delivered "/>
    <x v="0"/>
    <s v="T-Shirt Model S70"/>
    <x v="1"/>
    <n v="75.45"/>
    <x v="161"/>
  </r>
  <r>
    <x v="953"/>
    <x v="90"/>
    <s v="PROD-DIGI-064"/>
    <n v="1"/>
    <x v="953"/>
    <x v="0"/>
    <x v="4"/>
    <x v="0"/>
    <s v="SHIPPED  "/>
    <x v="1"/>
    <s v="E-Book Access Model M64"/>
    <x v="2"/>
    <n v="92.09"/>
    <x v="351"/>
  </r>
  <r>
    <x v="954"/>
    <x v="158"/>
    <s v="PROD-LUXU-092"/>
    <n v="4"/>
    <x v="954"/>
    <x v="0"/>
    <x v="6"/>
    <x v="4"/>
    <s v=" disputed  "/>
    <x v="5"/>
    <s v="Leather Handbag Model O92"/>
    <x v="4"/>
    <n v="1245.53"/>
    <x v="311"/>
  </r>
  <r>
    <x v="955"/>
    <x v="122"/>
    <s v="PROD-HOME-009"/>
    <n v="1"/>
    <x v="955"/>
    <x v="1"/>
    <x v="5"/>
    <x v="2"/>
    <s v=" disputed  "/>
    <x v="5"/>
    <s v="Coffee Maker Model J9"/>
    <x v="3"/>
    <n v="34.840000000000003"/>
    <x v="30"/>
  </r>
  <r>
    <x v="956"/>
    <x v="15"/>
    <s v="PROD-ELEC-078"/>
    <n v="2"/>
    <x v="956"/>
    <x v="0"/>
    <x v="1"/>
    <x v="2"/>
    <s v="SHIPPED  "/>
    <x v="1"/>
    <s v="Mouse Model A78"/>
    <x v="0"/>
    <n v="141.34"/>
    <x v="395"/>
  </r>
  <r>
    <x v="957"/>
    <x v="241"/>
    <s v="PROD-DIGI-022"/>
    <n v="1"/>
    <x v="957"/>
    <x v="1"/>
    <x v="6"/>
    <x v="2"/>
    <s v="   delivered "/>
    <x v="0"/>
    <s v="E-Book Access Model W22"/>
    <x v="2"/>
    <n v="11.22"/>
    <x v="213"/>
  </r>
  <r>
    <x v="958"/>
    <x v="2"/>
    <s v="PROD-DIGI-125"/>
    <n v="1"/>
    <x v="958"/>
    <x v="0"/>
    <x v="1"/>
    <x v="2"/>
    <s v="   delivered "/>
    <x v="0"/>
    <s v="Premium Stream 1M Model V125"/>
    <x v="2"/>
    <n v="18.87"/>
    <x v="44"/>
  </r>
  <r>
    <x v="959"/>
    <x v="116"/>
    <s v="PROD-HOME-068"/>
    <n v="1"/>
    <x v="959"/>
    <x v="0"/>
    <x v="1"/>
    <x v="2"/>
    <s v="   delivered "/>
    <x v="0"/>
    <s v="Coffee Maker Model Q68"/>
    <x v="3"/>
    <n v="28.02"/>
    <x v="41"/>
  </r>
  <r>
    <x v="960"/>
    <x v="23"/>
    <s v="PROD-DIGI-109"/>
    <n v="5"/>
    <x v="960"/>
    <x v="2"/>
    <x v="3"/>
    <x v="4"/>
    <s v=" disputed  "/>
    <x v="5"/>
    <s v="VPN 6-Month Pass Model F109"/>
    <x v="2"/>
    <n v="22.87"/>
    <x v="308"/>
  </r>
  <r>
    <x v="961"/>
    <x v="209"/>
    <s v="PROD-HOME-017"/>
    <n v="2"/>
    <x v="961"/>
    <x v="1"/>
    <x v="0"/>
    <x v="1"/>
    <s v="   delivered "/>
    <x v="0"/>
    <s v="Pillow Model R17"/>
    <x v="3"/>
    <n v="169.86"/>
    <x v="181"/>
  </r>
  <r>
    <x v="962"/>
    <x v="130"/>
    <s v="PROD-LUXU-117"/>
    <n v="1"/>
    <x v="962"/>
    <x v="3"/>
    <x v="1"/>
    <x v="4"/>
    <s v="PENDING_REVIEW"/>
    <x v="2"/>
    <s v="Silk Scarf Model N117"/>
    <x v="4"/>
    <n v="1740.35"/>
    <x v="349"/>
  </r>
  <r>
    <x v="963"/>
    <x v="191"/>
    <s v="PROD-DIGI-141"/>
    <n v="2"/>
    <x v="963"/>
    <x v="1"/>
    <x v="4"/>
    <x v="0"/>
    <s v="PENDING_REVIEW"/>
    <x v="2"/>
    <s v="Cloud Storage Basic Model L141"/>
    <x v="2"/>
    <n v="93.62"/>
    <x v="396"/>
  </r>
  <r>
    <x v="964"/>
    <x v="114"/>
    <s v="PROD-DIGI-105"/>
    <n v="2"/>
    <x v="964"/>
    <x v="1"/>
    <x v="0"/>
    <x v="0"/>
    <s v="   delivered "/>
    <x v="0"/>
    <s v="VPN 6-Month Pass Model B105"/>
    <x v="2"/>
    <n v="36.130000000000003"/>
    <x v="107"/>
  </r>
  <r>
    <x v="965"/>
    <x v="212"/>
    <s v="PROD-ELEC-021"/>
    <n v="1"/>
    <x v="965"/>
    <x v="1"/>
    <x v="6"/>
    <x v="2"/>
    <s v="   delivered "/>
    <x v="0"/>
    <s v="Keyboard Model V21"/>
    <x v="0"/>
    <n v="208.12"/>
    <x v="338"/>
  </r>
  <r>
    <x v="966"/>
    <x v="214"/>
    <s v="PROD-DIGI-063"/>
    <n v="5"/>
    <x v="966"/>
    <x v="2"/>
    <x v="3"/>
    <x v="2"/>
    <s v=" disputed  "/>
    <x v="5"/>
    <s v="Cloud Storage Basic Model L63"/>
    <x v="2"/>
    <n v="20.48"/>
    <x v="319"/>
  </r>
  <r>
    <x v="967"/>
    <x v="286"/>
    <s v="PROD-HOME-068"/>
    <n v="2"/>
    <x v="967"/>
    <x v="1"/>
    <x v="6"/>
    <x v="2"/>
    <s v="   delivered "/>
    <x v="0"/>
    <s v="Coffee Maker Model Q68"/>
    <x v="3"/>
    <n v="28.02"/>
    <x v="397"/>
  </r>
  <r>
    <x v="968"/>
    <x v="255"/>
    <s v="PROD-APPA-027"/>
    <n v="2"/>
    <x v="968"/>
    <x v="1"/>
    <x v="6"/>
    <x v="2"/>
    <s v="REFUNDED "/>
    <x v="4"/>
    <s v="Jacket Model B27"/>
    <x v="1"/>
    <n v="64.290000000000006"/>
    <x v="193"/>
  </r>
  <r>
    <x v="969"/>
    <x v="182"/>
    <s v="PROD-HOME-089"/>
    <n v="1"/>
    <x v="969"/>
    <x v="1"/>
    <x v="4"/>
    <x v="0"/>
    <s v="   delivered "/>
    <x v="0"/>
    <s v="Blender Model L89"/>
    <x v="3"/>
    <n v="138.6"/>
    <x v="53"/>
  </r>
  <r>
    <x v="970"/>
    <x v="12"/>
    <s v="PROD-ELEC-107"/>
    <n v="4"/>
    <x v="970"/>
    <x v="3"/>
    <x v="3"/>
    <x v="3"/>
    <s v=" disputed  "/>
    <x v="5"/>
    <s v="Mouse Model D107"/>
    <x v="0"/>
    <n v="155.19"/>
    <x v="398"/>
  </r>
  <r>
    <x v="971"/>
    <x v="239"/>
    <s v="PROD-ELEC-031"/>
    <n v="1"/>
    <x v="971"/>
    <x v="1"/>
    <x v="3"/>
    <x v="4"/>
    <s v="PENDING_REVIEW"/>
    <x v="2"/>
    <s v="Webcam Model F31"/>
    <x v="0"/>
    <n v="184.37"/>
    <x v="130"/>
  </r>
  <r>
    <x v="972"/>
    <x v="106"/>
    <s v="PROD-LUXU-069"/>
    <n v="4"/>
    <x v="972"/>
    <x v="0"/>
    <x v="3"/>
    <x v="3"/>
    <s v=" cancelled"/>
    <x v="3"/>
    <s v="Leather Handbag Model R69"/>
    <x v="4"/>
    <n v="425.14"/>
    <x v="399"/>
  </r>
  <r>
    <x v="973"/>
    <x v="5"/>
    <s v="PROD-ELEC-038"/>
    <n v="2"/>
    <x v="973"/>
    <x v="1"/>
    <x v="6"/>
    <x v="0"/>
    <s v="   delivered "/>
    <x v="0"/>
    <s v="Cable Model M38"/>
    <x v="0"/>
    <n v="91.18"/>
    <x v="283"/>
  </r>
  <r>
    <x v="974"/>
    <x v="246"/>
    <s v="PROD-ELEC-104"/>
    <n v="5"/>
    <x v="974"/>
    <x v="0"/>
    <x v="5"/>
    <x v="3"/>
    <s v="PENDING_REVIEW"/>
    <x v="2"/>
    <s v="Smartwatch Model A104"/>
    <x v="0"/>
    <n v="80.59"/>
    <x v="220"/>
  </r>
  <r>
    <x v="975"/>
    <x v="248"/>
    <s v="PROD-APPA-137"/>
    <n v="5"/>
    <x v="975"/>
    <x v="2"/>
    <x v="5"/>
    <x v="3"/>
    <s v="REFUNDED "/>
    <x v="4"/>
    <s v="Sneakers Model H137"/>
    <x v="1"/>
    <n v="33.53"/>
    <x v="400"/>
  </r>
  <r>
    <x v="976"/>
    <x v="98"/>
    <s v="PROD-LUXU-120"/>
    <n v="1"/>
    <x v="976"/>
    <x v="1"/>
    <x v="2"/>
    <x v="2"/>
    <s v="REFUNDED "/>
    <x v="4"/>
    <s v="Premium Perfume Model Q120"/>
    <x v="4"/>
    <n v="505.45"/>
    <x v="46"/>
  </r>
  <r>
    <x v="977"/>
    <x v="36"/>
    <s v="PROD-HOME-108"/>
    <n v="5"/>
    <x v="977"/>
    <x v="3"/>
    <x v="3"/>
    <x v="2"/>
    <s v=" cancelled"/>
    <x v="3"/>
    <s v="Mug Model E108"/>
    <x v="3"/>
    <n v="116.99"/>
    <x v="16"/>
  </r>
  <r>
    <x v="978"/>
    <x v="83"/>
    <s v="PROD-DIGI-019"/>
    <n v="1"/>
    <x v="978"/>
    <x v="1"/>
    <x v="4"/>
    <x v="1"/>
    <s v="   delivered "/>
    <x v="0"/>
    <s v="Software License Tier A Model T19"/>
    <x v="2"/>
    <n v="30.38"/>
    <x v="297"/>
  </r>
  <r>
    <x v="979"/>
    <x v="165"/>
    <s v="PROD-LUXU-018"/>
    <n v="4"/>
    <x v="979"/>
    <x v="1"/>
    <x v="5"/>
    <x v="2"/>
    <s v="PENDING_REVIEW"/>
    <x v="2"/>
    <s v="Leather Handbag Model S18"/>
    <x v="4"/>
    <n v="1475.11"/>
    <x v="17"/>
  </r>
  <r>
    <x v="980"/>
    <x v="128"/>
    <s v="PROD-HOME-068"/>
    <n v="1"/>
    <x v="980"/>
    <x v="1"/>
    <x v="4"/>
    <x v="2"/>
    <s v="   delivered "/>
    <x v="0"/>
    <s v="Coffee Maker Model Q68"/>
    <x v="3"/>
    <n v="28.02"/>
    <x v="41"/>
  </r>
  <r>
    <x v="981"/>
    <x v="287"/>
    <s v="PROD-ELEC-055"/>
    <n v="5"/>
    <x v="981"/>
    <x v="2"/>
    <x v="3"/>
    <x v="2"/>
    <s v="PENDING_REVIEW"/>
    <x v="2"/>
    <s v="Webcam Model D55"/>
    <x v="0"/>
    <n v="168.56"/>
    <x v="223"/>
  </r>
  <r>
    <x v="982"/>
    <x v="182"/>
    <s v="PROD-APPA-079"/>
    <n v="3"/>
    <x v="982"/>
    <x v="0"/>
    <x v="4"/>
    <x v="1"/>
    <s v="SHIPPED  "/>
    <x v="1"/>
    <s v="Hoodie Model B79"/>
    <x v="1"/>
    <n v="106.9"/>
    <x v="316"/>
  </r>
  <r>
    <x v="983"/>
    <x v="168"/>
    <s v="PROD-APPA-058"/>
    <n v="5"/>
    <x v="983"/>
    <x v="3"/>
    <x v="5"/>
    <x v="2"/>
    <s v=" disputed  "/>
    <x v="5"/>
    <s v="Socks Model G58"/>
    <x v="1"/>
    <n v="30.18"/>
    <x v="401"/>
  </r>
  <r>
    <x v="984"/>
    <x v="66"/>
    <s v="PROD-APPA-119"/>
    <n v="1"/>
    <x v="984"/>
    <x v="1"/>
    <x v="1"/>
    <x v="0"/>
    <s v="   delivered "/>
    <x v="0"/>
    <s v="Sneakers Model P119"/>
    <x v="1"/>
    <n v="19.329999999999998"/>
    <x v="87"/>
  </r>
  <r>
    <x v="985"/>
    <x v="261"/>
    <s v="PROD-ELEC-077"/>
    <n v="1"/>
    <x v="985"/>
    <x v="1"/>
    <x v="0"/>
    <x v="2"/>
    <s v="   delivered "/>
    <x v="0"/>
    <s v="Charger Model Z77"/>
    <x v="0"/>
    <n v="160.97"/>
    <x v="402"/>
  </r>
  <r>
    <x v="986"/>
    <x v="258"/>
    <s v="PROD-LUXU-143"/>
    <n v="5"/>
    <x v="986"/>
    <x v="3"/>
    <x v="6"/>
    <x v="3"/>
    <s v=" disputed  "/>
    <x v="5"/>
    <s v="Leather Handbag Model N143"/>
    <x v="4"/>
    <n v="1374.1"/>
    <x v="403"/>
  </r>
  <r>
    <x v="987"/>
    <x v="60"/>
    <s v="PROD-ELEC-057"/>
    <n v="1"/>
    <x v="987"/>
    <x v="0"/>
    <x v="3"/>
    <x v="4"/>
    <s v=" disputed  "/>
    <x v="5"/>
    <s v="Keyboard Model F57"/>
    <x v="0"/>
    <n v="60.02"/>
    <x v="0"/>
  </r>
  <r>
    <x v="988"/>
    <x v="171"/>
    <s v="PROD-APPA-058"/>
    <n v="1"/>
    <x v="988"/>
    <x v="1"/>
    <x v="6"/>
    <x v="0"/>
    <s v="   delivered "/>
    <x v="0"/>
    <s v="Socks Model G58"/>
    <x v="1"/>
    <n v="30.18"/>
    <x v="55"/>
  </r>
  <r>
    <x v="989"/>
    <x v="94"/>
    <s v="PROD-LUXU-116"/>
    <n v="5"/>
    <x v="989"/>
    <x v="2"/>
    <x v="5"/>
    <x v="3"/>
    <s v="REFUNDED "/>
    <x v="4"/>
    <s v="Designer Watch Model M116"/>
    <x v="4"/>
    <n v="968.52"/>
    <x v="404"/>
  </r>
  <r>
    <x v="990"/>
    <x v="66"/>
    <s v="PROD-APPA-137"/>
    <n v="1"/>
    <x v="990"/>
    <x v="1"/>
    <x v="2"/>
    <x v="2"/>
    <s v="   delivered "/>
    <x v="0"/>
    <s v="Sneakers Model H137"/>
    <x v="1"/>
    <n v="33.53"/>
    <x v="1"/>
  </r>
  <r>
    <x v="991"/>
    <x v="178"/>
    <s v="PROD-HOME-085"/>
    <n v="4"/>
    <x v="991"/>
    <x v="0"/>
    <x v="3"/>
    <x v="3"/>
    <s v=" cancelled"/>
    <x v="3"/>
    <s v="Blender Model H85"/>
    <x v="3"/>
    <n v="130"/>
    <x v="332"/>
  </r>
  <r>
    <x v="992"/>
    <x v="29"/>
    <s v="PROD-DIGI-099"/>
    <n v="5"/>
    <x v="992"/>
    <x v="2"/>
    <x v="3"/>
    <x v="4"/>
    <s v="REFUNDED "/>
    <x v="4"/>
    <s v="Premium Stream 1M Model V99"/>
    <x v="2"/>
    <n v="30.08"/>
    <x v="315"/>
  </r>
  <r>
    <x v="993"/>
    <x v="201"/>
    <s v="PROD-LUXU-023"/>
    <n v="5"/>
    <x v="993"/>
    <x v="0"/>
    <x v="6"/>
    <x v="2"/>
    <s v=" disputed  "/>
    <x v="5"/>
    <s v="Premium Perfume Model X23"/>
    <x v="4"/>
    <n v="767.78"/>
    <x v="215"/>
  </r>
  <r>
    <x v="994"/>
    <x v="125"/>
    <s v="PROD-DIGI-131"/>
    <n v="4"/>
    <x v="994"/>
    <x v="0"/>
    <x v="3"/>
    <x v="4"/>
    <s v="REFUNDED "/>
    <x v="4"/>
    <s v="VPN 6-Month Pass Model B131"/>
    <x v="2"/>
    <n v="46.92"/>
    <x v="405"/>
  </r>
  <r>
    <x v="995"/>
    <x v="235"/>
    <s v="PROD-APPA-027"/>
    <n v="1"/>
    <x v="995"/>
    <x v="0"/>
    <x v="6"/>
    <x v="1"/>
    <s v="   delivered "/>
    <x v="0"/>
    <s v="Jacket Model B27"/>
    <x v="1"/>
    <n v="64.290000000000006"/>
    <x v="209"/>
  </r>
  <r>
    <x v="996"/>
    <x v="214"/>
    <s v="PROD-ELEC-107"/>
    <n v="1"/>
    <x v="996"/>
    <x v="0"/>
    <x v="3"/>
    <x v="4"/>
    <s v="PENDING_REVIEW"/>
    <x v="2"/>
    <s v="Mouse Model D107"/>
    <x v="0"/>
    <n v="155.19"/>
    <x v="112"/>
  </r>
  <r>
    <x v="997"/>
    <x v="224"/>
    <s v="PROD-DIGI-063"/>
    <n v="1"/>
    <x v="997"/>
    <x v="0"/>
    <x v="1"/>
    <x v="2"/>
    <s v="   delivered "/>
    <x v="0"/>
    <s v="Cloud Storage Basic Model L63"/>
    <x v="2"/>
    <n v="20.48"/>
    <x v="60"/>
  </r>
  <r>
    <x v="998"/>
    <x v="219"/>
    <s v="PROD-ELEC-047"/>
    <n v="1"/>
    <x v="998"/>
    <x v="1"/>
    <x v="2"/>
    <x v="1"/>
    <s v="   delivered "/>
    <x v="0"/>
    <s v="Headphones Model V47"/>
    <x v="0"/>
    <n v="19.940000000000001"/>
    <x v="258"/>
  </r>
  <r>
    <x v="999"/>
    <x v="213"/>
    <s v="PROD-LUXU-116"/>
    <n v="4"/>
    <x v="999"/>
    <x v="0"/>
    <x v="5"/>
    <x v="3"/>
    <s v="REFUNDED "/>
    <x v="4"/>
    <s v="Designer Watch Model M116"/>
    <x v="4"/>
    <n v="968.52"/>
    <x v="159"/>
  </r>
  <r>
    <x v="1000"/>
    <x v="1"/>
    <s v="PROD-ELEC-067"/>
    <n v="1"/>
    <x v="1000"/>
    <x v="0"/>
    <x v="1"/>
    <x v="0"/>
    <s v="   delivered "/>
    <x v="0"/>
    <s v="Cable Model P67"/>
    <x v="0"/>
    <n v="187.9"/>
    <x v="106"/>
  </r>
  <r>
    <x v="1001"/>
    <x v="224"/>
    <s v="PROD-HOME-094"/>
    <n v="1"/>
    <x v="1001"/>
    <x v="4"/>
    <x v="1"/>
    <x v="0"/>
    <s v=" cancelled"/>
    <x v="3"/>
    <s v="Blender Model Q94"/>
    <x v="3"/>
    <n v="129.13"/>
    <x v="249"/>
  </r>
  <r>
    <x v="1002"/>
    <x v="7"/>
    <s v="PROD-LUXU-018"/>
    <n v="4"/>
    <x v="1002"/>
    <x v="1"/>
    <x v="3"/>
    <x v="4"/>
    <s v=" cancelled"/>
    <x v="3"/>
    <s v="Leather Handbag Model S18"/>
    <x v="4"/>
    <n v="1475.11"/>
    <x v="17"/>
  </r>
  <r>
    <x v="1003"/>
    <x v="71"/>
    <s v="PROD-LUXU-020"/>
    <n v="5"/>
    <x v="1003"/>
    <x v="2"/>
    <x v="3"/>
    <x v="3"/>
    <s v=" cancelled"/>
    <x v="3"/>
    <s v="Leather Handbag Model U20"/>
    <x v="4"/>
    <n v="1806.15"/>
    <x v="250"/>
  </r>
  <r>
    <x v="1004"/>
    <x v="288"/>
    <s v="PROD-ELEC-031"/>
    <n v="1"/>
    <x v="1004"/>
    <x v="1"/>
    <x v="4"/>
    <x v="0"/>
    <s v="   delivered "/>
    <x v="0"/>
    <s v="Webcam Model F31"/>
    <x v="0"/>
    <n v="184.37"/>
    <x v="130"/>
  </r>
  <r>
    <x v="1005"/>
    <x v="147"/>
    <s v="PROD-HOME-094"/>
    <n v="5"/>
    <x v="1005"/>
    <x v="1"/>
    <x v="3"/>
    <x v="2"/>
    <s v="REFUNDED "/>
    <x v="4"/>
    <s v="Blender Model Q94"/>
    <x v="3"/>
    <n v="129.13"/>
    <x v="363"/>
  </r>
  <r>
    <x v="1006"/>
    <x v="282"/>
    <s v="PROD-ELEC-038"/>
    <n v="1"/>
    <x v="1006"/>
    <x v="1"/>
    <x v="5"/>
    <x v="4"/>
    <s v=" disputed  "/>
    <x v="5"/>
    <s v="Cable Model M38"/>
    <x v="0"/>
    <n v="91.18"/>
    <x v="169"/>
  </r>
  <r>
    <x v="1007"/>
    <x v="204"/>
    <s v="PROD-LUXU-069"/>
    <n v="1"/>
    <x v="1007"/>
    <x v="0"/>
    <x v="6"/>
    <x v="3"/>
    <s v=" cancelled"/>
    <x v="3"/>
    <s v="Leather Handbag Model R69"/>
    <x v="4"/>
    <n v="425.14"/>
    <x v="52"/>
  </r>
  <r>
    <x v="1008"/>
    <x v="239"/>
    <s v="PROD-LUXU-129"/>
    <n v="4"/>
    <x v="1008"/>
    <x v="2"/>
    <x v="2"/>
    <x v="3"/>
    <s v="REFUNDED "/>
    <x v="4"/>
    <s v="Silk Scarf Model Z129"/>
    <x v="4"/>
    <n v="1610"/>
    <x v="58"/>
  </r>
  <r>
    <x v="1009"/>
    <x v="253"/>
    <s v="PROD-LUXU-082"/>
    <n v="1"/>
    <x v="1009"/>
    <x v="3"/>
    <x v="3"/>
    <x v="2"/>
    <s v=" disputed  "/>
    <x v="5"/>
    <s v="Designer Watch Model E82"/>
    <x v="4"/>
    <n v="1769.3"/>
    <x v="371"/>
  </r>
  <r>
    <x v="1010"/>
    <x v="237"/>
    <s v="PROD-ELEC-001"/>
    <n v="1"/>
    <x v="1010"/>
    <x v="3"/>
    <x v="5"/>
    <x v="4"/>
    <s v="REFUNDED "/>
    <x v="4"/>
    <s v="Mouse Model B1"/>
    <x v="0"/>
    <n v="189.26"/>
    <x v="114"/>
  </r>
  <r>
    <x v="1011"/>
    <x v="202"/>
    <s v="PROD-HOME-133"/>
    <n v="4"/>
    <x v="1011"/>
    <x v="3"/>
    <x v="3"/>
    <x v="3"/>
    <s v="REFUNDED "/>
    <x v="4"/>
    <s v="Organizer Model D133"/>
    <x v="3"/>
    <n v="144.43"/>
    <x v="406"/>
  </r>
  <r>
    <x v="1012"/>
    <x v="252"/>
    <s v="PROD-LUXU-036"/>
    <n v="5"/>
    <x v="1012"/>
    <x v="2"/>
    <x v="0"/>
    <x v="3"/>
    <s v=" cancelled"/>
    <x v="3"/>
    <s v="Silk Scarf Model K36"/>
    <x v="4"/>
    <n v="737.6"/>
    <x v="135"/>
  </r>
  <r>
    <x v="1013"/>
    <x v="2"/>
    <s v="PROD-HOME-089"/>
    <n v="1"/>
    <x v="1013"/>
    <x v="0"/>
    <x v="6"/>
    <x v="2"/>
    <s v="   delivered "/>
    <x v="0"/>
    <s v="Blender Model L89"/>
    <x v="3"/>
    <n v="138.6"/>
    <x v="53"/>
  </r>
  <r>
    <x v="1014"/>
    <x v="90"/>
    <s v="PROD-APPA-072"/>
    <n v="1"/>
    <x v="1014"/>
    <x v="1"/>
    <x v="5"/>
    <x v="2"/>
    <s v="REFUNDED "/>
    <x v="4"/>
    <s v="Jacket Model U72"/>
    <x v="1"/>
    <n v="75.400000000000006"/>
    <x v="19"/>
  </r>
  <r>
    <x v="1015"/>
    <x v="289"/>
    <s v="PROD-APPA-062"/>
    <n v="5"/>
    <x v="1015"/>
    <x v="1"/>
    <x v="5"/>
    <x v="2"/>
    <s v="REFUNDED "/>
    <x v="4"/>
    <s v="Socks Model K62"/>
    <x v="1"/>
    <n v="63.42"/>
    <x v="407"/>
  </r>
  <r>
    <x v="1016"/>
    <x v="227"/>
    <s v="PROD-ELEC-012"/>
    <n v="4"/>
    <x v="1016"/>
    <x v="2"/>
    <x v="3"/>
    <x v="3"/>
    <s v=" disputed  "/>
    <x v="5"/>
    <s v="Cable Model M12"/>
    <x v="0"/>
    <n v="83.9"/>
    <x v="317"/>
  </r>
  <r>
    <x v="1017"/>
    <x v="3"/>
    <s v="PROD-APPA-091"/>
    <n v="1"/>
    <x v="1017"/>
    <x v="2"/>
    <x v="5"/>
    <x v="2"/>
    <s v=" disputed  "/>
    <x v="5"/>
    <s v="Jacket Model N91"/>
    <x v="1"/>
    <n v="13.96"/>
    <x v="7"/>
  </r>
  <r>
    <x v="1018"/>
    <x v="22"/>
    <s v="PROD-APPA-037"/>
    <n v="4"/>
    <x v="1018"/>
    <x v="3"/>
    <x v="5"/>
    <x v="3"/>
    <s v="REFUNDED "/>
    <x v="4"/>
    <s v="Jacket Model L37"/>
    <x v="1"/>
    <n v="114.88"/>
    <x v="408"/>
  </r>
  <r>
    <x v="1019"/>
    <x v="112"/>
    <s v="PROD-ELEC-083"/>
    <n v="1"/>
    <x v="1019"/>
    <x v="0"/>
    <x v="4"/>
    <x v="0"/>
    <s v="   delivered "/>
    <x v="0"/>
    <s v="Keyboard Model F83"/>
    <x v="0"/>
    <n v="77.150000000000006"/>
    <x v="111"/>
  </r>
  <r>
    <x v="1020"/>
    <x v="137"/>
    <s v="PROD-HOME-093"/>
    <n v="2"/>
    <x v="1020"/>
    <x v="0"/>
    <x v="0"/>
    <x v="0"/>
    <s v="   delivered "/>
    <x v="0"/>
    <s v="Organizer Model P93"/>
    <x v="3"/>
    <n v="175.55"/>
    <x v="409"/>
  </r>
  <r>
    <x v="1021"/>
    <x v="266"/>
    <s v="PROD-LUXU-084"/>
    <n v="1"/>
    <x v="1021"/>
    <x v="3"/>
    <x v="6"/>
    <x v="3"/>
    <s v=" disputed  "/>
    <x v="5"/>
    <s v="Leather Handbag Model G84"/>
    <x v="4"/>
    <n v="899.17"/>
    <x v="304"/>
  </r>
  <r>
    <x v="1022"/>
    <x v="286"/>
    <s v="PROD-LUXU-124"/>
    <n v="1"/>
    <x v="1022"/>
    <x v="2"/>
    <x v="4"/>
    <x v="3"/>
    <s v=" disputed  "/>
    <x v="5"/>
    <s v="Leather Handbag Model U124"/>
    <x v="4"/>
    <n v="1880.36"/>
    <x v="341"/>
  </r>
  <r>
    <x v="1023"/>
    <x v="272"/>
    <s v="PROD-HOME-008"/>
    <n v="4"/>
    <x v="1023"/>
    <x v="3"/>
    <x v="5"/>
    <x v="2"/>
    <s v="PENDING_REVIEW"/>
    <x v="2"/>
    <s v="Toaster Model I8"/>
    <x v="3"/>
    <n v="44.88"/>
    <x v="346"/>
  </r>
  <r>
    <x v="1024"/>
    <x v="260"/>
    <s v="PROD-LUXU-023"/>
    <n v="1"/>
    <x v="1024"/>
    <x v="2"/>
    <x v="5"/>
    <x v="4"/>
    <s v="REFUNDED "/>
    <x v="4"/>
    <s v="Premium Perfume Model X23"/>
    <x v="4"/>
    <n v="767.78"/>
    <x v="61"/>
  </r>
  <r>
    <x v="1025"/>
    <x v="156"/>
    <s v="PROD-ELEC-098"/>
    <n v="1"/>
    <x v="1025"/>
    <x v="1"/>
    <x v="0"/>
    <x v="2"/>
    <s v="SHIPPED  "/>
    <x v="1"/>
    <s v="Keyboard Model U98"/>
    <x v="0"/>
    <n v="188.09"/>
    <x v="70"/>
  </r>
  <r>
    <x v="1026"/>
    <x v="233"/>
    <s v="PROD-DIGI-006"/>
    <n v="1"/>
    <x v="1026"/>
    <x v="1"/>
    <x v="2"/>
    <x v="0"/>
    <s v="   delivered "/>
    <x v="0"/>
    <s v="Premium Stream 1M Model G6"/>
    <x v="2"/>
    <n v="47.23"/>
    <x v="28"/>
  </r>
  <r>
    <x v="1027"/>
    <x v="37"/>
    <s v="PROD-LUXU-129"/>
    <n v="4"/>
    <x v="1027"/>
    <x v="1"/>
    <x v="2"/>
    <x v="4"/>
    <s v=" cancelled"/>
    <x v="3"/>
    <s v="Silk Scarf Model Z129"/>
    <x v="4"/>
    <n v="1610"/>
    <x v="58"/>
  </r>
  <r>
    <x v="1028"/>
    <x v="198"/>
    <s v="PROD-APPA-101"/>
    <n v="1"/>
    <x v="1028"/>
    <x v="0"/>
    <x v="4"/>
    <x v="0"/>
    <s v="REFUNDED "/>
    <x v="4"/>
    <s v="Jeans Model X101"/>
    <x v="1"/>
    <n v="99.82"/>
    <x v="228"/>
  </r>
  <r>
    <x v="1029"/>
    <x v="290"/>
    <s v="PROD-ELEC-126"/>
    <n v="2"/>
    <x v="1029"/>
    <x v="0"/>
    <x v="4"/>
    <x v="0"/>
    <s v="SHIPPED  "/>
    <x v="1"/>
    <s v="Smartwatch Model W126"/>
    <x v="0"/>
    <n v="114.91"/>
    <x v="313"/>
  </r>
  <r>
    <x v="1030"/>
    <x v="15"/>
    <s v="PROD-HOME-045"/>
    <n v="5"/>
    <x v="1030"/>
    <x v="0"/>
    <x v="5"/>
    <x v="2"/>
    <s v=" cancelled"/>
    <x v="3"/>
    <s v="Mug Model T45"/>
    <x v="3"/>
    <n v="179.22"/>
    <x v="410"/>
  </r>
  <r>
    <x v="1031"/>
    <x v="255"/>
    <s v="PROD-DIGI-139"/>
    <n v="1"/>
    <x v="1031"/>
    <x v="1"/>
    <x v="2"/>
    <x v="0"/>
    <s v="   delivered "/>
    <x v="0"/>
    <s v="Software License Tier A Model J139"/>
    <x v="2"/>
    <n v="90.05"/>
    <x v="264"/>
  </r>
  <r>
    <x v="1032"/>
    <x v="264"/>
    <s v="PROD-HOME-008"/>
    <n v="1"/>
    <x v="1032"/>
    <x v="1"/>
    <x v="6"/>
    <x v="0"/>
    <s v="   delivered "/>
    <x v="0"/>
    <s v="Toaster Model I8"/>
    <x v="3"/>
    <n v="44.88"/>
    <x v="271"/>
  </r>
  <r>
    <x v="1033"/>
    <x v="251"/>
    <s v="PROD-DIGI-063"/>
    <n v="1"/>
    <x v="1033"/>
    <x v="1"/>
    <x v="4"/>
    <x v="0"/>
    <s v=" disputed  "/>
    <x v="5"/>
    <s v="Cloud Storage Basic Model L63"/>
    <x v="2"/>
    <n v="20.48"/>
    <x v="60"/>
  </r>
  <r>
    <x v="1034"/>
    <x v="260"/>
    <s v="PROD-APPA-027"/>
    <n v="2"/>
    <x v="1034"/>
    <x v="1"/>
    <x v="6"/>
    <x v="2"/>
    <s v="   delivered "/>
    <x v="0"/>
    <s v="Jacket Model B27"/>
    <x v="1"/>
    <n v="64.290000000000006"/>
    <x v="193"/>
  </r>
  <r>
    <x v="1035"/>
    <x v="194"/>
    <s v="PROD-APPA-101"/>
    <n v="1"/>
    <x v="1035"/>
    <x v="1"/>
    <x v="2"/>
    <x v="0"/>
    <s v="   delivered "/>
    <x v="0"/>
    <s v="Jeans Model X101"/>
    <x v="1"/>
    <n v="99.82"/>
    <x v="228"/>
  </r>
  <r>
    <x v="1036"/>
    <x v="110"/>
    <s v="PROD-LUXU-092"/>
    <n v="4"/>
    <x v="1036"/>
    <x v="1"/>
    <x v="1"/>
    <x v="3"/>
    <s v=" cancelled"/>
    <x v="3"/>
    <s v="Leather Handbag Model O92"/>
    <x v="4"/>
    <n v="1245.53"/>
    <x v="311"/>
  </r>
  <r>
    <x v="1037"/>
    <x v="91"/>
    <s v="PROD-ELEC-104"/>
    <n v="2"/>
    <x v="1037"/>
    <x v="1"/>
    <x v="0"/>
    <x v="2"/>
    <s v="   delivered "/>
    <x v="0"/>
    <s v="Smartwatch Model A104"/>
    <x v="0"/>
    <n v="80.59"/>
    <x v="336"/>
  </r>
  <r>
    <x v="1038"/>
    <x v="188"/>
    <s v="PROD-DIGI-090"/>
    <n v="5"/>
    <x v="1038"/>
    <x v="1"/>
    <x v="3"/>
    <x v="4"/>
    <s v="REFUNDED "/>
    <x v="4"/>
    <s v="VPN 6-Month Pass Model M90"/>
    <x v="2"/>
    <n v="5.91"/>
    <x v="34"/>
  </r>
  <r>
    <x v="1039"/>
    <x v="30"/>
    <s v="PROD-APPA-119"/>
    <n v="4"/>
    <x v="1039"/>
    <x v="3"/>
    <x v="5"/>
    <x v="4"/>
    <s v=" cancelled"/>
    <x v="3"/>
    <s v="Sneakers Model P119"/>
    <x v="1"/>
    <n v="19.329999999999998"/>
    <x v="411"/>
  </r>
  <r>
    <x v="1040"/>
    <x v="86"/>
    <s v="PROD-APPA-027"/>
    <n v="4"/>
    <x v="1040"/>
    <x v="3"/>
    <x v="5"/>
    <x v="4"/>
    <s v="PENDING_REVIEW"/>
    <x v="2"/>
    <s v="Jacket Model B27"/>
    <x v="1"/>
    <n v="64.290000000000006"/>
    <x v="216"/>
  </r>
  <r>
    <x v="1041"/>
    <x v="216"/>
    <s v="PROD-LUXU-069"/>
    <n v="5"/>
    <x v="1041"/>
    <x v="0"/>
    <x v="5"/>
    <x v="4"/>
    <s v="REFUNDED "/>
    <x v="4"/>
    <s v="Leather Handbag Model R69"/>
    <x v="4"/>
    <n v="425.14"/>
    <x v="326"/>
  </r>
  <r>
    <x v="1042"/>
    <x v="126"/>
    <s v="PROD-ELEC-087"/>
    <n v="1"/>
    <x v="1042"/>
    <x v="1"/>
    <x v="4"/>
    <x v="1"/>
    <s v="SHIPPED  "/>
    <x v="1"/>
    <s v="Mouse Model J87"/>
    <x v="0"/>
    <n v="164.06"/>
    <x v="25"/>
  </r>
  <r>
    <x v="1043"/>
    <x v="43"/>
    <s v="PROD-ELEC-140"/>
    <n v="1"/>
    <x v="1043"/>
    <x v="3"/>
    <x v="5"/>
    <x v="2"/>
    <s v="PENDING_REVIEW"/>
    <x v="2"/>
    <s v="Smartwatch Model K140"/>
    <x v="0"/>
    <n v="221.95"/>
    <x v="171"/>
  </r>
  <r>
    <x v="1044"/>
    <x v="189"/>
    <s v="PROD-APPA-014"/>
    <n v="1"/>
    <x v="1044"/>
    <x v="0"/>
    <x v="6"/>
    <x v="0"/>
    <s v="   delivered "/>
    <x v="0"/>
    <s v="Cap Model O14"/>
    <x v="1"/>
    <n v="41.83"/>
    <x v="144"/>
  </r>
  <r>
    <x v="1045"/>
    <x v="104"/>
    <s v="PROD-HOME-045"/>
    <n v="2"/>
    <x v="1045"/>
    <x v="1"/>
    <x v="0"/>
    <x v="0"/>
    <s v="   delivered "/>
    <x v="0"/>
    <s v="Mug Model T45"/>
    <x v="3"/>
    <n v="179.22"/>
    <x v="412"/>
  </r>
  <r>
    <x v="1046"/>
    <x v="86"/>
    <s v="PROD-ELEC-056"/>
    <n v="4"/>
    <x v="1046"/>
    <x v="3"/>
    <x v="5"/>
    <x v="2"/>
    <s v="PENDING_REVIEW"/>
    <x v="2"/>
    <s v="Charger Model E56"/>
    <x v="0"/>
    <n v="186.13"/>
    <x v="306"/>
  </r>
  <r>
    <x v="1047"/>
    <x v="209"/>
    <s v="PROD-ELEC-057"/>
    <n v="2"/>
    <x v="1047"/>
    <x v="1"/>
    <x v="1"/>
    <x v="1"/>
    <s v="   delivered "/>
    <x v="0"/>
    <s v="Keyboard Model F57"/>
    <x v="0"/>
    <n v="60.02"/>
    <x v="413"/>
  </r>
  <r>
    <x v="1048"/>
    <x v="142"/>
    <s v="PROD-DIGI-011"/>
    <n v="1"/>
    <x v="1048"/>
    <x v="1"/>
    <x v="4"/>
    <x v="0"/>
    <s v=" cancelled"/>
    <x v="3"/>
    <s v="VPN 6-Month Pass Model L11"/>
    <x v="2"/>
    <n v="16.73"/>
    <x v="151"/>
  </r>
  <r>
    <x v="1049"/>
    <x v="291"/>
    <s v="PROD-HOME-065"/>
    <n v="5"/>
    <x v="1049"/>
    <x v="2"/>
    <x v="5"/>
    <x v="4"/>
    <s v=" cancelled"/>
    <x v="3"/>
    <s v="Mug Model N65"/>
    <x v="3"/>
    <n v="131.44999999999999"/>
    <x v="414"/>
  </r>
  <r>
    <x v="1050"/>
    <x v="85"/>
    <s v="PROD-ELEC-083"/>
    <n v="5"/>
    <x v="1050"/>
    <x v="3"/>
    <x v="5"/>
    <x v="4"/>
    <s v="REFUNDED "/>
    <x v="4"/>
    <s v="Keyboard Model F83"/>
    <x v="0"/>
    <n v="77.150000000000006"/>
    <x v="415"/>
  </r>
  <r>
    <x v="1051"/>
    <x v="113"/>
    <s v="PROD-APPA-044"/>
    <n v="1"/>
    <x v="1051"/>
    <x v="0"/>
    <x v="1"/>
    <x v="2"/>
    <s v="   delivered "/>
    <x v="0"/>
    <s v="Jacket Model S44"/>
    <x v="1"/>
    <n v="93.08"/>
    <x v="235"/>
  </r>
  <r>
    <x v="1052"/>
    <x v="119"/>
    <s v="PROD-ELEC-021"/>
    <n v="2"/>
    <x v="1052"/>
    <x v="1"/>
    <x v="6"/>
    <x v="2"/>
    <s v="   delivered "/>
    <x v="0"/>
    <s v="Keyboard Model V21"/>
    <x v="0"/>
    <n v="208.12"/>
    <x v="300"/>
  </r>
  <r>
    <x v="1053"/>
    <x v="271"/>
    <s v="PROD-DIGI-105"/>
    <n v="1"/>
    <x v="1053"/>
    <x v="0"/>
    <x v="1"/>
    <x v="0"/>
    <s v="   delivered "/>
    <x v="0"/>
    <s v="VPN 6-Month Pass Model B105"/>
    <x v="2"/>
    <n v="36.130000000000003"/>
    <x v="79"/>
  </r>
  <r>
    <x v="1054"/>
    <x v="215"/>
    <s v="PROD-APPA-042"/>
    <n v="5"/>
    <x v="1054"/>
    <x v="3"/>
    <x v="3"/>
    <x v="2"/>
    <s v=" cancelled"/>
    <x v="3"/>
    <s v="Jeans Model Q42"/>
    <x v="1"/>
    <n v="82.57"/>
    <x v="208"/>
  </r>
  <r>
    <x v="1055"/>
    <x v="159"/>
    <s v="PROD-HOME-080"/>
    <n v="5"/>
    <x v="1055"/>
    <x v="1"/>
    <x v="3"/>
    <x v="3"/>
    <s v=" cancelled"/>
    <x v="3"/>
    <s v="Toaster Model C80"/>
    <x v="3"/>
    <n v="45.24"/>
    <x v="416"/>
  </r>
  <r>
    <x v="1056"/>
    <x v="45"/>
    <s v="PROD-APPA-079"/>
    <n v="4"/>
    <x v="1056"/>
    <x v="3"/>
    <x v="3"/>
    <x v="4"/>
    <s v="REFUNDED "/>
    <x v="4"/>
    <s v="Hoodie Model B79"/>
    <x v="1"/>
    <n v="106.9"/>
    <x v="417"/>
  </r>
  <r>
    <x v="1057"/>
    <x v="45"/>
    <s v="PROD-DIGI-105"/>
    <n v="1"/>
    <x v="1057"/>
    <x v="0"/>
    <x v="1"/>
    <x v="2"/>
    <s v="   delivered "/>
    <x v="0"/>
    <s v="VPN 6-Month Pass Model B105"/>
    <x v="2"/>
    <n v="36.130000000000003"/>
    <x v="79"/>
  </r>
  <r>
    <x v="1058"/>
    <x v="98"/>
    <s v="PROD-LUXU-092"/>
    <n v="4"/>
    <x v="1058"/>
    <x v="3"/>
    <x v="3"/>
    <x v="3"/>
    <s v="PENDING_REVIEW"/>
    <x v="2"/>
    <s v="Leather Handbag Model O92"/>
    <x v="4"/>
    <n v="1245.53"/>
    <x v="311"/>
  </r>
  <r>
    <x v="1059"/>
    <x v="13"/>
    <s v="PROD-HOME-017"/>
    <n v="1"/>
    <x v="1059"/>
    <x v="1"/>
    <x v="3"/>
    <x v="2"/>
    <s v="PENDING_REVIEW"/>
    <x v="2"/>
    <s v="Pillow Model R17"/>
    <x v="3"/>
    <n v="169.86"/>
    <x v="56"/>
  </r>
  <r>
    <x v="1060"/>
    <x v="292"/>
    <s v="PROD-DIGI-110"/>
    <n v="2"/>
    <x v="1060"/>
    <x v="0"/>
    <x v="4"/>
    <x v="2"/>
    <s v="   delivered "/>
    <x v="0"/>
    <s v="Cloud Storage Basic Model G110"/>
    <x v="2"/>
    <n v="53.87"/>
    <x v="274"/>
  </r>
  <r>
    <x v="1061"/>
    <x v="2"/>
    <s v="PROD-HOME-095"/>
    <n v="2"/>
    <x v="1061"/>
    <x v="0"/>
    <x v="4"/>
    <x v="0"/>
    <s v="   delivered "/>
    <x v="0"/>
    <s v="Organizer Model R95"/>
    <x v="3"/>
    <n v="109.58"/>
    <x v="418"/>
  </r>
  <r>
    <x v="1062"/>
    <x v="210"/>
    <s v="PROD-APPA-149"/>
    <n v="4"/>
    <x v="1062"/>
    <x v="3"/>
    <x v="3"/>
    <x v="2"/>
    <s v=" cancelled"/>
    <x v="3"/>
    <s v="Socks Model T149"/>
    <x v="1"/>
    <n v="45.95"/>
    <x v="419"/>
  </r>
  <r>
    <x v="1063"/>
    <x v="254"/>
    <s v="PROD-DIGI-073"/>
    <n v="1"/>
    <x v="1063"/>
    <x v="1"/>
    <x v="3"/>
    <x v="3"/>
    <s v=" cancelled"/>
    <x v="3"/>
    <s v="VPN 6-Month Pass Model V73"/>
    <x v="2"/>
    <n v="58.13"/>
    <x v="21"/>
  </r>
  <r>
    <x v="1064"/>
    <x v="224"/>
    <s v="PROD-ELEC-104"/>
    <n v="1"/>
    <x v="1064"/>
    <x v="0"/>
    <x v="1"/>
    <x v="2"/>
    <s v="   delivered "/>
    <x v="0"/>
    <s v="Smartwatch Model A104"/>
    <x v="0"/>
    <n v="80.59"/>
    <x v="90"/>
  </r>
  <r>
    <x v="1065"/>
    <x v="0"/>
    <s v="PROD-DIGI-141"/>
    <n v="3"/>
    <x v="1065"/>
    <x v="1"/>
    <x v="4"/>
    <x v="0"/>
    <s v="   delivered "/>
    <x v="0"/>
    <s v="Cloud Storage Basic Model L141"/>
    <x v="2"/>
    <n v="93.62"/>
    <x v="420"/>
  </r>
  <r>
    <x v="1066"/>
    <x v="91"/>
    <s v="PROD-DIGI-148"/>
    <n v="1"/>
    <x v="1066"/>
    <x v="1"/>
    <x v="1"/>
    <x v="0"/>
    <s v="   delivered "/>
    <x v="0"/>
    <s v="Premium Stream 1M Model S148"/>
    <x v="2"/>
    <n v="9.73"/>
    <x v="286"/>
  </r>
  <r>
    <x v="1067"/>
    <x v="293"/>
    <s v="PROD-APPA-044"/>
    <n v="2"/>
    <x v="1067"/>
    <x v="0"/>
    <x v="6"/>
    <x v="2"/>
    <s v="REFUNDED "/>
    <x v="4"/>
    <s v="Jacket Model S44"/>
    <x v="1"/>
    <n v="93.08"/>
    <x v="421"/>
  </r>
  <r>
    <x v="1068"/>
    <x v="271"/>
    <s v="PROD-LUXU-092"/>
    <n v="5"/>
    <x v="1068"/>
    <x v="0"/>
    <x v="0"/>
    <x v="3"/>
    <s v=" disputed  "/>
    <x v="5"/>
    <s v="Leather Handbag Model O92"/>
    <x v="4"/>
    <n v="1245.53"/>
    <x v="201"/>
  </r>
  <r>
    <x v="1069"/>
    <x v="100"/>
    <s v="PROD-LUXU-048"/>
    <n v="5"/>
    <x v="1069"/>
    <x v="0"/>
    <x v="1"/>
    <x v="2"/>
    <s v=" cancelled"/>
    <x v="3"/>
    <s v="Leather Handbag Model W48"/>
    <x v="4"/>
    <n v="315.82"/>
    <x v="234"/>
  </r>
  <r>
    <x v="1070"/>
    <x v="86"/>
    <s v="PROD-APPA-079"/>
    <n v="1"/>
    <x v="1070"/>
    <x v="0"/>
    <x v="2"/>
    <x v="0"/>
    <s v="SHIPPED  "/>
    <x v="1"/>
    <s v="Hoodie Model B79"/>
    <x v="1"/>
    <n v="106.9"/>
    <x v="71"/>
  </r>
  <r>
    <x v="1071"/>
    <x v="181"/>
    <s v="PROD-DIGI-150"/>
    <n v="2"/>
    <x v="1071"/>
    <x v="1"/>
    <x v="6"/>
    <x v="0"/>
    <s v="   delivered "/>
    <x v="0"/>
    <s v="E-Book Access Model U150"/>
    <x v="2"/>
    <n v="75.69"/>
    <x v="138"/>
  </r>
  <r>
    <x v="1072"/>
    <x v="97"/>
    <s v="PROD-HOME-054"/>
    <n v="4"/>
    <x v="1072"/>
    <x v="1"/>
    <x v="3"/>
    <x v="3"/>
    <s v="PENDING_REVIEW"/>
    <x v="2"/>
    <s v="Mug Model C54"/>
    <x v="3"/>
    <n v="85.78"/>
    <x v="422"/>
  </r>
  <r>
    <x v="1073"/>
    <x v="179"/>
    <s v="PROD-LUXU-020"/>
    <n v="5"/>
    <x v="1073"/>
    <x v="2"/>
    <x v="2"/>
    <x v="2"/>
    <s v=" disputed  "/>
    <x v="5"/>
    <s v="Leather Handbag Model U20"/>
    <x v="4"/>
    <n v="1806.15"/>
    <x v="250"/>
  </r>
  <r>
    <x v="1074"/>
    <x v="294"/>
    <s v="PROD-HOME-085"/>
    <n v="4"/>
    <x v="1074"/>
    <x v="1"/>
    <x v="5"/>
    <x v="2"/>
    <s v="REFUNDED "/>
    <x v="4"/>
    <s v="Blender Model H85"/>
    <x v="3"/>
    <n v="130"/>
    <x v="332"/>
  </r>
  <r>
    <x v="1075"/>
    <x v="210"/>
    <s v="PROD-ELEC-078"/>
    <n v="1"/>
    <x v="1075"/>
    <x v="0"/>
    <x v="0"/>
    <x v="2"/>
    <s v="   delivered "/>
    <x v="0"/>
    <s v="Mouse Model A78"/>
    <x v="0"/>
    <n v="141.34"/>
    <x v="2"/>
  </r>
  <r>
    <x v="1076"/>
    <x v="104"/>
    <s v="PROD-HOME-095"/>
    <n v="4"/>
    <x v="1076"/>
    <x v="3"/>
    <x v="3"/>
    <x v="3"/>
    <s v="REFUNDED "/>
    <x v="4"/>
    <s v="Organizer Model R95"/>
    <x v="3"/>
    <n v="109.58"/>
    <x v="294"/>
  </r>
  <r>
    <x v="1077"/>
    <x v="232"/>
    <s v="PROD-HOME-074"/>
    <n v="1"/>
    <x v="1077"/>
    <x v="1"/>
    <x v="0"/>
    <x v="1"/>
    <s v="   delivered "/>
    <x v="0"/>
    <s v="Blender Model W74"/>
    <x v="3"/>
    <n v="127.16"/>
    <x v="5"/>
  </r>
  <r>
    <x v="1078"/>
    <x v="218"/>
    <s v="PROD-APPA-027"/>
    <n v="1"/>
    <x v="1078"/>
    <x v="1"/>
    <x v="4"/>
    <x v="0"/>
    <s v="SHIPPED  "/>
    <x v="1"/>
    <s v="Jacket Model B27"/>
    <x v="1"/>
    <n v="64.290000000000006"/>
    <x v="209"/>
  </r>
  <r>
    <x v="1079"/>
    <x v="174"/>
    <s v="PROD-LUXU-092"/>
    <n v="4"/>
    <x v="1079"/>
    <x v="0"/>
    <x v="2"/>
    <x v="4"/>
    <s v="REFUNDED "/>
    <x v="4"/>
    <s v="Leather Handbag Model O92"/>
    <x v="4"/>
    <n v="1245.53"/>
    <x v="311"/>
  </r>
  <r>
    <x v="1080"/>
    <x v="67"/>
    <s v="PROD-ELEC-107"/>
    <n v="1"/>
    <x v="1080"/>
    <x v="1"/>
    <x v="4"/>
    <x v="2"/>
    <s v="   delivered "/>
    <x v="0"/>
    <s v="Mouse Model D107"/>
    <x v="0"/>
    <n v="155.19"/>
    <x v="112"/>
  </r>
  <r>
    <x v="1081"/>
    <x v="129"/>
    <s v="PROD-LUXU-147"/>
    <n v="5"/>
    <x v="1081"/>
    <x v="1"/>
    <x v="1"/>
    <x v="2"/>
    <s v="REFUNDED "/>
    <x v="4"/>
    <s v="Designer Watch Model R147"/>
    <x v="4"/>
    <n v="484.68"/>
    <x v="194"/>
  </r>
  <r>
    <x v="1082"/>
    <x v="74"/>
    <s v="PROD-ELEC-001"/>
    <n v="4"/>
    <x v="1082"/>
    <x v="3"/>
    <x v="3"/>
    <x v="3"/>
    <s v="PENDING_REVIEW"/>
    <x v="2"/>
    <s v="Mouse Model B1"/>
    <x v="0"/>
    <n v="189.26"/>
    <x v="423"/>
  </r>
  <r>
    <x v="1083"/>
    <x v="206"/>
    <s v="PROD-ELEC-004"/>
    <n v="4"/>
    <x v="1083"/>
    <x v="0"/>
    <x v="5"/>
    <x v="2"/>
    <s v="REFUNDED "/>
    <x v="4"/>
    <s v="Keyboard Model E4"/>
    <x v="0"/>
    <n v="69.680000000000007"/>
    <x v="424"/>
  </r>
  <r>
    <x v="1084"/>
    <x v="251"/>
    <s v="PROD-HOME-094"/>
    <n v="1"/>
    <x v="1084"/>
    <x v="1"/>
    <x v="6"/>
    <x v="2"/>
    <s v="   delivered "/>
    <x v="0"/>
    <s v="Blender Model Q94"/>
    <x v="3"/>
    <n v="129.13"/>
    <x v="249"/>
  </r>
  <r>
    <x v="1085"/>
    <x v="264"/>
    <s v="PROD-LUXU-018"/>
    <n v="5"/>
    <x v="1085"/>
    <x v="2"/>
    <x v="0"/>
    <x v="4"/>
    <s v=" disputed  "/>
    <x v="5"/>
    <s v="Leather Handbag Model S18"/>
    <x v="4"/>
    <n v="1475.11"/>
    <x v="163"/>
  </r>
  <r>
    <x v="1086"/>
    <x v="185"/>
    <s v="PROD-ELEC-128"/>
    <n v="1"/>
    <x v="1086"/>
    <x v="1"/>
    <x v="2"/>
    <x v="1"/>
    <s v="REFUNDED "/>
    <x v="4"/>
    <s v="Charger Model Y128"/>
    <x v="0"/>
    <n v="46.33"/>
    <x v="217"/>
  </r>
  <r>
    <x v="1087"/>
    <x v="93"/>
    <s v="PROD-LUXU-120"/>
    <n v="4"/>
    <x v="1087"/>
    <x v="2"/>
    <x v="5"/>
    <x v="2"/>
    <s v="REFUNDED "/>
    <x v="4"/>
    <s v="Premium Perfume Model Q120"/>
    <x v="4"/>
    <n v="505.45"/>
    <x v="425"/>
  </r>
  <r>
    <x v="1088"/>
    <x v="295"/>
    <s v="PROD-DIGI-150"/>
    <n v="1"/>
    <x v="1088"/>
    <x v="1"/>
    <x v="4"/>
    <x v="0"/>
    <s v="   delivered "/>
    <x v="0"/>
    <s v="E-Book Access Model U150"/>
    <x v="2"/>
    <n v="75.69"/>
    <x v="165"/>
  </r>
  <r>
    <x v="1089"/>
    <x v="210"/>
    <s v="PROD-DIGI-063"/>
    <n v="1"/>
    <x v="1089"/>
    <x v="1"/>
    <x v="3"/>
    <x v="2"/>
    <s v="PENDING_REVIEW"/>
    <x v="2"/>
    <s v="Cloud Storage Basic Model L63"/>
    <x v="2"/>
    <n v="20.48"/>
    <x v="60"/>
  </r>
  <r>
    <x v="1090"/>
    <x v="12"/>
    <s v="PROD-DIGI-051"/>
    <n v="1"/>
    <x v="1090"/>
    <x v="0"/>
    <x v="1"/>
    <x v="0"/>
    <s v="   delivered "/>
    <x v="0"/>
    <s v="Premium Stream 1M Model Z51"/>
    <x v="2"/>
    <n v="55.69"/>
    <x v="110"/>
  </r>
  <r>
    <x v="1091"/>
    <x v="40"/>
    <s v="PROD-HOME-085"/>
    <n v="1"/>
    <x v="1091"/>
    <x v="1"/>
    <x v="4"/>
    <x v="0"/>
    <s v="   delivered "/>
    <x v="0"/>
    <s v="Blender Model H85"/>
    <x v="3"/>
    <n v="130"/>
    <x v="158"/>
  </r>
  <r>
    <x v="1092"/>
    <x v="109"/>
    <s v="PROD-LUXU-096"/>
    <n v="1"/>
    <x v="1092"/>
    <x v="1"/>
    <x v="6"/>
    <x v="3"/>
    <s v="REFUNDED "/>
    <x v="4"/>
    <s v="Leather Handbag Model S96"/>
    <x v="4"/>
    <n v="2336.6799999999998"/>
    <x v="164"/>
  </r>
  <r>
    <x v="1093"/>
    <x v="241"/>
    <s v="PROD-APPA-002"/>
    <n v="1"/>
    <x v="1093"/>
    <x v="1"/>
    <x v="6"/>
    <x v="2"/>
    <s v="   delivered "/>
    <x v="0"/>
    <s v="Sneakers Model C2"/>
    <x v="1"/>
    <n v="21.27"/>
    <x v="197"/>
  </r>
  <r>
    <x v="1094"/>
    <x v="188"/>
    <s v="PROD-ELEC-031"/>
    <n v="1"/>
    <x v="1094"/>
    <x v="1"/>
    <x v="1"/>
    <x v="2"/>
    <s v="PENDING_REVIEW"/>
    <x v="2"/>
    <s v="Webcam Model F31"/>
    <x v="0"/>
    <n v="184.37"/>
    <x v="130"/>
  </r>
  <r>
    <x v="1095"/>
    <x v="32"/>
    <s v="PROD-APPA-043"/>
    <n v="1"/>
    <x v="1095"/>
    <x v="1"/>
    <x v="6"/>
    <x v="1"/>
    <s v="   delivered "/>
    <x v="0"/>
    <s v="Hoodie Model R43"/>
    <x v="1"/>
    <n v="68.040000000000006"/>
    <x v="82"/>
  </r>
  <r>
    <x v="1096"/>
    <x v="159"/>
    <s v="PROD-APPA-119"/>
    <n v="1"/>
    <x v="1096"/>
    <x v="1"/>
    <x v="1"/>
    <x v="0"/>
    <s v=" cancelled"/>
    <x v="3"/>
    <s v="Sneakers Model P119"/>
    <x v="1"/>
    <n v="19.329999999999998"/>
    <x v="87"/>
  </r>
  <r>
    <x v="1097"/>
    <x v="17"/>
    <s v="PROD-ELEC-047"/>
    <n v="1"/>
    <x v="1097"/>
    <x v="1"/>
    <x v="4"/>
    <x v="2"/>
    <s v="   delivered "/>
    <x v="0"/>
    <s v="Headphones Model V47"/>
    <x v="0"/>
    <n v="19.940000000000001"/>
    <x v="258"/>
  </r>
  <r>
    <x v="1098"/>
    <x v="0"/>
    <s v="PROD-ELEC-077"/>
    <n v="5"/>
    <x v="1098"/>
    <x v="3"/>
    <x v="3"/>
    <x v="3"/>
    <s v=" disputed  "/>
    <x v="5"/>
    <s v="Charger Model Z77"/>
    <x v="0"/>
    <n v="160.97"/>
    <x v="426"/>
  </r>
  <r>
    <x v="1099"/>
    <x v="185"/>
    <s v="PROD-ELEC-049"/>
    <n v="2"/>
    <x v="1099"/>
    <x v="1"/>
    <x v="6"/>
    <x v="2"/>
    <s v="SHIPPED  "/>
    <x v="1"/>
    <s v="Keyboard Model X49"/>
    <x v="0"/>
    <n v="30.84"/>
    <x v="427"/>
  </r>
  <r>
    <x v="1100"/>
    <x v="84"/>
    <s v="PROD-ELEC-001"/>
    <n v="1"/>
    <x v="1100"/>
    <x v="0"/>
    <x v="4"/>
    <x v="1"/>
    <s v="   delivered "/>
    <x v="0"/>
    <s v="Mouse Model B1"/>
    <x v="0"/>
    <n v="189.26"/>
    <x v="114"/>
  </r>
  <r>
    <x v="1101"/>
    <x v="237"/>
    <s v="PROD-ELEC-103"/>
    <n v="1"/>
    <x v="1101"/>
    <x v="1"/>
    <x v="0"/>
    <x v="2"/>
    <s v="   delivered "/>
    <x v="0"/>
    <s v="Webcam Model Z103"/>
    <x v="0"/>
    <n v="60.39"/>
    <x v="96"/>
  </r>
  <r>
    <x v="1102"/>
    <x v="293"/>
    <s v="PROD-LUXU-052"/>
    <n v="4"/>
    <x v="1102"/>
    <x v="0"/>
    <x v="2"/>
    <x v="4"/>
    <s v=" disputed  "/>
    <x v="5"/>
    <s v="Silk Scarf Model A52"/>
    <x v="4"/>
    <n v="1339.88"/>
    <x v="51"/>
  </r>
  <r>
    <x v="1103"/>
    <x v="290"/>
    <s v="PROD-DIGI-109"/>
    <n v="1"/>
    <x v="1103"/>
    <x v="1"/>
    <x v="2"/>
    <x v="2"/>
    <s v="SHIPPED  "/>
    <x v="1"/>
    <s v="VPN 6-Month Pass Model F109"/>
    <x v="2"/>
    <n v="22.87"/>
    <x v="20"/>
  </r>
  <r>
    <x v="1104"/>
    <x v="103"/>
    <s v="PROD-HOME-093"/>
    <n v="1"/>
    <x v="1104"/>
    <x v="4"/>
    <x v="6"/>
    <x v="0"/>
    <s v="   delivered "/>
    <x v="0"/>
    <s v="Organizer Model P93"/>
    <x v="3"/>
    <n v="175.55"/>
    <x v="123"/>
  </r>
  <r>
    <x v="1105"/>
    <x v="168"/>
    <s v="PROD-LUXU-005"/>
    <n v="5"/>
    <x v="1105"/>
    <x v="3"/>
    <x v="4"/>
    <x v="2"/>
    <s v="PENDING_REVIEW"/>
    <x v="2"/>
    <s v="Leather Handbag Model F5"/>
    <x v="4"/>
    <n v="1875.24"/>
    <x v="428"/>
  </r>
  <r>
    <x v="1106"/>
    <x v="165"/>
    <s v="PROD-APPA-027"/>
    <n v="1"/>
    <x v="1106"/>
    <x v="0"/>
    <x v="4"/>
    <x v="0"/>
    <s v="   delivered "/>
    <x v="0"/>
    <s v="Jacket Model B27"/>
    <x v="1"/>
    <n v="64.290000000000006"/>
    <x v="209"/>
  </r>
  <r>
    <x v="1107"/>
    <x v="23"/>
    <s v="PROD-HOME-050"/>
    <n v="2"/>
    <x v="1107"/>
    <x v="1"/>
    <x v="4"/>
    <x v="2"/>
    <s v="   delivered "/>
    <x v="0"/>
    <s v="Coffee Maker Model Y50"/>
    <x v="3"/>
    <n v="102.26"/>
    <x v="277"/>
  </r>
  <r>
    <x v="1108"/>
    <x v="60"/>
    <s v="PROD-DIGI-051"/>
    <n v="1"/>
    <x v="1108"/>
    <x v="1"/>
    <x v="4"/>
    <x v="0"/>
    <s v="   delivered "/>
    <x v="0"/>
    <s v="Premium Stream 1M Model Z51"/>
    <x v="2"/>
    <n v="55.69"/>
    <x v="110"/>
  </r>
  <r>
    <x v="1109"/>
    <x v="268"/>
    <s v="PROD-APPA-101"/>
    <n v="4"/>
    <x v="1109"/>
    <x v="3"/>
    <x v="5"/>
    <x v="2"/>
    <s v="REFUNDED "/>
    <x v="4"/>
    <s v="Jeans Model X101"/>
    <x v="1"/>
    <n v="99.82"/>
    <x v="429"/>
  </r>
  <r>
    <x v="1110"/>
    <x v="130"/>
    <s v="PROD-HOME-138"/>
    <n v="1"/>
    <x v="1110"/>
    <x v="0"/>
    <x v="1"/>
    <x v="0"/>
    <s v="SHIPPED  "/>
    <x v="1"/>
    <s v="Desk Lamp Model I138"/>
    <x v="3"/>
    <n v="94.55"/>
    <x v="188"/>
  </r>
  <r>
    <x v="1111"/>
    <x v="213"/>
    <s v="PROD-LUXU-120"/>
    <n v="4"/>
    <x v="1111"/>
    <x v="1"/>
    <x v="2"/>
    <x v="2"/>
    <s v=" cancelled"/>
    <x v="3"/>
    <s v="Premium Perfume Model Q120"/>
    <x v="4"/>
    <n v="505.45"/>
    <x v="425"/>
  </r>
  <r>
    <x v="1112"/>
    <x v="218"/>
    <s v="PROD-APPA-097"/>
    <n v="2"/>
    <x v="1112"/>
    <x v="4"/>
    <x v="2"/>
    <x v="2"/>
    <s v="   delivered "/>
    <x v="0"/>
    <s v="Cap Model T97"/>
    <x v="1"/>
    <n v="99.18"/>
    <x v="312"/>
  </r>
  <r>
    <x v="1113"/>
    <x v="291"/>
    <s v="PROD-DIGI-073"/>
    <n v="1"/>
    <x v="1113"/>
    <x v="0"/>
    <x v="6"/>
    <x v="1"/>
    <s v="   delivered "/>
    <x v="0"/>
    <s v="VPN 6-Month Pass Model V73"/>
    <x v="2"/>
    <n v="58.13"/>
    <x v="21"/>
  </r>
  <r>
    <x v="1114"/>
    <x v="228"/>
    <s v="PROD-HOME-095"/>
    <n v="1"/>
    <x v="1114"/>
    <x v="0"/>
    <x v="1"/>
    <x v="0"/>
    <s v="   delivered "/>
    <x v="0"/>
    <s v="Organizer Model R95"/>
    <x v="3"/>
    <n v="109.58"/>
    <x v="27"/>
  </r>
  <r>
    <x v="1115"/>
    <x v="228"/>
    <s v="PROD-APPA-134"/>
    <n v="5"/>
    <x v="1115"/>
    <x v="0"/>
    <x v="3"/>
    <x v="2"/>
    <s v="PENDING_REVIEW"/>
    <x v="2"/>
    <s v="Hoodie Model E134"/>
    <x v="1"/>
    <n v="58.39"/>
    <x v="430"/>
  </r>
  <r>
    <x v="1116"/>
    <x v="23"/>
    <s v="PROD-HOME-081"/>
    <n v="4"/>
    <x v="1116"/>
    <x v="1"/>
    <x v="3"/>
    <x v="3"/>
    <s v="PENDING_REVIEW"/>
    <x v="2"/>
    <s v="Desk Lamp Model D81"/>
    <x v="3"/>
    <n v="177.42"/>
    <x v="431"/>
  </r>
  <r>
    <x v="1117"/>
    <x v="175"/>
    <s v="PROD-DIGI-051"/>
    <n v="4"/>
    <x v="1117"/>
    <x v="0"/>
    <x v="3"/>
    <x v="2"/>
    <s v="PENDING_REVIEW"/>
    <x v="2"/>
    <s v="Premium Stream 1M Model Z51"/>
    <x v="2"/>
    <n v="55.69"/>
    <x v="230"/>
  </r>
  <r>
    <x v="1118"/>
    <x v="160"/>
    <s v="PROD-DIGI-118"/>
    <n v="5"/>
    <x v="1118"/>
    <x v="1"/>
    <x v="3"/>
    <x v="2"/>
    <s v="REFUNDED "/>
    <x v="4"/>
    <s v="Premium Stream 1M Model O118"/>
    <x v="2"/>
    <n v="53.05"/>
    <x v="432"/>
  </r>
  <r>
    <x v="1119"/>
    <x v="287"/>
    <s v="PROD-DIGI-063"/>
    <n v="1"/>
    <x v="1119"/>
    <x v="1"/>
    <x v="4"/>
    <x v="0"/>
    <s v="   delivered "/>
    <x v="0"/>
    <s v="Cloud Storage Basic Model L63"/>
    <x v="2"/>
    <n v="20.48"/>
    <x v="60"/>
  </r>
  <r>
    <x v="1120"/>
    <x v="101"/>
    <s v="PROD-HOME-112"/>
    <n v="1"/>
    <x v="1120"/>
    <x v="1"/>
    <x v="5"/>
    <x v="2"/>
    <s v="REFUNDED "/>
    <x v="4"/>
    <s v="Desk Lamp Model I112"/>
    <x v="3"/>
    <n v="70.23"/>
    <x v="77"/>
  </r>
  <r>
    <x v="1121"/>
    <x v="227"/>
    <s v="PROD-ELEC-126"/>
    <n v="1"/>
    <x v="1121"/>
    <x v="1"/>
    <x v="2"/>
    <x v="0"/>
    <s v="   delivered "/>
    <x v="0"/>
    <s v="Smartwatch Model W126"/>
    <x v="0"/>
    <n v="114.91"/>
    <x v="251"/>
  </r>
  <r>
    <x v="1122"/>
    <x v="225"/>
    <s v="PROD-HOME-045"/>
    <n v="1"/>
    <x v="1122"/>
    <x v="1"/>
    <x v="1"/>
    <x v="0"/>
    <s v="   delivered "/>
    <x v="0"/>
    <s v="Mug Model T45"/>
    <x v="3"/>
    <n v="179.22"/>
    <x v="152"/>
  </r>
  <r>
    <x v="1123"/>
    <x v="176"/>
    <s v="PROD-DIGI-109"/>
    <n v="1"/>
    <x v="1123"/>
    <x v="1"/>
    <x v="4"/>
    <x v="0"/>
    <s v="   delivered "/>
    <x v="0"/>
    <s v="VPN 6-Month Pass Model F109"/>
    <x v="2"/>
    <n v="22.87"/>
    <x v="20"/>
  </r>
  <r>
    <x v="1124"/>
    <x v="232"/>
    <s v="PROD-LUXU-048"/>
    <n v="4"/>
    <x v="1124"/>
    <x v="1"/>
    <x v="6"/>
    <x v="2"/>
    <s v="REFUNDED "/>
    <x v="4"/>
    <s v="Leather Handbag Model W48"/>
    <x v="4"/>
    <n v="315.82"/>
    <x v="91"/>
  </r>
  <r>
    <x v="1125"/>
    <x v="93"/>
    <s v="PROD-HOME-081"/>
    <n v="1"/>
    <x v="1125"/>
    <x v="1"/>
    <x v="6"/>
    <x v="0"/>
    <s v="SHIPPED  "/>
    <x v="1"/>
    <s v="Desk Lamp Model D81"/>
    <x v="3"/>
    <n v="177.42"/>
    <x v="309"/>
  </r>
  <r>
    <x v="1126"/>
    <x v="180"/>
    <s v="PROD-LUXU-032"/>
    <n v="5"/>
    <x v="1126"/>
    <x v="0"/>
    <x v="6"/>
    <x v="3"/>
    <s v="PENDING_REVIEW"/>
    <x v="2"/>
    <s v="Premium Perfume Model G32"/>
    <x v="4"/>
    <n v="1990.92"/>
    <x v="198"/>
  </r>
  <r>
    <x v="1127"/>
    <x v="36"/>
    <s v="PROD-ELEC-103"/>
    <n v="4"/>
    <x v="1127"/>
    <x v="1"/>
    <x v="3"/>
    <x v="3"/>
    <s v=" disputed  "/>
    <x v="5"/>
    <s v="Webcam Model Z103"/>
    <x v="0"/>
    <n v="60.39"/>
    <x v="433"/>
  </r>
  <r>
    <x v="1128"/>
    <x v="227"/>
    <s v="PROD-LUXU-120"/>
    <n v="5"/>
    <x v="1128"/>
    <x v="3"/>
    <x v="0"/>
    <x v="2"/>
    <s v="PENDING_REVIEW"/>
    <x v="2"/>
    <s v="Premium Perfume Model Q120"/>
    <x v="4"/>
    <n v="505.45"/>
    <x v="434"/>
  </r>
  <r>
    <x v="1129"/>
    <x v="244"/>
    <s v="PROD-APPA-134"/>
    <n v="1"/>
    <x v="1129"/>
    <x v="0"/>
    <x v="4"/>
    <x v="2"/>
    <s v="   delivered "/>
    <x v="0"/>
    <s v="Hoodie Model E134"/>
    <x v="1"/>
    <n v="58.39"/>
    <x v="229"/>
  </r>
  <r>
    <x v="1130"/>
    <x v="117"/>
    <s v="PROD-HOME-054"/>
    <n v="1"/>
    <x v="1130"/>
    <x v="0"/>
    <x v="1"/>
    <x v="0"/>
    <s v="   delivered "/>
    <x v="0"/>
    <s v="Mug Model C54"/>
    <x v="3"/>
    <n v="85.78"/>
    <x v="172"/>
  </r>
  <r>
    <x v="1131"/>
    <x v="96"/>
    <s v="PROD-LUXU-146"/>
    <n v="1"/>
    <x v="1131"/>
    <x v="0"/>
    <x v="0"/>
    <x v="3"/>
    <s v=" disputed  "/>
    <x v="5"/>
    <s v="Silk Scarf Model Q146"/>
    <x v="4"/>
    <n v="359.33"/>
    <x v="256"/>
  </r>
  <r>
    <x v="1132"/>
    <x v="207"/>
    <s v="PROD-APPA-043"/>
    <n v="5"/>
    <x v="1132"/>
    <x v="1"/>
    <x v="3"/>
    <x v="2"/>
    <s v=" disputed  "/>
    <x v="5"/>
    <s v="Hoodie Model R43"/>
    <x v="1"/>
    <n v="68.040000000000006"/>
    <x v="435"/>
  </r>
  <r>
    <x v="1133"/>
    <x v="265"/>
    <s v="PROD-LUXU-005"/>
    <n v="5"/>
    <x v="1133"/>
    <x v="3"/>
    <x v="3"/>
    <x v="2"/>
    <s v="REFUNDED "/>
    <x v="4"/>
    <s v="Leather Handbag Model F5"/>
    <x v="4"/>
    <n v="1875.24"/>
    <x v="428"/>
  </r>
  <r>
    <x v="1134"/>
    <x v="24"/>
    <s v="PROD-DIGI-148"/>
    <n v="1"/>
    <x v="1134"/>
    <x v="0"/>
    <x v="2"/>
    <x v="2"/>
    <s v="   delivered "/>
    <x v="0"/>
    <s v="Premium Stream 1M Model S148"/>
    <x v="2"/>
    <n v="9.73"/>
    <x v="286"/>
  </r>
  <r>
    <x v="1135"/>
    <x v="220"/>
    <s v="PROD-HOME-094"/>
    <n v="1"/>
    <x v="1135"/>
    <x v="1"/>
    <x v="6"/>
    <x v="2"/>
    <s v="   delivered "/>
    <x v="0"/>
    <s v="Blender Model Q94"/>
    <x v="3"/>
    <n v="129.13"/>
    <x v="249"/>
  </r>
  <r>
    <x v="1136"/>
    <x v="6"/>
    <s v="PROD-LUXU-127"/>
    <n v="1"/>
    <x v="1136"/>
    <x v="1"/>
    <x v="0"/>
    <x v="2"/>
    <s v="PENDING_REVIEW"/>
    <x v="2"/>
    <s v="Gold Bracelet Model X127"/>
    <x v="4"/>
    <n v="410.48"/>
    <x v="278"/>
  </r>
  <r>
    <x v="1137"/>
    <x v="207"/>
    <s v="PROD-LUXU-086"/>
    <n v="4"/>
    <x v="1137"/>
    <x v="2"/>
    <x v="2"/>
    <x v="3"/>
    <s v="REFUNDED "/>
    <x v="4"/>
    <s v="Gold Bracelet Model I86"/>
    <x v="4"/>
    <n v="852.47"/>
    <x v="436"/>
  </r>
  <r>
    <x v="1138"/>
    <x v="40"/>
    <s v="PROD-ELEC-059"/>
    <n v="1"/>
    <x v="1138"/>
    <x v="1"/>
    <x v="2"/>
    <x v="0"/>
    <s v="SHIPPED  "/>
    <x v="1"/>
    <s v="Charger Model H59"/>
    <x v="0"/>
    <n v="204.89"/>
    <x v="310"/>
  </r>
  <r>
    <x v="1139"/>
    <x v="104"/>
    <s v="PROD-DIGI-090"/>
    <n v="1"/>
    <x v="1139"/>
    <x v="1"/>
    <x v="2"/>
    <x v="2"/>
    <s v="   delivered "/>
    <x v="0"/>
    <s v="VPN 6-Month Pass Model M90"/>
    <x v="2"/>
    <n v="5.91"/>
    <x v="126"/>
  </r>
  <r>
    <x v="1140"/>
    <x v="54"/>
    <s v="PROD-DIGI-130"/>
    <n v="1"/>
    <x v="1140"/>
    <x v="0"/>
    <x v="2"/>
    <x v="0"/>
    <s v="   delivered "/>
    <x v="0"/>
    <s v="VPN 6-Month Pass Model A130"/>
    <x v="2"/>
    <n v="81.61"/>
    <x v="236"/>
  </r>
  <r>
    <x v="1141"/>
    <x v="123"/>
    <s v="PROD-HOME-113"/>
    <n v="4"/>
    <x v="1141"/>
    <x v="0"/>
    <x v="3"/>
    <x v="4"/>
    <s v=" cancelled"/>
    <x v="3"/>
    <s v="Desk Lamp Model J113"/>
    <x v="3"/>
    <n v="69.489999999999995"/>
    <x v="437"/>
  </r>
  <r>
    <x v="1142"/>
    <x v="280"/>
    <s v="PROD-HOME-106"/>
    <n v="5"/>
    <x v="1142"/>
    <x v="0"/>
    <x v="5"/>
    <x v="2"/>
    <s v="PENDING_REVIEW"/>
    <x v="2"/>
    <s v="Blender Model C106"/>
    <x v="3"/>
    <n v="112.89"/>
    <x v="241"/>
  </r>
  <r>
    <x v="1143"/>
    <x v="34"/>
    <s v="PROD-LUXU-048"/>
    <n v="4"/>
    <x v="1143"/>
    <x v="1"/>
    <x v="5"/>
    <x v="2"/>
    <s v=" cancelled"/>
    <x v="3"/>
    <s v="Leather Handbag Model W48"/>
    <x v="4"/>
    <n v="315.82"/>
    <x v="91"/>
  </r>
  <r>
    <x v="1144"/>
    <x v="95"/>
    <s v="PROD-LUXU-005"/>
    <n v="4"/>
    <x v="1144"/>
    <x v="2"/>
    <x v="3"/>
    <x v="2"/>
    <s v="REFUNDED "/>
    <x v="4"/>
    <s v="Leather Handbag Model F5"/>
    <x v="4"/>
    <n v="1875.24"/>
    <x v="162"/>
  </r>
  <r>
    <x v="1145"/>
    <x v="243"/>
    <s v="PROD-DIGI-063"/>
    <n v="1"/>
    <x v="1145"/>
    <x v="0"/>
    <x v="1"/>
    <x v="0"/>
    <s v="   delivered "/>
    <x v="0"/>
    <s v="Cloud Storage Basic Model L63"/>
    <x v="2"/>
    <n v="20.48"/>
    <x v="60"/>
  </r>
  <r>
    <x v="1146"/>
    <x v="261"/>
    <s v="PROD-HOME-075"/>
    <n v="1"/>
    <x v="1146"/>
    <x v="3"/>
    <x v="3"/>
    <x v="4"/>
    <s v="REFUNDED "/>
    <x v="4"/>
    <s v="Mug Model X75"/>
    <x v="3"/>
    <n v="40.94"/>
    <x v="205"/>
  </r>
  <r>
    <x v="1147"/>
    <x v="199"/>
    <s v="PROD-LUXU-036"/>
    <n v="5"/>
    <x v="1147"/>
    <x v="1"/>
    <x v="4"/>
    <x v="3"/>
    <s v=" disputed  "/>
    <x v="5"/>
    <s v="Silk Scarf Model K36"/>
    <x v="4"/>
    <n v="737.6"/>
    <x v="135"/>
  </r>
  <r>
    <x v="1148"/>
    <x v="10"/>
    <s v="PROD-HOME-068"/>
    <n v="5"/>
    <x v="1148"/>
    <x v="1"/>
    <x v="5"/>
    <x v="2"/>
    <s v=" cancelled"/>
    <x v="3"/>
    <s v="Coffee Maker Model Q68"/>
    <x v="3"/>
    <n v="28.02"/>
    <x v="438"/>
  </r>
  <r>
    <x v="1149"/>
    <x v="216"/>
    <s v="PROD-LUXU-143"/>
    <n v="4"/>
    <x v="1149"/>
    <x v="0"/>
    <x v="1"/>
    <x v="4"/>
    <s v="REFUNDED "/>
    <x v="4"/>
    <s v="Leather Handbag Model N143"/>
    <x v="4"/>
    <n v="1374.1"/>
    <x v="153"/>
  </r>
  <r>
    <x v="1150"/>
    <x v="164"/>
    <s v="PROD-HOME-033"/>
    <n v="1"/>
    <x v="1150"/>
    <x v="0"/>
    <x v="6"/>
    <x v="2"/>
    <s v="   delivered "/>
    <x v="0"/>
    <s v="Mug Model H33"/>
    <x v="3"/>
    <n v="45.31"/>
    <x v="108"/>
  </r>
  <r>
    <x v="1151"/>
    <x v="242"/>
    <s v="PROD-DIGI-046"/>
    <n v="4"/>
    <x v="1151"/>
    <x v="0"/>
    <x v="3"/>
    <x v="3"/>
    <s v=" cancelled"/>
    <x v="3"/>
    <s v="VPN 6-Month Pass Model U46"/>
    <x v="2"/>
    <n v="47.44"/>
    <x v="335"/>
  </r>
  <r>
    <x v="1152"/>
    <x v="16"/>
    <s v="PROD-HOME-017"/>
    <n v="1"/>
    <x v="1152"/>
    <x v="1"/>
    <x v="6"/>
    <x v="2"/>
    <s v="PENDING_REVIEW"/>
    <x v="2"/>
    <s v="Pillow Model R17"/>
    <x v="3"/>
    <n v="169.86"/>
    <x v="56"/>
  </r>
  <r>
    <x v="1153"/>
    <x v="271"/>
    <s v="PROD-DIGI-118"/>
    <n v="1"/>
    <x v="1153"/>
    <x v="0"/>
    <x v="3"/>
    <x v="4"/>
    <s v="PENDING_REVIEW"/>
    <x v="2"/>
    <s v="Premium Stream 1M Model O118"/>
    <x v="2"/>
    <n v="53.05"/>
    <x v="98"/>
  </r>
  <r>
    <x v="1154"/>
    <x v="219"/>
    <s v="PROD-LUXU-117"/>
    <n v="1"/>
    <x v="1154"/>
    <x v="0"/>
    <x v="5"/>
    <x v="3"/>
    <s v=" disputed  "/>
    <x v="5"/>
    <s v="Silk Scarf Model N117"/>
    <x v="4"/>
    <n v="1740.35"/>
    <x v="349"/>
  </r>
  <r>
    <x v="1155"/>
    <x v="245"/>
    <s v="PROD-HOME-138"/>
    <n v="3"/>
    <x v="1155"/>
    <x v="1"/>
    <x v="1"/>
    <x v="2"/>
    <s v="   delivered "/>
    <x v="0"/>
    <s v="Desk Lamp Model I138"/>
    <x v="3"/>
    <n v="94.55"/>
    <x v="439"/>
  </r>
  <r>
    <x v="1156"/>
    <x v="52"/>
    <s v="PROD-ELEC-067"/>
    <n v="5"/>
    <x v="1156"/>
    <x v="0"/>
    <x v="5"/>
    <x v="4"/>
    <s v="REFUNDED "/>
    <x v="4"/>
    <s v="Cable Model P67"/>
    <x v="0"/>
    <n v="187.9"/>
    <x v="440"/>
  </r>
  <r>
    <x v="1157"/>
    <x v="205"/>
    <s v="PROD-ELEC-004"/>
    <n v="1"/>
    <x v="1157"/>
    <x v="1"/>
    <x v="4"/>
    <x v="1"/>
    <s v="   delivered "/>
    <x v="0"/>
    <s v="Keyboard Model E4"/>
    <x v="0"/>
    <n v="69.680000000000007"/>
    <x v="23"/>
  </r>
  <r>
    <x v="1158"/>
    <x v="274"/>
    <s v="PROD-DIGI-073"/>
    <n v="4"/>
    <x v="1158"/>
    <x v="3"/>
    <x v="5"/>
    <x v="4"/>
    <s v=" cancelled"/>
    <x v="3"/>
    <s v="VPN 6-Month Pass Model V73"/>
    <x v="2"/>
    <n v="58.13"/>
    <x v="6"/>
  </r>
  <r>
    <x v="1159"/>
    <x v="155"/>
    <s v="PROD-DIGI-076"/>
    <n v="1"/>
    <x v="1159"/>
    <x v="1"/>
    <x v="2"/>
    <x v="2"/>
    <s v="   delivered "/>
    <x v="0"/>
    <s v="E-Book Access Model Y76"/>
    <x v="2"/>
    <n v="92.33"/>
    <x v="8"/>
  </r>
  <r>
    <x v="1160"/>
    <x v="14"/>
    <s v="PROD-DIGI-029"/>
    <n v="2"/>
    <x v="1160"/>
    <x v="1"/>
    <x v="1"/>
    <x v="1"/>
    <s v="   delivered "/>
    <x v="0"/>
    <s v="VPN 6-Month Pass Model D29"/>
    <x v="2"/>
    <n v="10.97"/>
    <x v="280"/>
  </r>
  <r>
    <x v="1161"/>
    <x v="66"/>
    <s v="PROD-DIGI-139"/>
    <n v="2"/>
    <x v="1161"/>
    <x v="1"/>
    <x v="1"/>
    <x v="2"/>
    <s v="SHIPPED  "/>
    <x v="1"/>
    <s v="Software License Tier A Model J139"/>
    <x v="2"/>
    <n v="90.05"/>
    <x v="182"/>
  </r>
  <r>
    <x v="1162"/>
    <x v="44"/>
    <s v="PROD-DIGI-110"/>
    <n v="2"/>
    <x v="1162"/>
    <x v="0"/>
    <x v="2"/>
    <x v="0"/>
    <s v="   delivered "/>
    <x v="0"/>
    <s v="Cloud Storage Basic Model G110"/>
    <x v="2"/>
    <n v="53.87"/>
    <x v="274"/>
  </r>
  <r>
    <x v="1163"/>
    <x v="248"/>
    <s v="PROD-APPA-079"/>
    <n v="1"/>
    <x v="1163"/>
    <x v="1"/>
    <x v="1"/>
    <x v="0"/>
    <s v="   delivered "/>
    <x v="0"/>
    <s v="Hoodie Model B79"/>
    <x v="1"/>
    <n v="106.9"/>
    <x v="71"/>
  </r>
  <r>
    <x v="1164"/>
    <x v="220"/>
    <s v="PROD-LUXU-117"/>
    <n v="1"/>
    <x v="1164"/>
    <x v="2"/>
    <x v="4"/>
    <x v="3"/>
    <s v="PENDING_REVIEW"/>
    <x v="2"/>
    <s v="Silk Scarf Model N117"/>
    <x v="4"/>
    <n v="1740.35"/>
    <x v="349"/>
  </r>
  <r>
    <x v="1165"/>
    <x v="277"/>
    <s v="PROD-DIGI-022"/>
    <n v="1"/>
    <x v="1165"/>
    <x v="0"/>
    <x v="0"/>
    <x v="1"/>
    <s v="   delivered "/>
    <x v="0"/>
    <s v="E-Book Access Model W22"/>
    <x v="2"/>
    <n v="11.22"/>
    <x v="213"/>
  </r>
  <r>
    <x v="1166"/>
    <x v="127"/>
    <s v="PROD-DIGI-131"/>
    <n v="1"/>
    <x v="1166"/>
    <x v="2"/>
    <x v="3"/>
    <x v="4"/>
    <s v="REFUNDED "/>
    <x v="4"/>
    <s v="VPN 6-Month Pass Model B131"/>
    <x v="2"/>
    <n v="46.92"/>
    <x v="4"/>
  </r>
  <r>
    <x v="1167"/>
    <x v="239"/>
    <s v="PROD-LUXU-124"/>
    <n v="5"/>
    <x v="1167"/>
    <x v="3"/>
    <x v="3"/>
    <x v="2"/>
    <s v="PENDING_REVIEW"/>
    <x v="2"/>
    <s v="Leather Handbag Model U124"/>
    <x v="4"/>
    <n v="1880.36"/>
    <x v="128"/>
  </r>
  <r>
    <x v="1168"/>
    <x v="99"/>
    <s v="PROD-DIGI-141"/>
    <n v="1"/>
    <x v="1168"/>
    <x v="0"/>
    <x v="2"/>
    <x v="0"/>
    <s v="   delivered "/>
    <x v="0"/>
    <s v="Cloud Storage Basic Model L141"/>
    <x v="2"/>
    <n v="93.62"/>
    <x v="378"/>
  </r>
  <r>
    <x v="1169"/>
    <x v="245"/>
    <s v="PROD-HOME-102"/>
    <n v="2"/>
    <x v="1169"/>
    <x v="0"/>
    <x v="6"/>
    <x v="2"/>
    <s v="   delivered "/>
    <x v="0"/>
    <s v="Organizer Model Y102"/>
    <x v="3"/>
    <n v="147.26"/>
    <x v="441"/>
  </r>
  <r>
    <x v="1170"/>
    <x v="32"/>
    <s v="PROD-LUXU-020"/>
    <n v="1"/>
    <x v="1170"/>
    <x v="2"/>
    <x v="4"/>
    <x v="2"/>
    <s v=" disputed  "/>
    <x v="5"/>
    <s v="Leather Handbag Model U20"/>
    <x v="4"/>
    <n v="1806.15"/>
    <x v="347"/>
  </r>
  <r>
    <x v="1171"/>
    <x v="270"/>
    <s v="PROD-DIGI-109"/>
    <n v="1"/>
    <x v="1171"/>
    <x v="1"/>
    <x v="0"/>
    <x v="1"/>
    <s v="   delivered "/>
    <x v="0"/>
    <s v="VPN 6-Month Pass Model F109"/>
    <x v="2"/>
    <n v="22.87"/>
    <x v="20"/>
  </r>
  <r>
    <x v="1172"/>
    <x v="65"/>
    <s v="PROD-LUXU-069"/>
    <n v="4"/>
    <x v="1172"/>
    <x v="0"/>
    <x v="0"/>
    <x v="3"/>
    <s v="REFUNDED "/>
    <x v="4"/>
    <s v="Leather Handbag Model R69"/>
    <x v="4"/>
    <n v="425.14"/>
    <x v="399"/>
  </r>
  <r>
    <x v="1173"/>
    <x v="139"/>
    <s v="PROD-HOME-108"/>
    <n v="1"/>
    <x v="1173"/>
    <x v="2"/>
    <x v="5"/>
    <x v="2"/>
    <s v="PENDING_REVIEW"/>
    <x v="2"/>
    <s v="Mug Model E108"/>
    <x v="3"/>
    <n v="116.99"/>
    <x v="273"/>
  </r>
  <r>
    <x v="1174"/>
    <x v="18"/>
    <s v="PROD-APPA-079"/>
    <n v="5"/>
    <x v="1174"/>
    <x v="1"/>
    <x v="3"/>
    <x v="3"/>
    <s v=" disputed  "/>
    <x v="5"/>
    <s v="Hoodie Model B79"/>
    <x v="1"/>
    <n v="106.9"/>
    <x v="124"/>
  </r>
  <r>
    <x v="1175"/>
    <x v="29"/>
    <s v="PROD-ELEC-001"/>
    <n v="1"/>
    <x v="1175"/>
    <x v="4"/>
    <x v="2"/>
    <x v="2"/>
    <s v="   delivered "/>
    <x v="0"/>
    <s v="Mouse Model B1"/>
    <x v="0"/>
    <n v="189.26"/>
    <x v="114"/>
  </r>
  <r>
    <x v="1176"/>
    <x v="291"/>
    <s v="PROD-ELEC-140"/>
    <n v="1"/>
    <x v="1176"/>
    <x v="0"/>
    <x v="2"/>
    <x v="1"/>
    <s v="SHIPPED  "/>
    <x v="1"/>
    <s v="Smartwatch Model K140"/>
    <x v="0"/>
    <n v="221.95"/>
    <x v="171"/>
  </r>
  <r>
    <x v="1177"/>
    <x v="194"/>
    <s v="PROD-ELEC-104"/>
    <n v="1"/>
    <x v="1177"/>
    <x v="0"/>
    <x v="3"/>
    <x v="2"/>
    <s v="PENDING_REVIEW"/>
    <x v="2"/>
    <s v="Smartwatch Model A104"/>
    <x v="0"/>
    <n v="80.59"/>
    <x v="90"/>
  </r>
  <r>
    <x v="1178"/>
    <x v="175"/>
    <s v="PROD-DIGI-090"/>
    <n v="1"/>
    <x v="1178"/>
    <x v="0"/>
    <x v="1"/>
    <x v="1"/>
    <s v="   delivered "/>
    <x v="0"/>
    <s v="VPN 6-Month Pass Model M90"/>
    <x v="2"/>
    <n v="5.91"/>
    <x v="126"/>
  </r>
  <r>
    <x v="1179"/>
    <x v="254"/>
    <s v="PROD-APPA-014"/>
    <n v="1"/>
    <x v="1179"/>
    <x v="0"/>
    <x v="1"/>
    <x v="2"/>
    <s v="SHIPPED  "/>
    <x v="1"/>
    <s v="Cap Model O14"/>
    <x v="1"/>
    <n v="41.83"/>
    <x v="144"/>
  </r>
  <r>
    <x v="1180"/>
    <x v="250"/>
    <s v="PROD-APPA-071"/>
    <n v="2"/>
    <x v="1180"/>
    <x v="0"/>
    <x v="0"/>
    <x v="2"/>
    <s v="   delivered "/>
    <x v="0"/>
    <s v="Socks Model T71"/>
    <x v="1"/>
    <n v="23.19"/>
    <x v="279"/>
  </r>
  <r>
    <x v="1181"/>
    <x v="140"/>
    <s v="PROD-ELEC-007"/>
    <n v="2"/>
    <x v="1181"/>
    <x v="0"/>
    <x v="1"/>
    <x v="0"/>
    <s v="SHIPPED  "/>
    <x v="1"/>
    <s v="Smartwatch Model H7"/>
    <x v="0"/>
    <n v="204.37"/>
    <x v="353"/>
  </r>
  <r>
    <x v="1182"/>
    <x v="247"/>
    <s v="PROD-APPA-079"/>
    <n v="1"/>
    <x v="1182"/>
    <x v="2"/>
    <x v="3"/>
    <x v="2"/>
    <s v="PENDING_REVIEW"/>
    <x v="2"/>
    <s v="Hoodie Model B79"/>
    <x v="1"/>
    <n v="106.9"/>
    <x v="71"/>
  </r>
  <r>
    <x v="1183"/>
    <x v="296"/>
    <s v="PROD-DIGI-099"/>
    <n v="1"/>
    <x v="1183"/>
    <x v="1"/>
    <x v="4"/>
    <x v="0"/>
    <s v="   delivered "/>
    <x v="0"/>
    <s v="Premium Stream 1M Model V99"/>
    <x v="2"/>
    <n v="30.08"/>
    <x v="89"/>
  </r>
  <r>
    <x v="1184"/>
    <x v="207"/>
    <s v="PROD-ELEC-047"/>
    <n v="1"/>
    <x v="1184"/>
    <x v="1"/>
    <x v="4"/>
    <x v="2"/>
    <s v="   delivered "/>
    <x v="0"/>
    <s v="Headphones Model V47"/>
    <x v="0"/>
    <n v="19.940000000000001"/>
    <x v="258"/>
  </r>
  <r>
    <x v="1185"/>
    <x v="285"/>
    <s v="PROD-ELEC-087"/>
    <n v="5"/>
    <x v="1185"/>
    <x v="3"/>
    <x v="3"/>
    <x v="2"/>
    <s v="REFUNDED "/>
    <x v="4"/>
    <s v="Mouse Model J87"/>
    <x v="0"/>
    <n v="164.06"/>
    <x v="442"/>
  </r>
  <r>
    <x v="1186"/>
    <x v="237"/>
    <s v="PROD-ELEC-047"/>
    <n v="2"/>
    <x v="1186"/>
    <x v="0"/>
    <x v="0"/>
    <x v="2"/>
    <s v="   delivered "/>
    <x v="0"/>
    <s v="Headphones Model V47"/>
    <x v="0"/>
    <n v="19.940000000000001"/>
    <x v="248"/>
  </r>
  <r>
    <x v="1187"/>
    <x v="89"/>
    <s v="PROD-APPA-134"/>
    <n v="1"/>
    <x v="1187"/>
    <x v="1"/>
    <x v="0"/>
    <x v="2"/>
    <s v="   delivered "/>
    <x v="0"/>
    <s v="Hoodie Model E134"/>
    <x v="1"/>
    <n v="58.39"/>
    <x v="229"/>
  </r>
  <r>
    <x v="1188"/>
    <x v="12"/>
    <s v="PROD-ELEC-049"/>
    <n v="1"/>
    <x v="1188"/>
    <x v="1"/>
    <x v="6"/>
    <x v="0"/>
    <s v="   delivered "/>
    <x v="0"/>
    <s v="Keyboard Model X49"/>
    <x v="0"/>
    <n v="30.84"/>
    <x v="288"/>
  </r>
  <r>
    <x v="1189"/>
    <x v="198"/>
    <s v="PROD-DIGI-029"/>
    <n v="2"/>
    <x v="1189"/>
    <x v="1"/>
    <x v="2"/>
    <x v="0"/>
    <s v="   delivered "/>
    <x v="0"/>
    <s v="VPN 6-Month Pass Model D29"/>
    <x v="2"/>
    <n v="10.97"/>
    <x v="280"/>
  </r>
  <r>
    <x v="1190"/>
    <x v="206"/>
    <s v="PROD-APPA-042"/>
    <n v="5"/>
    <x v="1190"/>
    <x v="2"/>
    <x v="5"/>
    <x v="4"/>
    <s v=" cancelled"/>
    <x v="3"/>
    <s v="Jeans Model Q42"/>
    <x v="1"/>
    <n v="82.57"/>
    <x v="208"/>
  </r>
  <r>
    <x v="1191"/>
    <x v="134"/>
    <s v="PROD-LUXU-048"/>
    <n v="4"/>
    <x v="1191"/>
    <x v="0"/>
    <x v="4"/>
    <x v="4"/>
    <s v=" cancelled"/>
    <x v="3"/>
    <s v="Leather Handbag Model W48"/>
    <x v="4"/>
    <n v="315.82"/>
    <x v="91"/>
  </r>
  <r>
    <x v="1192"/>
    <x v="262"/>
    <s v="PROD-ELEC-067"/>
    <n v="1"/>
    <x v="1192"/>
    <x v="2"/>
    <x v="3"/>
    <x v="3"/>
    <s v=" cancelled"/>
    <x v="3"/>
    <s v="Cable Model P67"/>
    <x v="0"/>
    <n v="187.9"/>
    <x v="106"/>
  </r>
  <r>
    <x v="1193"/>
    <x v="151"/>
    <s v="PROD-LUXU-018"/>
    <n v="4"/>
    <x v="1193"/>
    <x v="1"/>
    <x v="2"/>
    <x v="4"/>
    <s v=" disputed  "/>
    <x v="5"/>
    <s v="Leather Handbag Model S18"/>
    <x v="4"/>
    <n v="1475.11"/>
    <x v="17"/>
  </r>
  <r>
    <x v="1194"/>
    <x v="220"/>
    <s v="PROD-LUXU-023"/>
    <n v="1"/>
    <x v="1194"/>
    <x v="2"/>
    <x v="4"/>
    <x v="4"/>
    <s v=" cancelled"/>
    <x v="3"/>
    <s v="Premium Perfume Model X23"/>
    <x v="4"/>
    <n v="767.78"/>
    <x v="61"/>
  </r>
  <r>
    <x v="1195"/>
    <x v="64"/>
    <s v="PROD-APPA-042"/>
    <n v="1"/>
    <x v="1195"/>
    <x v="1"/>
    <x v="4"/>
    <x v="2"/>
    <s v="   delivered "/>
    <x v="0"/>
    <s v="Jeans Model Q42"/>
    <x v="1"/>
    <n v="82.57"/>
    <x v="95"/>
  </r>
  <r>
    <x v="1196"/>
    <x v="288"/>
    <s v="PROD-LUXU-003"/>
    <n v="5"/>
    <x v="1196"/>
    <x v="0"/>
    <x v="6"/>
    <x v="2"/>
    <s v=" disputed  "/>
    <x v="5"/>
    <s v="Designer Watch Model D3"/>
    <x v="4"/>
    <n v="1599.08"/>
    <x v="355"/>
  </r>
  <r>
    <x v="1197"/>
    <x v="41"/>
    <s v="PROD-HOME-094"/>
    <n v="3"/>
    <x v="1197"/>
    <x v="0"/>
    <x v="4"/>
    <x v="0"/>
    <s v="   delivered "/>
    <x v="0"/>
    <s v="Blender Model Q94"/>
    <x v="3"/>
    <n v="129.13"/>
    <x v="184"/>
  </r>
  <r>
    <x v="1198"/>
    <x v="132"/>
    <s v="PROD-ELEC-078"/>
    <n v="5"/>
    <x v="1198"/>
    <x v="1"/>
    <x v="3"/>
    <x v="2"/>
    <s v="REFUNDED "/>
    <x v="4"/>
    <s v="Mouse Model A78"/>
    <x v="0"/>
    <n v="141.34"/>
    <x v="218"/>
  </r>
  <r>
    <x v="1199"/>
    <x v="102"/>
    <s v="PROD-ELEC-031"/>
    <n v="5"/>
    <x v="1199"/>
    <x v="2"/>
    <x v="5"/>
    <x v="4"/>
    <s v="REFUNDED "/>
    <x v="4"/>
    <s v="Webcam Model F31"/>
    <x v="0"/>
    <n v="184.37"/>
    <x v="443"/>
  </r>
  <r>
    <x v="1200"/>
    <x v="190"/>
    <s v="PROD-DIGI-053"/>
    <n v="1"/>
    <x v="1200"/>
    <x v="0"/>
    <x v="1"/>
    <x v="2"/>
    <s v="REFUNDED "/>
    <x v="4"/>
    <s v="Premium Stream 1M Model B53"/>
    <x v="2"/>
    <n v="13.87"/>
    <x v="3"/>
  </r>
  <r>
    <x v="1201"/>
    <x v="275"/>
    <s v="PROD-LUXU-048"/>
    <n v="4"/>
    <x v="1201"/>
    <x v="2"/>
    <x v="2"/>
    <x v="2"/>
    <s v=" disputed  "/>
    <x v="5"/>
    <s v="Leather Handbag Model W48"/>
    <x v="4"/>
    <n v="315.82"/>
    <x v="91"/>
  </r>
  <r>
    <x v="1202"/>
    <x v="221"/>
    <s v="PROD-DIGI-022"/>
    <n v="1"/>
    <x v="1202"/>
    <x v="2"/>
    <x v="5"/>
    <x v="2"/>
    <s v="PENDING_REVIEW"/>
    <x v="2"/>
    <s v="E-Book Access Model W22"/>
    <x v="2"/>
    <n v="11.22"/>
    <x v="213"/>
  </r>
  <r>
    <x v="1203"/>
    <x v="150"/>
    <s v="PROD-HOME-106"/>
    <n v="1"/>
    <x v="1203"/>
    <x v="1"/>
    <x v="4"/>
    <x v="0"/>
    <s v="PENDING_REVIEW"/>
    <x v="2"/>
    <s v="Blender Model C106"/>
    <x v="3"/>
    <n v="112.89"/>
    <x v="206"/>
  </r>
  <r>
    <x v="1204"/>
    <x v="174"/>
    <s v="PROD-APPA-043"/>
    <n v="2"/>
    <x v="1204"/>
    <x v="0"/>
    <x v="0"/>
    <x v="0"/>
    <s v="SHIPPED  "/>
    <x v="1"/>
    <s v="Hoodie Model R43"/>
    <x v="1"/>
    <n v="68.040000000000006"/>
    <x v="39"/>
  </r>
  <r>
    <x v="1205"/>
    <x v="52"/>
    <s v="PROD-APPA-037"/>
    <n v="5"/>
    <x v="1205"/>
    <x v="2"/>
    <x v="3"/>
    <x v="4"/>
    <s v=" disputed  "/>
    <x v="5"/>
    <s v="Jacket Model L37"/>
    <x v="1"/>
    <n v="114.88"/>
    <x v="444"/>
  </r>
  <r>
    <x v="1206"/>
    <x v="200"/>
    <s v="PROD-DIGI-011"/>
    <n v="1"/>
    <x v="1206"/>
    <x v="1"/>
    <x v="4"/>
    <x v="0"/>
    <s v="REFUNDED "/>
    <x v="4"/>
    <s v="VPN 6-Month Pass Model L11"/>
    <x v="2"/>
    <n v="16.73"/>
    <x v="151"/>
  </r>
  <r>
    <x v="1207"/>
    <x v="7"/>
    <s v="PROD-LUXU-092"/>
    <n v="5"/>
    <x v="1207"/>
    <x v="3"/>
    <x v="2"/>
    <x v="2"/>
    <s v="PENDING_REVIEW"/>
    <x v="2"/>
    <s v="Leather Handbag Model O92"/>
    <x v="4"/>
    <n v="1245.53"/>
    <x v="201"/>
  </r>
  <r>
    <x v="1208"/>
    <x v="198"/>
    <s v="PROD-DIGI-051"/>
    <n v="1"/>
    <x v="1208"/>
    <x v="0"/>
    <x v="3"/>
    <x v="4"/>
    <s v=" disputed  "/>
    <x v="5"/>
    <s v="Premium Stream 1M Model Z51"/>
    <x v="2"/>
    <n v="55.69"/>
    <x v="110"/>
  </r>
  <r>
    <x v="1209"/>
    <x v="12"/>
    <s v="PROD-ELEC-067"/>
    <n v="1"/>
    <x v="1209"/>
    <x v="0"/>
    <x v="4"/>
    <x v="2"/>
    <s v="PENDING_REVIEW"/>
    <x v="2"/>
    <s v="Cable Model P67"/>
    <x v="0"/>
    <n v="187.9"/>
    <x v="106"/>
  </r>
  <r>
    <x v="1210"/>
    <x v="252"/>
    <s v="PROD-LUXU-020"/>
    <n v="1"/>
    <x v="1210"/>
    <x v="2"/>
    <x v="3"/>
    <x v="4"/>
    <s v="REFUNDED "/>
    <x v="4"/>
    <s v="Leather Handbag Model U20"/>
    <x v="4"/>
    <n v="1806.15"/>
    <x v="347"/>
  </r>
  <r>
    <x v="1211"/>
    <x v="233"/>
    <s v="PROD-APPA-071"/>
    <n v="1"/>
    <x v="1211"/>
    <x v="4"/>
    <x v="6"/>
    <x v="2"/>
    <s v="   delivered "/>
    <x v="0"/>
    <s v="Socks Model T71"/>
    <x v="1"/>
    <n v="23.19"/>
    <x v="445"/>
  </r>
  <r>
    <x v="1212"/>
    <x v="170"/>
    <s v="PROD-HOME-102"/>
    <n v="5"/>
    <x v="1212"/>
    <x v="2"/>
    <x v="5"/>
    <x v="4"/>
    <s v="PENDING_REVIEW"/>
    <x v="2"/>
    <s v="Organizer Model Y102"/>
    <x v="3"/>
    <n v="147.26"/>
    <x v="446"/>
  </r>
  <r>
    <x v="1213"/>
    <x v="29"/>
    <s v="PROD-HOME-016"/>
    <n v="1"/>
    <x v="1213"/>
    <x v="1"/>
    <x v="5"/>
    <x v="3"/>
    <s v=" disputed  "/>
    <x v="5"/>
    <s v="Blender Model Q16"/>
    <x v="3"/>
    <n v="79.23"/>
    <x v="150"/>
  </r>
  <r>
    <x v="1214"/>
    <x v="119"/>
    <s v="PROD-HOME-009"/>
    <n v="1"/>
    <x v="1214"/>
    <x v="2"/>
    <x v="3"/>
    <x v="4"/>
    <s v="REFUNDED "/>
    <x v="4"/>
    <s v="Coffee Maker Model J9"/>
    <x v="3"/>
    <n v="34.840000000000003"/>
    <x v="30"/>
  </r>
  <r>
    <x v="1215"/>
    <x v="98"/>
    <s v="PROD-DIGI-064"/>
    <n v="1"/>
    <x v="1215"/>
    <x v="1"/>
    <x v="0"/>
    <x v="0"/>
    <s v="   delivered "/>
    <x v="0"/>
    <s v="E-Book Access Model M64"/>
    <x v="2"/>
    <n v="92.09"/>
    <x v="351"/>
  </r>
  <r>
    <x v="1216"/>
    <x v="127"/>
    <s v="PROD-APPA-027"/>
    <n v="1"/>
    <x v="1216"/>
    <x v="1"/>
    <x v="1"/>
    <x v="2"/>
    <s v="   delivered "/>
    <x v="0"/>
    <s v="Jacket Model B27"/>
    <x v="1"/>
    <n v="64.290000000000006"/>
    <x v="209"/>
  </r>
  <r>
    <x v="1217"/>
    <x v="23"/>
    <s v="PROD-DIGI-090"/>
    <n v="1"/>
    <x v="1217"/>
    <x v="1"/>
    <x v="2"/>
    <x v="2"/>
    <s v="   delivered "/>
    <x v="0"/>
    <s v="VPN 6-Month Pass Model M90"/>
    <x v="2"/>
    <n v="5.91"/>
    <x v="126"/>
  </r>
  <r>
    <x v="1218"/>
    <x v="166"/>
    <s v="PROD-HOME-089"/>
    <n v="1"/>
    <x v="1218"/>
    <x v="1"/>
    <x v="4"/>
    <x v="1"/>
    <s v="   delivered "/>
    <x v="0"/>
    <s v="Blender Model L89"/>
    <x v="3"/>
    <n v="138.6"/>
    <x v="53"/>
  </r>
  <r>
    <x v="1219"/>
    <x v="152"/>
    <s v="PROD-ELEC-126"/>
    <n v="2"/>
    <x v="1219"/>
    <x v="0"/>
    <x v="6"/>
    <x v="2"/>
    <s v="SHIPPED  "/>
    <x v="1"/>
    <s v="Smartwatch Model W126"/>
    <x v="0"/>
    <n v="114.91"/>
    <x v="313"/>
  </r>
  <r>
    <x v="1220"/>
    <x v="259"/>
    <s v="PROD-DIGI-105"/>
    <n v="1"/>
    <x v="1220"/>
    <x v="1"/>
    <x v="2"/>
    <x v="2"/>
    <s v="SHIPPED  "/>
    <x v="1"/>
    <s v="VPN 6-Month Pass Model B105"/>
    <x v="2"/>
    <n v="36.130000000000003"/>
    <x v="79"/>
  </r>
  <r>
    <x v="1221"/>
    <x v="64"/>
    <s v="PROD-HOME-093"/>
    <n v="1"/>
    <x v="1221"/>
    <x v="1"/>
    <x v="2"/>
    <x v="2"/>
    <s v="   delivered "/>
    <x v="0"/>
    <s v="Organizer Model P93"/>
    <x v="3"/>
    <n v="175.55"/>
    <x v="123"/>
  </r>
  <r>
    <x v="1222"/>
    <x v="132"/>
    <s v="PROD-ELEC-047"/>
    <n v="5"/>
    <x v="1222"/>
    <x v="1"/>
    <x v="3"/>
    <x v="4"/>
    <s v=" cancelled"/>
    <x v="3"/>
    <s v="Headphones Model V47"/>
    <x v="0"/>
    <n v="19.940000000000001"/>
    <x v="447"/>
  </r>
  <r>
    <x v="1223"/>
    <x v="241"/>
    <s v="PROD-LUXU-123"/>
    <n v="4"/>
    <x v="1223"/>
    <x v="2"/>
    <x v="6"/>
    <x v="2"/>
    <s v=" cancelled"/>
    <x v="3"/>
    <s v="Designer Watch Model T123"/>
    <x v="4"/>
    <n v="1301.92"/>
    <x v="261"/>
  </r>
  <r>
    <x v="1224"/>
    <x v="32"/>
    <s v="PROD-ELEC-107"/>
    <n v="1"/>
    <x v="1224"/>
    <x v="1"/>
    <x v="6"/>
    <x v="0"/>
    <s v="   delivered "/>
    <x v="0"/>
    <s v="Mouse Model D107"/>
    <x v="0"/>
    <n v="155.19"/>
    <x v="112"/>
  </r>
  <r>
    <x v="1225"/>
    <x v="129"/>
    <s v="PROD-APPA-101"/>
    <n v="2"/>
    <x v="1225"/>
    <x v="1"/>
    <x v="1"/>
    <x v="2"/>
    <s v=" cancelled"/>
    <x v="3"/>
    <s v="Jeans Model X101"/>
    <x v="1"/>
    <n v="99.82"/>
    <x v="448"/>
  </r>
  <r>
    <x v="1226"/>
    <x v="215"/>
    <s v="PROD-HOME-081"/>
    <n v="5"/>
    <x v="1226"/>
    <x v="0"/>
    <x v="3"/>
    <x v="2"/>
    <s v=" disputed  "/>
    <x v="5"/>
    <s v="Desk Lamp Model D81"/>
    <x v="3"/>
    <n v="177.42"/>
    <x v="449"/>
  </r>
  <r>
    <x v="1227"/>
    <x v="184"/>
    <s v="PROD-LUXU-147"/>
    <n v="1"/>
    <x v="1227"/>
    <x v="3"/>
    <x v="3"/>
    <x v="2"/>
    <s v=" cancelled"/>
    <x v="3"/>
    <s v="Designer Watch Model R147"/>
    <x v="4"/>
    <n v="484.68"/>
    <x v="254"/>
  </r>
  <r>
    <x v="1228"/>
    <x v="154"/>
    <s v="PROD-DIGI-114"/>
    <n v="1"/>
    <x v="1228"/>
    <x v="0"/>
    <x v="2"/>
    <x v="2"/>
    <s v="   delivered "/>
    <x v="0"/>
    <s v="E-Book Access Model K114"/>
    <x v="2"/>
    <n v="57.11"/>
    <x v="298"/>
  </r>
  <r>
    <x v="1229"/>
    <x v="30"/>
    <s v="PROD-APPA-070"/>
    <n v="1"/>
    <x v="1229"/>
    <x v="2"/>
    <x v="5"/>
    <x v="3"/>
    <s v=" disputed  "/>
    <x v="5"/>
    <s v="T-Shirt Model S70"/>
    <x v="1"/>
    <n v="75.45"/>
    <x v="161"/>
  </r>
  <r>
    <x v="1230"/>
    <x v="134"/>
    <s v="PROD-LUXU-020"/>
    <n v="1"/>
    <x v="1230"/>
    <x v="1"/>
    <x v="1"/>
    <x v="4"/>
    <s v=" cancelled"/>
    <x v="3"/>
    <s v="Leather Handbag Model U20"/>
    <x v="4"/>
    <n v="1806.15"/>
    <x v="347"/>
  </r>
  <r>
    <x v="1231"/>
    <x v="16"/>
    <s v="PROD-APPA-122"/>
    <n v="4"/>
    <x v="1231"/>
    <x v="0"/>
    <x v="5"/>
    <x v="3"/>
    <s v=" cancelled"/>
    <x v="3"/>
    <s v="T-Shirt Model S122"/>
    <x v="1"/>
    <n v="15.08"/>
    <x v="450"/>
  </r>
  <r>
    <x v="1232"/>
    <x v="211"/>
    <s v="PROD-HOME-138"/>
    <n v="2"/>
    <x v="1232"/>
    <x v="1"/>
    <x v="1"/>
    <x v="0"/>
    <s v="   delivered "/>
    <x v="0"/>
    <s v="Desk Lamp Model I138"/>
    <x v="3"/>
    <n v="94.55"/>
    <x v="146"/>
  </r>
  <r>
    <x v="1233"/>
    <x v="134"/>
    <s v="PROD-APPA-071"/>
    <n v="1"/>
    <x v="1233"/>
    <x v="0"/>
    <x v="5"/>
    <x v="3"/>
    <s v=" disputed  "/>
    <x v="5"/>
    <s v="Socks Model T71"/>
    <x v="1"/>
    <n v="23.19"/>
    <x v="445"/>
  </r>
  <r>
    <x v="1234"/>
    <x v="66"/>
    <s v="PROD-LUXU-069"/>
    <n v="5"/>
    <x v="1234"/>
    <x v="2"/>
    <x v="4"/>
    <x v="2"/>
    <s v="REFUNDED "/>
    <x v="4"/>
    <s v="Leather Handbag Model R69"/>
    <x v="4"/>
    <n v="425.14"/>
    <x v="326"/>
  </r>
  <r>
    <x v="1235"/>
    <x v="21"/>
    <s v="PROD-ELEC-103"/>
    <n v="1"/>
    <x v="1235"/>
    <x v="0"/>
    <x v="2"/>
    <x v="0"/>
    <s v="   delivered "/>
    <x v="0"/>
    <s v="Webcam Model Z103"/>
    <x v="0"/>
    <n v="60.39"/>
    <x v="96"/>
  </r>
  <r>
    <x v="1236"/>
    <x v="83"/>
    <s v="PROD-ELEC-107"/>
    <n v="2"/>
    <x v="1236"/>
    <x v="1"/>
    <x v="0"/>
    <x v="1"/>
    <s v="   delivered "/>
    <x v="0"/>
    <s v="Mouse Model D107"/>
    <x v="0"/>
    <n v="155.19"/>
    <x v="382"/>
  </r>
  <r>
    <x v="1237"/>
    <x v="100"/>
    <s v="PROD-APPA-070"/>
    <n v="1"/>
    <x v="1237"/>
    <x v="1"/>
    <x v="0"/>
    <x v="2"/>
    <s v="   delivered "/>
    <x v="0"/>
    <s v="T-Shirt Model S70"/>
    <x v="1"/>
    <n v="75.45"/>
    <x v="161"/>
  </r>
  <r>
    <x v="1238"/>
    <x v="284"/>
    <s v="PROD-ELEC-035"/>
    <n v="4"/>
    <x v="1238"/>
    <x v="1"/>
    <x v="5"/>
    <x v="2"/>
    <s v="REFUNDED "/>
    <x v="4"/>
    <s v="Smartwatch Model J35"/>
    <x v="0"/>
    <n v="161.94999999999999"/>
    <x v="133"/>
  </r>
  <r>
    <x v="1239"/>
    <x v="152"/>
    <s v="PROD-HOME-034"/>
    <n v="2"/>
    <x v="1239"/>
    <x v="1"/>
    <x v="6"/>
    <x v="1"/>
    <s v="   delivered "/>
    <x v="0"/>
    <s v="Desk Lamp Model I34"/>
    <x v="3"/>
    <n v="141.91"/>
    <x v="189"/>
  </r>
  <r>
    <x v="1240"/>
    <x v="173"/>
    <s v="PROD-DIGI-130"/>
    <n v="1"/>
    <x v="1240"/>
    <x v="0"/>
    <x v="4"/>
    <x v="2"/>
    <s v="   delivered "/>
    <x v="0"/>
    <s v="VPN 6-Month Pass Model A130"/>
    <x v="2"/>
    <n v="81.61"/>
    <x v="236"/>
  </r>
  <r>
    <x v="1241"/>
    <x v="74"/>
    <s v="PROD-HOME-093"/>
    <n v="1"/>
    <x v="1241"/>
    <x v="0"/>
    <x v="2"/>
    <x v="2"/>
    <s v="   delivered "/>
    <x v="0"/>
    <s v="Organizer Model P93"/>
    <x v="3"/>
    <n v="175.55"/>
    <x v="123"/>
  </r>
  <r>
    <x v="1242"/>
    <x v="259"/>
    <s v="PROD-APPA-137"/>
    <n v="1"/>
    <x v="1242"/>
    <x v="0"/>
    <x v="4"/>
    <x v="2"/>
    <s v="   delivered "/>
    <x v="0"/>
    <s v="Sneakers Model H137"/>
    <x v="1"/>
    <n v="33.53"/>
    <x v="1"/>
  </r>
  <r>
    <x v="1243"/>
    <x v="51"/>
    <s v="PROD-ELEC-059"/>
    <n v="4"/>
    <x v="1243"/>
    <x v="1"/>
    <x v="5"/>
    <x v="4"/>
    <s v=" disputed  "/>
    <x v="5"/>
    <s v="Charger Model H59"/>
    <x v="0"/>
    <n v="204.89"/>
    <x v="451"/>
  </r>
  <r>
    <x v="1244"/>
    <x v="214"/>
    <s v="PROD-DIGI-105"/>
    <n v="2"/>
    <x v="1244"/>
    <x v="0"/>
    <x v="0"/>
    <x v="0"/>
    <s v="   delivered "/>
    <x v="0"/>
    <s v="VPN 6-Month Pass Model B105"/>
    <x v="2"/>
    <n v="36.130000000000003"/>
    <x v="107"/>
  </r>
  <r>
    <x v="1245"/>
    <x v="222"/>
    <s v="PROD-ELEC-100"/>
    <n v="1"/>
    <x v="1245"/>
    <x v="1"/>
    <x v="0"/>
    <x v="0"/>
    <s v="REFUNDED "/>
    <x v="4"/>
    <s v="Charger Model W100"/>
    <x v="0"/>
    <n v="219.96"/>
    <x v="239"/>
  </r>
  <r>
    <x v="1246"/>
    <x v="165"/>
    <s v="PROD-APPA-119"/>
    <n v="5"/>
    <x v="1246"/>
    <x v="0"/>
    <x v="3"/>
    <x v="3"/>
    <s v="REFUNDED "/>
    <x v="4"/>
    <s v="Sneakers Model P119"/>
    <x v="1"/>
    <n v="19.329999999999998"/>
    <x v="276"/>
  </r>
  <r>
    <x v="1247"/>
    <x v="175"/>
    <s v="PROD-HOME-133"/>
    <n v="1"/>
    <x v="1247"/>
    <x v="0"/>
    <x v="0"/>
    <x v="0"/>
    <s v="   delivered "/>
    <x v="0"/>
    <s v="Organizer Model D133"/>
    <x v="3"/>
    <n v="144.43"/>
    <x v="327"/>
  </r>
  <r>
    <x v="1248"/>
    <x v="14"/>
    <s v="PROD-HOME-068"/>
    <n v="1"/>
    <x v="1248"/>
    <x v="1"/>
    <x v="0"/>
    <x v="2"/>
    <s v="   delivered "/>
    <x v="0"/>
    <s v="Coffee Maker Model Q68"/>
    <x v="3"/>
    <n v="28.02"/>
    <x v="41"/>
  </r>
  <r>
    <x v="1249"/>
    <x v="138"/>
    <s v="PROD-LUXU-005"/>
    <n v="4"/>
    <x v="1249"/>
    <x v="1"/>
    <x v="6"/>
    <x v="2"/>
    <s v=" cancelled"/>
    <x v="3"/>
    <s v="Leather Handbag Model F5"/>
    <x v="4"/>
    <n v="1875.24"/>
    <x v="162"/>
  </r>
  <r>
    <x v="1250"/>
    <x v="162"/>
    <s v="PROD-APPA-072"/>
    <n v="1"/>
    <x v="1250"/>
    <x v="0"/>
    <x v="5"/>
    <x v="3"/>
    <s v="PENDING_REVIEW"/>
    <x v="2"/>
    <s v="Jacket Model U72"/>
    <x v="1"/>
    <n v="75.400000000000006"/>
    <x v="19"/>
  </r>
  <r>
    <x v="1251"/>
    <x v="182"/>
    <s v="PROD-DIGI-053"/>
    <n v="4"/>
    <x v="1251"/>
    <x v="0"/>
    <x v="5"/>
    <x v="3"/>
    <s v=" disputed  "/>
    <x v="5"/>
    <s v="Premium Stream 1M Model B53"/>
    <x v="2"/>
    <n v="13.87"/>
    <x v="452"/>
  </r>
  <r>
    <x v="1252"/>
    <x v="62"/>
    <s v="PROD-APPA-070"/>
    <n v="1"/>
    <x v="1252"/>
    <x v="1"/>
    <x v="4"/>
    <x v="0"/>
    <s v="   delivered "/>
    <x v="0"/>
    <s v="T-Shirt Model S70"/>
    <x v="1"/>
    <n v="75.45"/>
    <x v="161"/>
  </r>
  <r>
    <x v="1253"/>
    <x v="143"/>
    <s v="PROD-LUXU-026"/>
    <n v="4"/>
    <x v="1253"/>
    <x v="1"/>
    <x v="0"/>
    <x v="4"/>
    <s v=" cancelled"/>
    <x v="3"/>
    <s v="Gold Bracelet Model A26"/>
    <x v="4"/>
    <n v="1096.3900000000001"/>
    <x v="453"/>
  </r>
  <r>
    <x v="1254"/>
    <x v="41"/>
    <s v="PROD-LUXU-116"/>
    <n v="5"/>
    <x v="1254"/>
    <x v="3"/>
    <x v="6"/>
    <x v="3"/>
    <s v="PENDING_REVIEW"/>
    <x v="2"/>
    <s v="Designer Watch Model M116"/>
    <x v="4"/>
    <n v="968.52"/>
    <x v="404"/>
  </r>
  <r>
    <x v="1255"/>
    <x v="175"/>
    <s v="PROD-APPA-091"/>
    <n v="2"/>
    <x v="1255"/>
    <x v="0"/>
    <x v="2"/>
    <x v="0"/>
    <s v="REFUNDED "/>
    <x v="4"/>
    <s v="Jacket Model N91"/>
    <x v="1"/>
    <n v="13.96"/>
    <x v="454"/>
  </r>
  <r>
    <x v="1256"/>
    <x v="128"/>
    <s v="PROD-LUXU-020"/>
    <n v="4"/>
    <x v="1256"/>
    <x v="0"/>
    <x v="6"/>
    <x v="4"/>
    <s v=" disputed  "/>
    <x v="5"/>
    <s v="Leather Handbag Model U20"/>
    <x v="4"/>
    <n v="1806.15"/>
    <x v="67"/>
  </r>
  <r>
    <x v="1257"/>
    <x v="227"/>
    <s v="PROD-HOME-016"/>
    <n v="1"/>
    <x v="1257"/>
    <x v="1"/>
    <x v="0"/>
    <x v="0"/>
    <s v="   delivered "/>
    <x v="0"/>
    <s v="Blender Model Q16"/>
    <x v="3"/>
    <n v="79.23"/>
    <x v="150"/>
  </r>
  <r>
    <x v="1258"/>
    <x v="106"/>
    <s v="PROD-LUXU-123"/>
    <n v="5"/>
    <x v="1258"/>
    <x v="1"/>
    <x v="1"/>
    <x v="2"/>
    <s v="PENDING_REVIEW"/>
    <x v="2"/>
    <s v="Designer Watch Model T123"/>
    <x v="4"/>
    <n v="1301.92"/>
    <x v="222"/>
  </r>
  <r>
    <x v="1259"/>
    <x v="297"/>
    <s v="PROD-LUXU-120"/>
    <n v="1"/>
    <x v="1259"/>
    <x v="3"/>
    <x v="4"/>
    <x v="4"/>
    <s v="REFUNDED "/>
    <x v="4"/>
    <s v="Premium Perfume Model Q120"/>
    <x v="4"/>
    <n v="505.45"/>
    <x v="46"/>
  </r>
  <r>
    <x v="1260"/>
    <x v="152"/>
    <s v="PROD-ELEC-049"/>
    <n v="1"/>
    <x v="1260"/>
    <x v="0"/>
    <x v="1"/>
    <x v="0"/>
    <s v="SHIPPED  "/>
    <x v="1"/>
    <s v="Keyboard Model X49"/>
    <x v="0"/>
    <n v="30.84"/>
    <x v="288"/>
  </r>
  <r>
    <x v="1261"/>
    <x v="123"/>
    <s v="PROD-ELEC-098"/>
    <n v="1"/>
    <x v="1261"/>
    <x v="4"/>
    <x v="0"/>
    <x v="2"/>
    <s v="   delivered "/>
    <x v="0"/>
    <s v="Keyboard Model U98"/>
    <x v="0"/>
    <n v="188.09"/>
    <x v="70"/>
  </r>
  <r>
    <x v="1262"/>
    <x v="16"/>
    <s v="PROD-APPA-119"/>
    <n v="3"/>
    <x v="1262"/>
    <x v="4"/>
    <x v="4"/>
    <x v="1"/>
    <s v="   delivered "/>
    <x v="0"/>
    <s v="Sneakers Model P119"/>
    <x v="1"/>
    <n v="19.329999999999998"/>
    <x v="76"/>
  </r>
  <r>
    <x v="1263"/>
    <x v="138"/>
    <s v="PROD-HOME-080"/>
    <n v="1"/>
    <x v="1263"/>
    <x v="1"/>
    <x v="0"/>
    <x v="2"/>
    <s v="   delivered "/>
    <x v="0"/>
    <s v="Toaster Model C80"/>
    <x v="3"/>
    <n v="45.24"/>
    <x v="73"/>
  </r>
  <r>
    <x v="1264"/>
    <x v="122"/>
    <s v="PROD-ELEC-061"/>
    <n v="1"/>
    <x v="1264"/>
    <x v="1"/>
    <x v="6"/>
    <x v="0"/>
    <s v="   delivered "/>
    <x v="0"/>
    <s v="Mouse Model J61"/>
    <x v="0"/>
    <n v="232.7"/>
    <x v="109"/>
  </r>
  <r>
    <x v="1265"/>
    <x v="92"/>
    <s v="PROD-DIGI-063"/>
    <n v="1"/>
    <x v="1265"/>
    <x v="1"/>
    <x v="0"/>
    <x v="1"/>
    <s v="   delivered "/>
    <x v="0"/>
    <s v="Cloud Storage Basic Model L63"/>
    <x v="2"/>
    <n v="20.48"/>
    <x v="60"/>
  </r>
  <r>
    <x v="1266"/>
    <x v="214"/>
    <s v="PROD-HOME-094"/>
    <n v="4"/>
    <x v="1266"/>
    <x v="2"/>
    <x v="3"/>
    <x v="3"/>
    <s v="REFUNDED "/>
    <x v="4"/>
    <s v="Blender Model Q94"/>
    <x v="3"/>
    <n v="129.13"/>
    <x v="455"/>
  </r>
  <r>
    <x v="1267"/>
    <x v="278"/>
    <s v="PROD-ELEC-083"/>
    <n v="2"/>
    <x v="1267"/>
    <x v="1"/>
    <x v="0"/>
    <x v="1"/>
    <s v=" disputed  "/>
    <x v="5"/>
    <s v="Keyboard Model F83"/>
    <x v="0"/>
    <n v="77.150000000000006"/>
    <x v="456"/>
  </r>
  <r>
    <x v="1268"/>
    <x v="97"/>
    <s v="PROD-LUXU-147"/>
    <n v="1"/>
    <x v="1268"/>
    <x v="1"/>
    <x v="1"/>
    <x v="3"/>
    <s v=" disputed  "/>
    <x v="5"/>
    <s v="Designer Watch Model R147"/>
    <x v="4"/>
    <n v="484.68"/>
    <x v="254"/>
  </r>
  <r>
    <x v="1269"/>
    <x v="14"/>
    <s v="PROD-APPA-058"/>
    <n v="1"/>
    <x v="1269"/>
    <x v="1"/>
    <x v="2"/>
    <x v="0"/>
    <s v="   delivered "/>
    <x v="0"/>
    <s v="Socks Model G58"/>
    <x v="1"/>
    <n v="30.18"/>
    <x v="55"/>
  </r>
  <r>
    <x v="1270"/>
    <x v="226"/>
    <s v="PROD-LUXU-052"/>
    <n v="4"/>
    <x v="1270"/>
    <x v="3"/>
    <x v="3"/>
    <x v="2"/>
    <s v=" cancelled"/>
    <x v="3"/>
    <s v="Silk Scarf Model A52"/>
    <x v="4"/>
    <n v="1339.88"/>
    <x v="51"/>
  </r>
  <r>
    <x v="1271"/>
    <x v="70"/>
    <s v="PROD-LUXU-123"/>
    <n v="1"/>
    <x v="1271"/>
    <x v="0"/>
    <x v="5"/>
    <x v="3"/>
    <s v="PENDING_REVIEW"/>
    <x v="2"/>
    <s v="Designer Watch Model T123"/>
    <x v="4"/>
    <n v="1301.92"/>
    <x v="457"/>
  </r>
  <r>
    <x v="1272"/>
    <x v="19"/>
    <s v="PROD-HOME-089"/>
    <n v="1"/>
    <x v="1272"/>
    <x v="1"/>
    <x v="0"/>
    <x v="2"/>
    <s v="   delivered "/>
    <x v="0"/>
    <s v="Blender Model L89"/>
    <x v="3"/>
    <n v="138.6"/>
    <x v="53"/>
  </r>
  <r>
    <x v="1273"/>
    <x v="40"/>
    <s v="PROD-DIGI-118"/>
    <n v="1"/>
    <x v="1273"/>
    <x v="1"/>
    <x v="6"/>
    <x v="0"/>
    <s v="   delivered "/>
    <x v="0"/>
    <s v="Premium Stream 1M Model O118"/>
    <x v="2"/>
    <n v="53.05"/>
    <x v="98"/>
  </r>
  <r>
    <x v="1274"/>
    <x v="71"/>
    <s v="PROD-LUXU-066"/>
    <n v="5"/>
    <x v="1274"/>
    <x v="1"/>
    <x v="2"/>
    <x v="4"/>
    <s v=" disputed  "/>
    <x v="5"/>
    <s v="Gold Bracelet Model O66"/>
    <x v="4"/>
    <n v="640.54999999999995"/>
    <x v="118"/>
  </r>
  <r>
    <x v="1275"/>
    <x v="1"/>
    <s v="PROD-APPA-119"/>
    <n v="1"/>
    <x v="533"/>
    <x v="1"/>
    <x v="2"/>
    <x v="2"/>
    <s v="   delivered "/>
    <x v="0"/>
    <s v="Sneakers Model P119"/>
    <x v="1"/>
    <n v="19.329999999999998"/>
    <x v="87"/>
  </r>
  <r>
    <x v="1276"/>
    <x v="124"/>
    <s v="PROD-LUXU-082"/>
    <n v="5"/>
    <x v="1275"/>
    <x v="3"/>
    <x v="2"/>
    <x v="3"/>
    <s v=" cancelled"/>
    <x v="3"/>
    <s v="Designer Watch Model E82"/>
    <x v="4"/>
    <n v="1769.3"/>
    <x v="183"/>
  </r>
  <r>
    <x v="1277"/>
    <x v="135"/>
    <s v="PROD-LUXU-036"/>
    <n v="1"/>
    <x v="1276"/>
    <x v="1"/>
    <x v="2"/>
    <x v="2"/>
    <s v=" disputed  "/>
    <x v="5"/>
    <s v="Silk Scarf Model K36"/>
    <x v="4"/>
    <n v="737.6"/>
    <x v="307"/>
  </r>
  <r>
    <x v="1278"/>
    <x v="149"/>
    <s v="PROD-ELEC-100"/>
    <n v="1"/>
    <x v="1277"/>
    <x v="1"/>
    <x v="6"/>
    <x v="2"/>
    <s v=" disputed  "/>
    <x v="5"/>
    <s v="Charger Model W100"/>
    <x v="0"/>
    <n v="219.96"/>
    <x v="239"/>
  </r>
  <r>
    <x v="1279"/>
    <x v="298"/>
    <s v="PROD-ELEC-012"/>
    <n v="1"/>
    <x v="1278"/>
    <x v="0"/>
    <x v="2"/>
    <x v="0"/>
    <s v="   delivered "/>
    <x v="0"/>
    <s v="Cable Model M12"/>
    <x v="0"/>
    <n v="83.9"/>
    <x v="170"/>
  </r>
  <r>
    <x v="1280"/>
    <x v="209"/>
    <s v="PROD-ELEC-140"/>
    <n v="2"/>
    <x v="1279"/>
    <x v="0"/>
    <x v="4"/>
    <x v="2"/>
    <s v="REFUNDED "/>
    <x v="4"/>
    <s v="Smartwatch Model K140"/>
    <x v="0"/>
    <n v="221.95"/>
    <x v="458"/>
  </r>
  <r>
    <x v="1281"/>
    <x v="142"/>
    <s v="PROD-ELEC-087"/>
    <n v="1"/>
    <x v="1280"/>
    <x v="0"/>
    <x v="0"/>
    <x v="1"/>
    <s v="   delivered "/>
    <x v="0"/>
    <s v="Mouse Model J87"/>
    <x v="0"/>
    <n v="164.06"/>
    <x v="25"/>
  </r>
  <r>
    <x v="1282"/>
    <x v="10"/>
    <s v="PROD-DIGI-073"/>
    <n v="1"/>
    <x v="1281"/>
    <x v="1"/>
    <x v="1"/>
    <x v="2"/>
    <s v="SHIPPED  "/>
    <x v="1"/>
    <s v="VPN 6-Month Pass Model V73"/>
    <x v="2"/>
    <n v="58.13"/>
    <x v="21"/>
  </r>
  <r>
    <x v="1283"/>
    <x v="228"/>
    <s v="PROD-HOME-089"/>
    <n v="1"/>
    <x v="1282"/>
    <x v="1"/>
    <x v="1"/>
    <x v="1"/>
    <s v="   delivered "/>
    <x v="0"/>
    <s v="Blender Model L89"/>
    <x v="3"/>
    <n v="138.6"/>
    <x v="53"/>
  </r>
  <r>
    <x v="1284"/>
    <x v="232"/>
    <s v="PROD-APPA-070"/>
    <n v="1"/>
    <x v="1283"/>
    <x v="1"/>
    <x v="2"/>
    <x v="2"/>
    <s v="   delivered "/>
    <x v="0"/>
    <s v="T-Shirt Model S70"/>
    <x v="1"/>
    <n v="75.45"/>
    <x v="161"/>
  </r>
  <r>
    <x v="1285"/>
    <x v="275"/>
    <s v="PROD-LUXU-084"/>
    <n v="4"/>
    <x v="1284"/>
    <x v="1"/>
    <x v="0"/>
    <x v="4"/>
    <s v=" cancelled"/>
    <x v="3"/>
    <s v="Leather Handbag Model G84"/>
    <x v="4"/>
    <n v="899.17"/>
    <x v="337"/>
  </r>
  <r>
    <x v="1286"/>
    <x v="37"/>
    <s v="PROD-LUXU-124"/>
    <n v="4"/>
    <x v="1285"/>
    <x v="2"/>
    <x v="2"/>
    <x v="3"/>
    <s v="PENDING_REVIEW"/>
    <x v="2"/>
    <s v="Leather Handbag Model U124"/>
    <x v="4"/>
    <n v="1880.36"/>
    <x v="47"/>
  </r>
  <r>
    <x v="1287"/>
    <x v="59"/>
    <s v="PROD-APPA-027"/>
    <n v="2"/>
    <x v="1286"/>
    <x v="1"/>
    <x v="4"/>
    <x v="2"/>
    <s v="   delivered "/>
    <x v="0"/>
    <s v="Jacket Model B27"/>
    <x v="1"/>
    <n v="64.290000000000006"/>
    <x v="193"/>
  </r>
  <r>
    <x v="1288"/>
    <x v="63"/>
    <s v="PROD-DIGI-144"/>
    <n v="1"/>
    <x v="1287"/>
    <x v="1"/>
    <x v="1"/>
    <x v="0"/>
    <s v="   delivered "/>
    <x v="0"/>
    <s v="Cloud Storage Basic Model O144"/>
    <x v="2"/>
    <n v="41.55"/>
    <x v="33"/>
  </r>
  <r>
    <x v="1289"/>
    <x v="95"/>
    <s v="PROD-DIGI-011"/>
    <n v="2"/>
    <x v="1288"/>
    <x v="1"/>
    <x v="1"/>
    <x v="1"/>
    <s v="SHIPPED  "/>
    <x v="1"/>
    <s v="VPN 6-Month Pass Model L11"/>
    <x v="2"/>
    <n v="16.73"/>
    <x v="143"/>
  </r>
  <r>
    <x v="1290"/>
    <x v="145"/>
    <s v="PROD-HOME-017"/>
    <n v="1"/>
    <x v="1289"/>
    <x v="0"/>
    <x v="6"/>
    <x v="2"/>
    <s v=" disputed  "/>
    <x v="5"/>
    <s v="Pillow Model R17"/>
    <x v="3"/>
    <n v="169.86"/>
    <x v="56"/>
  </r>
  <r>
    <x v="1291"/>
    <x v="105"/>
    <s v="PROD-LUXU-123"/>
    <n v="1"/>
    <x v="1290"/>
    <x v="0"/>
    <x v="2"/>
    <x v="2"/>
    <s v="PENDING_REVIEW"/>
    <x v="2"/>
    <s v="Designer Watch Model T123"/>
    <x v="4"/>
    <n v="1301.92"/>
    <x v="457"/>
  </r>
  <r>
    <x v="1292"/>
    <x v="134"/>
    <s v="PROD-LUXU-116"/>
    <n v="4"/>
    <x v="1291"/>
    <x v="1"/>
    <x v="3"/>
    <x v="3"/>
    <s v=" disputed  "/>
    <x v="5"/>
    <s v="Designer Watch Model M116"/>
    <x v="4"/>
    <n v="968.52"/>
    <x v="159"/>
  </r>
  <r>
    <x v="1293"/>
    <x v="146"/>
    <s v="PROD-ELEC-057"/>
    <n v="2"/>
    <x v="1292"/>
    <x v="1"/>
    <x v="6"/>
    <x v="2"/>
    <s v="   delivered "/>
    <x v="0"/>
    <s v="Keyboard Model F57"/>
    <x v="0"/>
    <n v="60.02"/>
    <x v="413"/>
  </r>
  <r>
    <x v="1294"/>
    <x v="150"/>
    <s v="PROD-HOME-075"/>
    <n v="1"/>
    <x v="1293"/>
    <x v="1"/>
    <x v="4"/>
    <x v="2"/>
    <s v="   delivered "/>
    <x v="0"/>
    <s v="Mug Model X75"/>
    <x v="3"/>
    <n v="40.94"/>
    <x v="205"/>
  </r>
  <r>
    <x v="1295"/>
    <x v="130"/>
    <s v="PROD-ELEC-100"/>
    <n v="1"/>
    <x v="1294"/>
    <x v="0"/>
    <x v="0"/>
    <x v="2"/>
    <s v="   delivered "/>
    <x v="0"/>
    <s v="Charger Model W100"/>
    <x v="0"/>
    <n v="219.96"/>
    <x v="239"/>
  </r>
  <r>
    <x v="1296"/>
    <x v="201"/>
    <s v="PROD-APPA-014"/>
    <n v="2"/>
    <x v="1295"/>
    <x v="1"/>
    <x v="4"/>
    <x v="2"/>
    <s v="   delivered "/>
    <x v="0"/>
    <s v="Cap Model O14"/>
    <x v="1"/>
    <n v="41.83"/>
    <x v="295"/>
  </r>
  <r>
    <x v="1297"/>
    <x v="59"/>
    <s v="PROD-LUXU-123"/>
    <n v="1"/>
    <x v="1296"/>
    <x v="2"/>
    <x v="4"/>
    <x v="2"/>
    <s v="PENDING_REVIEW"/>
    <x v="2"/>
    <s v="Designer Watch Model T123"/>
    <x v="4"/>
    <n v="1301.92"/>
    <x v="457"/>
  </r>
  <r>
    <x v="1298"/>
    <x v="67"/>
    <s v="PROD-APPA-134"/>
    <n v="2"/>
    <x v="1297"/>
    <x v="1"/>
    <x v="1"/>
    <x v="2"/>
    <s v="   delivered "/>
    <x v="0"/>
    <s v="Hoodie Model E134"/>
    <x v="1"/>
    <n v="58.39"/>
    <x v="459"/>
  </r>
  <r>
    <x v="1299"/>
    <x v="195"/>
    <s v="PROD-ELEC-136"/>
    <n v="4"/>
    <x v="1298"/>
    <x v="1"/>
    <x v="3"/>
    <x v="4"/>
    <s v=" cancelled"/>
    <x v="3"/>
    <s v="Keyboard Model G136"/>
    <x v="0"/>
    <n v="50.45"/>
    <x v="460"/>
  </r>
  <r>
    <x v="1300"/>
    <x v="46"/>
    <s v="PROD-LUXU-096"/>
    <n v="1"/>
    <x v="1299"/>
    <x v="3"/>
    <x v="3"/>
    <x v="2"/>
    <s v="PENDING_REVIEW"/>
    <x v="2"/>
    <s v="Leather Handbag Model S96"/>
    <x v="4"/>
    <n v="2336.6799999999998"/>
    <x v="164"/>
  </r>
  <r>
    <x v="1301"/>
    <x v="216"/>
    <s v="PROD-ELEC-001"/>
    <n v="2"/>
    <x v="1300"/>
    <x v="1"/>
    <x v="1"/>
    <x v="1"/>
    <s v="PENDING_REVIEW"/>
    <x v="2"/>
    <s v="Mouse Model B1"/>
    <x v="0"/>
    <n v="189.26"/>
    <x v="136"/>
  </r>
  <r>
    <x v="1302"/>
    <x v="270"/>
    <s v="PROD-LUXU-023"/>
    <n v="1"/>
    <x v="1301"/>
    <x v="0"/>
    <x v="1"/>
    <x v="4"/>
    <s v=" disputed  "/>
    <x v="5"/>
    <s v="Premium Perfume Model X23"/>
    <x v="4"/>
    <n v="767.78"/>
    <x v="61"/>
  </r>
  <r>
    <x v="1303"/>
    <x v="288"/>
    <s v="PROD-LUXU-023"/>
    <n v="1"/>
    <x v="1302"/>
    <x v="3"/>
    <x v="5"/>
    <x v="3"/>
    <s v=" cancelled"/>
    <x v="3"/>
    <s v="Premium Perfume Model X23"/>
    <x v="4"/>
    <n v="767.78"/>
    <x v="61"/>
  </r>
  <r>
    <x v="1304"/>
    <x v="100"/>
    <s v="PROD-HOME-080"/>
    <n v="2"/>
    <x v="1303"/>
    <x v="1"/>
    <x v="4"/>
    <x v="1"/>
    <s v="   delivered "/>
    <x v="0"/>
    <s v="Toaster Model C80"/>
    <x v="3"/>
    <n v="45.24"/>
    <x v="461"/>
  </r>
  <r>
    <x v="1305"/>
    <x v="268"/>
    <s v="PROD-ELEC-059"/>
    <n v="4"/>
    <x v="1304"/>
    <x v="0"/>
    <x v="3"/>
    <x v="2"/>
    <s v="REFUNDED "/>
    <x v="4"/>
    <s v="Charger Model H59"/>
    <x v="0"/>
    <n v="204.89"/>
    <x v="451"/>
  </r>
  <r>
    <x v="1306"/>
    <x v="259"/>
    <s v="PROD-ELEC-087"/>
    <n v="1"/>
    <x v="1305"/>
    <x v="0"/>
    <x v="2"/>
    <x v="0"/>
    <s v="   delivered "/>
    <x v="0"/>
    <s v="Mouse Model J87"/>
    <x v="0"/>
    <n v="164.06"/>
    <x v="25"/>
  </r>
  <r>
    <x v="1307"/>
    <x v="44"/>
    <s v="PROD-DIGI-030"/>
    <n v="1"/>
    <x v="1306"/>
    <x v="0"/>
    <x v="0"/>
    <x v="2"/>
    <s v="   delivered "/>
    <x v="0"/>
    <s v="VPN 6-Month Pass Model E30"/>
    <x v="2"/>
    <n v="28.63"/>
    <x v="291"/>
  </r>
  <r>
    <x v="1308"/>
    <x v="188"/>
    <s v="PROD-ELEC-103"/>
    <n v="1"/>
    <x v="1307"/>
    <x v="0"/>
    <x v="2"/>
    <x v="0"/>
    <s v="   delivered "/>
    <x v="0"/>
    <s v="Webcam Model Z103"/>
    <x v="0"/>
    <n v="60.39"/>
    <x v="96"/>
  </r>
  <r>
    <x v="1309"/>
    <x v="250"/>
    <s v="PROD-LUXU-048"/>
    <n v="5"/>
    <x v="1308"/>
    <x v="2"/>
    <x v="2"/>
    <x v="3"/>
    <s v=" disputed  "/>
    <x v="5"/>
    <s v="Leather Handbag Model W48"/>
    <x v="4"/>
    <n v="315.82"/>
    <x v="234"/>
  </r>
  <r>
    <x v="1310"/>
    <x v="50"/>
    <s v="PROD-LUXU-086"/>
    <n v="5"/>
    <x v="1309"/>
    <x v="2"/>
    <x v="1"/>
    <x v="3"/>
    <s v=" disputed  "/>
    <x v="5"/>
    <s v="Gold Bracelet Model I86"/>
    <x v="4"/>
    <n v="852.47"/>
    <x v="232"/>
  </r>
  <r>
    <x v="1311"/>
    <x v="288"/>
    <s v="PROD-APPA-137"/>
    <n v="1"/>
    <x v="1310"/>
    <x v="0"/>
    <x v="0"/>
    <x v="0"/>
    <s v="   delivered "/>
    <x v="0"/>
    <s v="Sneakers Model H137"/>
    <x v="1"/>
    <n v="33.53"/>
    <x v="1"/>
  </r>
  <r>
    <x v="1312"/>
    <x v="86"/>
    <s v="PROD-DIGI-046"/>
    <n v="1"/>
    <x v="1311"/>
    <x v="1"/>
    <x v="4"/>
    <x v="2"/>
    <s v="   delivered "/>
    <x v="0"/>
    <s v="VPN 6-Month Pass Model U46"/>
    <x v="2"/>
    <n v="47.44"/>
    <x v="101"/>
  </r>
  <r>
    <x v="1313"/>
    <x v="21"/>
    <s v="PROD-DIGI-142"/>
    <n v="4"/>
    <x v="1312"/>
    <x v="1"/>
    <x v="3"/>
    <x v="4"/>
    <s v="REFUNDED "/>
    <x v="4"/>
    <s v="Software License Tier A Model M142"/>
    <x v="2"/>
    <n v="55.59"/>
    <x v="462"/>
  </r>
  <r>
    <x v="1314"/>
    <x v="198"/>
    <s v="PROD-LUXU-066"/>
    <n v="5"/>
    <x v="1313"/>
    <x v="1"/>
    <x v="3"/>
    <x v="3"/>
    <s v=" cancelled"/>
    <x v="3"/>
    <s v="Gold Bracelet Model O66"/>
    <x v="4"/>
    <n v="640.54999999999995"/>
    <x v="118"/>
  </r>
  <r>
    <x v="1315"/>
    <x v="160"/>
    <s v="PROD-DIGI-148"/>
    <n v="1"/>
    <x v="1314"/>
    <x v="0"/>
    <x v="4"/>
    <x v="0"/>
    <s v="PENDING_REVIEW"/>
    <x v="2"/>
    <s v="Premium Stream 1M Model S148"/>
    <x v="2"/>
    <n v="9.73"/>
    <x v="286"/>
  </r>
  <r>
    <x v="1316"/>
    <x v="66"/>
    <s v="PROD-LUXU-052"/>
    <n v="1"/>
    <x v="1315"/>
    <x v="0"/>
    <x v="0"/>
    <x v="4"/>
    <s v="PENDING_REVIEW"/>
    <x v="2"/>
    <s v="Silk Scarf Model A52"/>
    <x v="4"/>
    <n v="1339.88"/>
    <x v="102"/>
  </r>
  <r>
    <x v="1317"/>
    <x v="11"/>
    <s v="PROD-APPA-014"/>
    <n v="2"/>
    <x v="1316"/>
    <x v="4"/>
    <x v="4"/>
    <x v="2"/>
    <s v="   delivered "/>
    <x v="0"/>
    <s v="Cap Model O14"/>
    <x v="1"/>
    <n v="41.83"/>
    <x v="295"/>
  </r>
  <r>
    <x v="1318"/>
    <x v="161"/>
    <s v="PROD-APPA-002"/>
    <n v="1"/>
    <x v="1317"/>
    <x v="2"/>
    <x v="3"/>
    <x v="2"/>
    <s v=" cancelled"/>
    <x v="3"/>
    <s v="Sneakers Model C2"/>
    <x v="1"/>
    <n v="21.27"/>
    <x v="197"/>
  </r>
  <r>
    <x v="1319"/>
    <x v="240"/>
    <s v="PROD-DIGI-148"/>
    <n v="1"/>
    <x v="1318"/>
    <x v="1"/>
    <x v="6"/>
    <x v="1"/>
    <s v="   delivered "/>
    <x v="0"/>
    <s v="Premium Stream 1M Model S148"/>
    <x v="2"/>
    <n v="9.73"/>
    <x v="286"/>
  </r>
  <r>
    <x v="1320"/>
    <x v="236"/>
    <s v="PROD-ELEC-061"/>
    <n v="2"/>
    <x v="1319"/>
    <x v="4"/>
    <x v="4"/>
    <x v="0"/>
    <s v=" disputed  "/>
    <x v="5"/>
    <s v="Mouse Model J61"/>
    <x v="0"/>
    <n v="232.7"/>
    <x v="463"/>
  </r>
  <r>
    <x v="1321"/>
    <x v="275"/>
    <s v="PROD-LUXU-020"/>
    <n v="4"/>
    <x v="1320"/>
    <x v="1"/>
    <x v="4"/>
    <x v="4"/>
    <s v="REFUNDED "/>
    <x v="4"/>
    <s v="Leather Handbag Model U20"/>
    <x v="4"/>
    <n v="1806.15"/>
    <x v="67"/>
  </r>
  <r>
    <x v="1322"/>
    <x v="205"/>
    <s v="PROD-HOME-045"/>
    <n v="1"/>
    <x v="1321"/>
    <x v="1"/>
    <x v="6"/>
    <x v="0"/>
    <s v="PENDING_REVIEW"/>
    <x v="2"/>
    <s v="Mug Model T45"/>
    <x v="3"/>
    <n v="179.22"/>
    <x v="152"/>
  </r>
  <r>
    <x v="1323"/>
    <x v="255"/>
    <s v="PROD-ELEC-056"/>
    <n v="1"/>
    <x v="1322"/>
    <x v="0"/>
    <x v="6"/>
    <x v="2"/>
    <s v="SHIPPED  "/>
    <x v="1"/>
    <s v="Charger Model E56"/>
    <x v="0"/>
    <n v="186.13"/>
    <x v="72"/>
  </r>
  <r>
    <x v="1324"/>
    <x v="139"/>
    <s v="PROD-ELEC-083"/>
    <n v="1"/>
    <x v="1323"/>
    <x v="1"/>
    <x v="2"/>
    <x v="0"/>
    <s v="   delivered "/>
    <x v="0"/>
    <s v="Keyboard Model F83"/>
    <x v="0"/>
    <n v="77.150000000000006"/>
    <x v="111"/>
  </r>
  <r>
    <x v="1325"/>
    <x v="199"/>
    <s v="PROD-HOME-008"/>
    <n v="1"/>
    <x v="1324"/>
    <x v="1"/>
    <x v="2"/>
    <x v="2"/>
    <s v="   delivered "/>
    <x v="0"/>
    <s v="Toaster Model I8"/>
    <x v="3"/>
    <n v="44.88"/>
    <x v="271"/>
  </r>
  <r>
    <x v="1326"/>
    <x v="244"/>
    <s v="PROD-HOME-106"/>
    <n v="1"/>
    <x v="1325"/>
    <x v="4"/>
    <x v="2"/>
    <x v="2"/>
    <s v="   delivered "/>
    <x v="0"/>
    <s v="Blender Model C106"/>
    <x v="3"/>
    <n v="112.89"/>
    <x v="206"/>
  </r>
  <r>
    <x v="1327"/>
    <x v="135"/>
    <s v="PROD-LUXU-124"/>
    <n v="4"/>
    <x v="1326"/>
    <x v="3"/>
    <x v="2"/>
    <x v="3"/>
    <s v=" cancelled"/>
    <x v="3"/>
    <s v="Leather Handbag Model U124"/>
    <x v="4"/>
    <n v="1880.36"/>
    <x v="47"/>
  </r>
  <r>
    <x v="1328"/>
    <x v="270"/>
    <s v="PROD-HOME-054"/>
    <n v="1"/>
    <x v="1327"/>
    <x v="1"/>
    <x v="3"/>
    <x v="2"/>
    <s v="REFUNDED "/>
    <x v="4"/>
    <s v="Mug Model C54"/>
    <x v="3"/>
    <n v="85.78"/>
    <x v="172"/>
  </r>
  <r>
    <x v="1329"/>
    <x v="84"/>
    <s v="PROD-DIGI-130"/>
    <n v="4"/>
    <x v="1328"/>
    <x v="3"/>
    <x v="3"/>
    <x v="4"/>
    <s v=" disputed  "/>
    <x v="5"/>
    <s v="VPN 6-Month Pass Model A130"/>
    <x v="2"/>
    <n v="81.61"/>
    <x v="464"/>
  </r>
  <r>
    <x v="1330"/>
    <x v="199"/>
    <s v="PROD-DIGI-130"/>
    <n v="1"/>
    <x v="1329"/>
    <x v="0"/>
    <x v="1"/>
    <x v="1"/>
    <s v="   delivered "/>
    <x v="0"/>
    <s v="VPN 6-Month Pass Model A130"/>
    <x v="2"/>
    <n v="81.61"/>
    <x v="236"/>
  </r>
  <r>
    <x v="1331"/>
    <x v="194"/>
    <s v="PROD-LUXU-036"/>
    <n v="5"/>
    <x v="1330"/>
    <x v="2"/>
    <x v="4"/>
    <x v="3"/>
    <s v=" disputed  "/>
    <x v="5"/>
    <s v="Silk Scarf Model K36"/>
    <x v="4"/>
    <n v="737.6"/>
    <x v="135"/>
  </r>
  <r>
    <x v="1332"/>
    <x v="188"/>
    <s v="PROD-HOME-106"/>
    <n v="1"/>
    <x v="1331"/>
    <x v="1"/>
    <x v="4"/>
    <x v="0"/>
    <s v="   delivered "/>
    <x v="0"/>
    <s v="Blender Model C106"/>
    <x v="3"/>
    <n v="112.89"/>
    <x v="206"/>
  </r>
  <r>
    <x v="1333"/>
    <x v="166"/>
    <s v="PROD-ELEC-060"/>
    <n v="2"/>
    <x v="1332"/>
    <x v="1"/>
    <x v="0"/>
    <x v="0"/>
    <s v="   delivered "/>
    <x v="0"/>
    <s v="Mouse Model I60"/>
    <x v="0"/>
    <n v="168.25"/>
    <x v="340"/>
  </r>
  <r>
    <x v="1334"/>
    <x v="194"/>
    <s v="PROD-LUXU-048"/>
    <n v="1"/>
    <x v="1333"/>
    <x v="2"/>
    <x v="4"/>
    <x v="2"/>
    <s v=" disputed  "/>
    <x v="5"/>
    <s v="Leather Handbag Model W48"/>
    <x v="4"/>
    <n v="315.82"/>
    <x v="329"/>
  </r>
  <r>
    <x v="1335"/>
    <x v="163"/>
    <s v="PROD-APPA-058"/>
    <n v="1"/>
    <x v="1334"/>
    <x v="2"/>
    <x v="5"/>
    <x v="4"/>
    <s v=" disputed  "/>
    <x v="5"/>
    <s v="Socks Model G58"/>
    <x v="1"/>
    <n v="30.18"/>
    <x v="55"/>
  </r>
  <r>
    <x v="1336"/>
    <x v="228"/>
    <s v="PROD-APPA-058"/>
    <n v="2"/>
    <x v="1335"/>
    <x v="0"/>
    <x v="1"/>
    <x v="2"/>
    <s v="REFUNDED "/>
    <x v="4"/>
    <s v="Socks Model G58"/>
    <x v="1"/>
    <n v="30.18"/>
    <x v="465"/>
  </r>
  <r>
    <x v="1337"/>
    <x v="234"/>
    <s v="PROD-LUXU-082"/>
    <n v="5"/>
    <x v="1336"/>
    <x v="0"/>
    <x v="6"/>
    <x v="3"/>
    <s v=" cancelled"/>
    <x v="3"/>
    <s v="Designer Watch Model E82"/>
    <x v="4"/>
    <n v="1769.3"/>
    <x v="183"/>
  </r>
  <r>
    <x v="1338"/>
    <x v="171"/>
    <s v="PROD-ELEC-100"/>
    <n v="1"/>
    <x v="1337"/>
    <x v="4"/>
    <x v="0"/>
    <x v="0"/>
    <s v="   delivered "/>
    <x v="0"/>
    <s v="Charger Model W100"/>
    <x v="0"/>
    <n v="219.96"/>
    <x v="239"/>
  </r>
  <r>
    <x v="1339"/>
    <x v="299"/>
    <s v="PROD-APPA-072"/>
    <n v="1"/>
    <x v="1338"/>
    <x v="1"/>
    <x v="0"/>
    <x v="0"/>
    <s v="   delivered "/>
    <x v="0"/>
    <s v="Jacket Model U72"/>
    <x v="1"/>
    <n v="75.400000000000006"/>
    <x v="19"/>
  </r>
  <r>
    <x v="1340"/>
    <x v="267"/>
    <s v="PROD-DIGI-029"/>
    <n v="1"/>
    <x v="1339"/>
    <x v="1"/>
    <x v="2"/>
    <x v="2"/>
    <s v="   delivered "/>
    <x v="0"/>
    <s v="VPN 6-Month Pass Model D29"/>
    <x v="2"/>
    <n v="10.97"/>
    <x v="14"/>
  </r>
  <r>
    <x v="1341"/>
    <x v="264"/>
    <s v="PROD-APPA-058"/>
    <n v="1"/>
    <x v="1340"/>
    <x v="1"/>
    <x v="1"/>
    <x v="0"/>
    <s v="   delivered "/>
    <x v="0"/>
    <s v="Socks Model G58"/>
    <x v="1"/>
    <n v="30.18"/>
    <x v="55"/>
  </r>
  <r>
    <x v="1342"/>
    <x v="86"/>
    <s v="PROD-DIGI-139"/>
    <n v="1"/>
    <x v="1341"/>
    <x v="0"/>
    <x v="1"/>
    <x v="2"/>
    <s v="   delivered "/>
    <x v="0"/>
    <s v="Software License Tier A Model J139"/>
    <x v="2"/>
    <n v="90.05"/>
    <x v="264"/>
  </r>
  <r>
    <x v="1343"/>
    <x v="112"/>
    <s v="PROD-ELEC-126"/>
    <n v="1"/>
    <x v="1342"/>
    <x v="4"/>
    <x v="4"/>
    <x v="1"/>
    <s v="REFUNDED "/>
    <x v="4"/>
    <s v="Smartwatch Model W126"/>
    <x v="0"/>
    <n v="114.91"/>
    <x v="251"/>
  </r>
  <r>
    <x v="1344"/>
    <x v="229"/>
    <s v="PROD-DIGI-024"/>
    <n v="4"/>
    <x v="1343"/>
    <x v="2"/>
    <x v="3"/>
    <x v="4"/>
    <s v="REFUNDED "/>
    <x v="4"/>
    <s v="Premium Stream 1M Model Y24"/>
    <x v="2"/>
    <n v="29.9"/>
    <x v="180"/>
  </r>
  <r>
    <x v="1345"/>
    <x v="104"/>
    <s v="PROD-DIGI-150"/>
    <n v="1"/>
    <x v="1344"/>
    <x v="1"/>
    <x v="0"/>
    <x v="0"/>
    <s v="   delivered "/>
    <x v="0"/>
    <s v="E-Book Access Model U150"/>
    <x v="2"/>
    <n v="75.69"/>
    <x v="165"/>
  </r>
  <r>
    <x v="1346"/>
    <x v="290"/>
    <s v="PROD-APPA-101"/>
    <n v="4"/>
    <x v="1345"/>
    <x v="2"/>
    <x v="3"/>
    <x v="2"/>
    <s v="PENDING_REVIEW"/>
    <x v="2"/>
    <s v="Jeans Model X101"/>
    <x v="1"/>
    <n v="99.82"/>
    <x v="429"/>
  </r>
  <r>
    <x v="1347"/>
    <x v="236"/>
    <s v="PROD-ELEC-021"/>
    <n v="1"/>
    <x v="1346"/>
    <x v="1"/>
    <x v="4"/>
    <x v="0"/>
    <s v="   delivered "/>
    <x v="0"/>
    <s v="Keyboard Model V21"/>
    <x v="0"/>
    <n v="208.12"/>
    <x v="338"/>
  </r>
  <r>
    <x v="1348"/>
    <x v="114"/>
    <s v="PROD-DIGI-011"/>
    <n v="1"/>
    <x v="1347"/>
    <x v="1"/>
    <x v="1"/>
    <x v="2"/>
    <s v="   delivered "/>
    <x v="0"/>
    <s v="VPN 6-Month Pass Model L11"/>
    <x v="2"/>
    <n v="16.73"/>
    <x v="151"/>
  </r>
  <r>
    <x v="1349"/>
    <x v="72"/>
    <s v="PROD-LUXU-003"/>
    <n v="5"/>
    <x v="1348"/>
    <x v="1"/>
    <x v="0"/>
    <x v="4"/>
    <s v="PENDING_REVIEW"/>
    <x v="2"/>
    <s v="Designer Watch Model D3"/>
    <x v="4"/>
    <n v="1599.08"/>
    <x v="355"/>
  </r>
  <r>
    <x v="1350"/>
    <x v="2"/>
    <s v="PROD-DIGI-109"/>
    <n v="5"/>
    <x v="1349"/>
    <x v="0"/>
    <x v="5"/>
    <x v="3"/>
    <s v="REFUNDED "/>
    <x v="4"/>
    <s v="VPN 6-Month Pass Model F109"/>
    <x v="2"/>
    <n v="22.87"/>
    <x v="308"/>
  </r>
  <r>
    <x v="1351"/>
    <x v="237"/>
    <s v="PROD-HOME-074"/>
    <n v="1"/>
    <x v="1350"/>
    <x v="1"/>
    <x v="2"/>
    <x v="0"/>
    <s v="   delivered "/>
    <x v="0"/>
    <s v="Blender Model W74"/>
    <x v="3"/>
    <n v="127.16"/>
    <x v="5"/>
  </r>
  <r>
    <x v="1352"/>
    <x v="110"/>
    <s v="PROD-LUXU-066"/>
    <n v="1"/>
    <x v="1351"/>
    <x v="1"/>
    <x v="2"/>
    <x v="2"/>
    <s v="PENDING_REVIEW"/>
    <x v="2"/>
    <s v="Gold Bracelet Model O66"/>
    <x v="4"/>
    <n v="640.54999999999995"/>
    <x v="299"/>
  </r>
  <r>
    <x v="1353"/>
    <x v="231"/>
    <s v="PROD-APPA-149"/>
    <n v="1"/>
    <x v="1352"/>
    <x v="0"/>
    <x v="4"/>
    <x v="2"/>
    <s v="   delivered "/>
    <x v="0"/>
    <s v="Socks Model T149"/>
    <x v="1"/>
    <n v="45.95"/>
    <x v="42"/>
  </r>
  <r>
    <x v="1354"/>
    <x v="27"/>
    <s v="PROD-HOME-013"/>
    <n v="1"/>
    <x v="1353"/>
    <x v="0"/>
    <x v="4"/>
    <x v="0"/>
    <s v="SHIPPED  "/>
    <x v="1"/>
    <s v="Desk Lamp Model N13"/>
    <x v="3"/>
    <n v="50.77"/>
    <x v="40"/>
  </r>
  <r>
    <x v="1355"/>
    <x v="225"/>
    <s v="PROD-APPA-097"/>
    <n v="4"/>
    <x v="1354"/>
    <x v="2"/>
    <x v="3"/>
    <x v="4"/>
    <s v="PENDING_REVIEW"/>
    <x v="2"/>
    <s v="Cap Model T97"/>
    <x v="1"/>
    <n v="99.18"/>
    <x v="466"/>
  </r>
  <r>
    <x v="1356"/>
    <x v="294"/>
    <s v="PROD-DIGI-063"/>
    <n v="1"/>
    <x v="1355"/>
    <x v="1"/>
    <x v="5"/>
    <x v="3"/>
    <s v="REFUNDED "/>
    <x v="4"/>
    <s v="Cloud Storage Basic Model L63"/>
    <x v="2"/>
    <n v="20.48"/>
    <x v="60"/>
  </r>
  <r>
    <x v="1357"/>
    <x v="149"/>
    <s v="PROD-LUXU-069"/>
    <n v="5"/>
    <x v="1356"/>
    <x v="0"/>
    <x v="5"/>
    <x v="2"/>
    <s v="PENDING_REVIEW"/>
    <x v="2"/>
    <s v="Leather Handbag Model R69"/>
    <x v="4"/>
    <n v="425.14"/>
    <x v="326"/>
  </r>
  <r>
    <x v="1358"/>
    <x v="245"/>
    <s v="PROD-APPA-119"/>
    <n v="1"/>
    <x v="1357"/>
    <x v="0"/>
    <x v="4"/>
    <x v="2"/>
    <s v="   delivered "/>
    <x v="0"/>
    <s v="Sneakers Model P119"/>
    <x v="1"/>
    <n v="19.329999999999998"/>
    <x v="87"/>
  </r>
  <r>
    <x v="1359"/>
    <x v="167"/>
    <s v="PROD-APPA-091"/>
    <n v="1"/>
    <x v="1358"/>
    <x v="1"/>
    <x v="0"/>
    <x v="0"/>
    <s v="   delivered "/>
    <x v="0"/>
    <s v="Jacket Model N91"/>
    <x v="1"/>
    <n v="13.96"/>
    <x v="7"/>
  </r>
  <r>
    <x v="1360"/>
    <x v="245"/>
    <s v="PROD-DIGI-064"/>
    <n v="2"/>
    <x v="1359"/>
    <x v="4"/>
    <x v="6"/>
    <x v="2"/>
    <s v="   delivered "/>
    <x v="0"/>
    <s v="E-Book Access Model M64"/>
    <x v="2"/>
    <n v="92.09"/>
    <x v="94"/>
  </r>
  <r>
    <x v="1361"/>
    <x v="124"/>
    <s v="PROD-APPA-027"/>
    <n v="2"/>
    <x v="1360"/>
    <x v="1"/>
    <x v="0"/>
    <x v="0"/>
    <s v="   delivered "/>
    <x v="0"/>
    <s v="Jacket Model B27"/>
    <x v="1"/>
    <n v="64.290000000000006"/>
    <x v="193"/>
  </r>
  <r>
    <x v="1362"/>
    <x v="133"/>
    <s v="PROD-ELEC-077"/>
    <n v="1"/>
    <x v="1361"/>
    <x v="1"/>
    <x v="0"/>
    <x v="0"/>
    <s v="   delivered "/>
    <x v="0"/>
    <s v="Charger Model Z77"/>
    <x v="0"/>
    <n v="160.97"/>
    <x v="402"/>
  </r>
  <r>
    <x v="1363"/>
    <x v="5"/>
    <s v="PROD-ELEC-083"/>
    <n v="1"/>
    <x v="1362"/>
    <x v="0"/>
    <x v="4"/>
    <x v="2"/>
    <s v="   delivered "/>
    <x v="0"/>
    <s v="Keyboard Model F83"/>
    <x v="0"/>
    <n v="77.150000000000006"/>
    <x v="111"/>
  </r>
  <r>
    <x v="1364"/>
    <x v="68"/>
    <s v="PROD-HOME-068"/>
    <n v="2"/>
    <x v="1363"/>
    <x v="1"/>
    <x v="4"/>
    <x v="0"/>
    <s v="   delivered "/>
    <x v="0"/>
    <s v="Coffee Maker Model Q68"/>
    <x v="3"/>
    <n v="28.02"/>
    <x v="397"/>
  </r>
  <r>
    <x v="1365"/>
    <x v="250"/>
    <s v="PROD-HOME-054"/>
    <n v="2"/>
    <x v="1364"/>
    <x v="4"/>
    <x v="4"/>
    <x v="0"/>
    <s v="   delivered "/>
    <x v="0"/>
    <s v="Mug Model C54"/>
    <x v="3"/>
    <n v="85.78"/>
    <x v="381"/>
  </r>
  <r>
    <x v="1366"/>
    <x v="116"/>
    <s v="PROD-ELEC-028"/>
    <n v="1"/>
    <x v="1365"/>
    <x v="1"/>
    <x v="5"/>
    <x v="4"/>
    <s v="REFUNDED "/>
    <x v="4"/>
    <s v="Keyboard Model C28"/>
    <x v="0"/>
    <n v="162.44999999999999"/>
    <x v="32"/>
  </r>
  <r>
    <x v="1367"/>
    <x v="52"/>
    <s v="PROD-APPA-091"/>
    <n v="2"/>
    <x v="1366"/>
    <x v="0"/>
    <x v="0"/>
    <x v="2"/>
    <s v="   delivered "/>
    <x v="0"/>
    <s v="Jacket Model N91"/>
    <x v="1"/>
    <n v="13.96"/>
    <x v="454"/>
  </r>
  <r>
    <x v="1368"/>
    <x v="98"/>
    <s v="PROD-ELEC-087"/>
    <n v="4"/>
    <x v="1367"/>
    <x v="0"/>
    <x v="5"/>
    <x v="4"/>
    <s v="PENDING_REVIEW"/>
    <x v="2"/>
    <s v="Mouse Model J87"/>
    <x v="0"/>
    <n v="164.06"/>
    <x v="467"/>
  </r>
  <r>
    <x v="1369"/>
    <x v="156"/>
    <s v="PROD-ELEC-128"/>
    <n v="2"/>
    <x v="1368"/>
    <x v="0"/>
    <x v="0"/>
    <x v="0"/>
    <s v="SHIPPED  "/>
    <x v="1"/>
    <s v="Charger Model Y128"/>
    <x v="0"/>
    <n v="46.33"/>
    <x v="354"/>
  </r>
  <r>
    <x v="1370"/>
    <x v="134"/>
    <s v="PROD-LUXU-036"/>
    <n v="5"/>
    <x v="1369"/>
    <x v="3"/>
    <x v="6"/>
    <x v="3"/>
    <s v=" disputed  "/>
    <x v="5"/>
    <s v="Silk Scarf Model K36"/>
    <x v="4"/>
    <n v="737.6"/>
    <x v="135"/>
  </r>
  <r>
    <x v="1371"/>
    <x v="213"/>
    <s v="PROD-DIGI-076"/>
    <n v="1"/>
    <x v="1370"/>
    <x v="0"/>
    <x v="6"/>
    <x v="2"/>
    <s v="PENDING_REVIEW"/>
    <x v="2"/>
    <s v="E-Book Access Model Y76"/>
    <x v="2"/>
    <n v="92.33"/>
    <x v="8"/>
  </r>
  <r>
    <x v="1372"/>
    <x v="267"/>
    <s v="PROD-APPA-062"/>
    <n v="2"/>
    <x v="1371"/>
    <x v="0"/>
    <x v="2"/>
    <x v="0"/>
    <s v="   delivered "/>
    <x v="0"/>
    <s v="Socks Model K62"/>
    <x v="1"/>
    <n v="63.42"/>
    <x v="468"/>
  </r>
  <r>
    <x v="1373"/>
    <x v="66"/>
    <s v="PROD-LUXU-082"/>
    <n v="5"/>
    <x v="1372"/>
    <x v="1"/>
    <x v="3"/>
    <x v="2"/>
    <s v=" disputed  "/>
    <x v="5"/>
    <s v="Designer Watch Model E82"/>
    <x v="4"/>
    <n v="1769.3"/>
    <x v="183"/>
  </r>
  <r>
    <x v="1374"/>
    <x v="102"/>
    <s v="PROD-ELEC-056"/>
    <n v="1"/>
    <x v="1373"/>
    <x v="0"/>
    <x v="6"/>
    <x v="2"/>
    <s v="   delivered "/>
    <x v="0"/>
    <s v="Charger Model E56"/>
    <x v="0"/>
    <n v="186.13"/>
    <x v="72"/>
  </r>
  <r>
    <x v="1375"/>
    <x v="79"/>
    <s v="PROD-LUXU-147"/>
    <n v="5"/>
    <x v="1374"/>
    <x v="1"/>
    <x v="0"/>
    <x v="3"/>
    <s v=" disputed  "/>
    <x v="5"/>
    <s v="Designer Watch Model R147"/>
    <x v="4"/>
    <n v="484.68"/>
    <x v="194"/>
  </r>
  <r>
    <x v="1376"/>
    <x v="140"/>
    <s v="PROD-LUXU-086"/>
    <n v="5"/>
    <x v="1375"/>
    <x v="1"/>
    <x v="0"/>
    <x v="4"/>
    <s v="REFUNDED "/>
    <x v="4"/>
    <s v="Gold Bracelet Model I86"/>
    <x v="4"/>
    <n v="852.47"/>
    <x v="232"/>
  </r>
  <r>
    <x v="1377"/>
    <x v="284"/>
    <s v="PROD-HOME-106"/>
    <n v="4"/>
    <x v="1376"/>
    <x v="2"/>
    <x v="3"/>
    <x v="2"/>
    <s v="PENDING_REVIEW"/>
    <x v="2"/>
    <s v="Blender Model C106"/>
    <x v="3"/>
    <n v="112.89"/>
    <x v="469"/>
  </r>
  <r>
    <x v="1378"/>
    <x v="240"/>
    <s v="PROD-HOME-017"/>
    <n v="1"/>
    <x v="1377"/>
    <x v="0"/>
    <x v="6"/>
    <x v="0"/>
    <s v="SHIPPED  "/>
    <x v="1"/>
    <s v="Pillow Model R17"/>
    <x v="3"/>
    <n v="169.86"/>
    <x v="56"/>
  </r>
  <r>
    <x v="1379"/>
    <x v="299"/>
    <s v="PROD-DIGI-073"/>
    <n v="1"/>
    <x v="1378"/>
    <x v="0"/>
    <x v="4"/>
    <x v="2"/>
    <s v="   delivered "/>
    <x v="0"/>
    <s v="VPN 6-Month Pass Model V73"/>
    <x v="2"/>
    <n v="58.13"/>
    <x v="21"/>
  </r>
  <r>
    <x v="1380"/>
    <x v="224"/>
    <s v="PROD-ELEC-104"/>
    <n v="1"/>
    <x v="1379"/>
    <x v="1"/>
    <x v="2"/>
    <x v="0"/>
    <s v="   delivered "/>
    <x v="0"/>
    <s v="Smartwatch Model A104"/>
    <x v="0"/>
    <n v="80.59"/>
    <x v="90"/>
  </r>
  <r>
    <x v="1381"/>
    <x v="218"/>
    <s v="PROD-DIGI-022"/>
    <n v="1"/>
    <x v="1380"/>
    <x v="1"/>
    <x v="6"/>
    <x v="0"/>
    <s v="   delivered "/>
    <x v="0"/>
    <s v="E-Book Access Model W22"/>
    <x v="2"/>
    <n v="11.22"/>
    <x v="213"/>
  </r>
  <r>
    <x v="1382"/>
    <x v="141"/>
    <s v="PROD-DIGI-110"/>
    <n v="2"/>
    <x v="1381"/>
    <x v="0"/>
    <x v="1"/>
    <x v="0"/>
    <s v="REFUNDED "/>
    <x v="4"/>
    <s v="Cloud Storage Basic Model G110"/>
    <x v="2"/>
    <n v="53.87"/>
    <x v="274"/>
  </r>
  <r>
    <x v="1383"/>
    <x v="245"/>
    <s v="PROD-DIGI-148"/>
    <n v="1"/>
    <x v="1382"/>
    <x v="1"/>
    <x v="6"/>
    <x v="0"/>
    <s v=" cancelled"/>
    <x v="3"/>
    <s v="Premium Stream 1M Model S148"/>
    <x v="2"/>
    <n v="9.73"/>
    <x v="286"/>
  </r>
  <r>
    <x v="1384"/>
    <x v="216"/>
    <s v="PROD-DIGI-148"/>
    <n v="1"/>
    <x v="1383"/>
    <x v="1"/>
    <x v="1"/>
    <x v="0"/>
    <s v="   delivered "/>
    <x v="0"/>
    <s v="Premium Stream 1M Model S148"/>
    <x v="2"/>
    <n v="9.73"/>
    <x v="286"/>
  </r>
  <r>
    <x v="1385"/>
    <x v="33"/>
    <s v="PROD-LUXU-117"/>
    <n v="4"/>
    <x v="1384"/>
    <x v="3"/>
    <x v="1"/>
    <x v="3"/>
    <s v="PENDING_REVIEW"/>
    <x v="2"/>
    <s v="Silk Scarf Model N117"/>
    <x v="4"/>
    <n v="1740.35"/>
    <x v="69"/>
  </r>
  <r>
    <x v="1386"/>
    <x v="200"/>
    <s v="PROD-APPA-070"/>
    <n v="1"/>
    <x v="1385"/>
    <x v="0"/>
    <x v="3"/>
    <x v="2"/>
    <s v=" disputed  "/>
    <x v="5"/>
    <s v="T-Shirt Model S70"/>
    <x v="1"/>
    <n v="75.45"/>
    <x v="161"/>
  </r>
  <r>
    <x v="1387"/>
    <x v="133"/>
    <s v="PROD-ELEC-012"/>
    <n v="1"/>
    <x v="1386"/>
    <x v="1"/>
    <x v="6"/>
    <x v="2"/>
    <s v="PENDING_REVIEW"/>
    <x v="2"/>
    <s v="Cable Model M12"/>
    <x v="0"/>
    <n v="83.9"/>
    <x v="170"/>
  </r>
  <r>
    <x v="1388"/>
    <x v="169"/>
    <s v="PROD-APPA-134"/>
    <n v="1"/>
    <x v="1387"/>
    <x v="4"/>
    <x v="4"/>
    <x v="0"/>
    <s v=" cancelled"/>
    <x v="3"/>
    <s v="Hoodie Model E134"/>
    <x v="1"/>
    <n v="58.39"/>
    <x v="229"/>
  </r>
  <r>
    <x v="1389"/>
    <x v="9"/>
    <s v="PROD-APPA-014"/>
    <n v="4"/>
    <x v="1388"/>
    <x v="3"/>
    <x v="5"/>
    <x v="2"/>
    <s v=" disputed  "/>
    <x v="5"/>
    <s v="Cap Model O14"/>
    <x v="1"/>
    <n v="41.83"/>
    <x v="470"/>
  </r>
  <r>
    <x v="1390"/>
    <x v="124"/>
    <s v="PROD-APPA-071"/>
    <n v="1"/>
    <x v="1389"/>
    <x v="1"/>
    <x v="4"/>
    <x v="0"/>
    <s v="   delivered "/>
    <x v="0"/>
    <s v="Socks Model T71"/>
    <x v="1"/>
    <n v="23.19"/>
    <x v="445"/>
  </r>
  <r>
    <x v="1391"/>
    <x v="253"/>
    <s v="PROD-HOME-112"/>
    <n v="1"/>
    <x v="1390"/>
    <x v="1"/>
    <x v="2"/>
    <x v="0"/>
    <s v=" disputed  "/>
    <x v="5"/>
    <s v="Desk Lamp Model I112"/>
    <x v="3"/>
    <n v="70.23"/>
    <x v="77"/>
  </r>
  <r>
    <x v="1392"/>
    <x v="239"/>
    <s v="PROD-DIGI-145"/>
    <n v="1"/>
    <x v="1391"/>
    <x v="1"/>
    <x v="6"/>
    <x v="0"/>
    <s v="   delivered "/>
    <x v="0"/>
    <s v="Premium Stream 1M Model P145"/>
    <x v="2"/>
    <n v="84.01"/>
    <x v="113"/>
  </r>
  <r>
    <x v="1393"/>
    <x v="179"/>
    <s v="PROD-ELEC-012"/>
    <n v="1"/>
    <x v="1392"/>
    <x v="1"/>
    <x v="4"/>
    <x v="2"/>
    <s v="   delivered "/>
    <x v="0"/>
    <s v="Cable Model M12"/>
    <x v="0"/>
    <n v="83.9"/>
    <x v="170"/>
  </r>
  <r>
    <x v="1394"/>
    <x v="17"/>
    <s v="PROD-LUXU-096"/>
    <n v="4"/>
    <x v="1393"/>
    <x v="0"/>
    <x v="3"/>
    <x v="4"/>
    <s v=" disputed  "/>
    <x v="5"/>
    <s v="Leather Handbag Model S96"/>
    <x v="4"/>
    <n v="2336.6799999999998"/>
    <x v="290"/>
  </r>
  <r>
    <x v="1395"/>
    <x v="175"/>
    <s v="PROD-LUXU-120"/>
    <n v="4"/>
    <x v="1394"/>
    <x v="2"/>
    <x v="5"/>
    <x v="4"/>
    <s v="REFUNDED "/>
    <x v="4"/>
    <s v="Premium Perfume Model Q120"/>
    <x v="4"/>
    <n v="505.45"/>
    <x v="425"/>
  </r>
  <r>
    <x v="1396"/>
    <x v="203"/>
    <s v="PROD-ELEC-047"/>
    <n v="1"/>
    <x v="1395"/>
    <x v="0"/>
    <x v="4"/>
    <x v="1"/>
    <s v="   delivered "/>
    <x v="0"/>
    <s v="Headphones Model V47"/>
    <x v="0"/>
    <n v="19.940000000000001"/>
    <x v="258"/>
  </r>
  <r>
    <x v="1397"/>
    <x v="137"/>
    <s v="PROD-HOME-008"/>
    <n v="5"/>
    <x v="1396"/>
    <x v="1"/>
    <x v="5"/>
    <x v="2"/>
    <s v="REFUNDED "/>
    <x v="4"/>
    <s v="Toaster Model I8"/>
    <x v="3"/>
    <n v="44.88"/>
    <x v="471"/>
  </r>
  <r>
    <x v="1398"/>
    <x v="188"/>
    <s v="PROD-LUXU-052"/>
    <n v="4"/>
    <x v="1397"/>
    <x v="1"/>
    <x v="5"/>
    <x v="3"/>
    <s v=" cancelled"/>
    <x v="3"/>
    <s v="Silk Scarf Model A52"/>
    <x v="4"/>
    <n v="1339.88"/>
    <x v="51"/>
  </r>
  <r>
    <x v="1399"/>
    <x v="252"/>
    <s v="PROD-LUXU-117"/>
    <n v="5"/>
    <x v="1398"/>
    <x v="1"/>
    <x v="5"/>
    <x v="3"/>
    <s v=" disputed  "/>
    <x v="5"/>
    <s v="Silk Scarf Model N117"/>
    <x v="4"/>
    <n v="1740.35"/>
    <x v="380"/>
  </r>
  <r>
    <x v="1400"/>
    <x v="244"/>
    <s v="PROD-APPA-071"/>
    <n v="4"/>
    <x v="1399"/>
    <x v="2"/>
    <x v="5"/>
    <x v="4"/>
    <s v=" disputed  "/>
    <x v="5"/>
    <s v="Socks Model T71"/>
    <x v="1"/>
    <n v="23.19"/>
    <x v="203"/>
  </r>
  <r>
    <x v="1401"/>
    <x v="288"/>
    <s v="PROD-ELEC-077"/>
    <n v="1"/>
    <x v="1400"/>
    <x v="0"/>
    <x v="4"/>
    <x v="1"/>
    <s v="   delivered "/>
    <x v="0"/>
    <s v="Charger Model Z77"/>
    <x v="0"/>
    <n v="160.97"/>
    <x v="402"/>
  </r>
  <r>
    <x v="1402"/>
    <x v="25"/>
    <s v="PROD-APPA-071"/>
    <n v="1"/>
    <x v="1401"/>
    <x v="1"/>
    <x v="1"/>
    <x v="0"/>
    <s v="   delivered "/>
    <x v="0"/>
    <s v="Socks Model T71"/>
    <x v="1"/>
    <n v="23.19"/>
    <x v="445"/>
  </r>
  <r>
    <x v="1403"/>
    <x v="299"/>
    <s v="PROD-APPA-111"/>
    <n v="4"/>
    <x v="1402"/>
    <x v="2"/>
    <x v="5"/>
    <x v="2"/>
    <s v=" cancelled"/>
    <x v="3"/>
    <s v="Hoodie Model H111"/>
    <x v="1"/>
    <n v="57.44"/>
    <x v="142"/>
  </r>
  <r>
    <x v="1404"/>
    <x v="221"/>
    <s v="PROD-DIGI-064"/>
    <n v="1"/>
    <x v="1403"/>
    <x v="1"/>
    <x v="4"/>
    <x v="0"/>
    <s v="   delivered "/>
    <x v="0"/>
    <s v="E-Book Access Model M64"/>
    <x v="2"/>
    <n v="92.09"/>
    <x v="351"/>
  </r>
  <r>
    <x v="1405"/>
    <x v="70"/>
    <s v="PROD-DIGI-145"/>
    <n v="1"/>
    <x v="1404"/>
    <x v="4"/>
    <x v="2"/>
    <x v="2"/>
    <s v="   delivered "/>
    <x v="0"/>
    <s v="Premium Stream 1M Model P145"/>
    <x v="2"/>
    <n v="84.01"/>
    <x v="113"/>
  </r>
  <r>
    <x v="1406"/>
    <x v="45"/>
    <s v="PROD-LUXU-120"/>
    <n v="5"/>
    <x v="1405"/>
    <x v="3"/>
    <x v="1"/>
    <x v="2"/>
    <s v="REFUNDED "/>
    <x v="4"/>
    <s v="Premium Perfume Model Q120"/>
    <x v="4"/>
    <n v="505.45"/>
    <x v="434"/>
  </r>
  <r>
    <x v="1407"/>
    <x v="200"/>
    <s v="PROD-APPA-044"/>
    <n v="2"/>
    <x v="1406"/>
    <x v="1"/>
    <x v="4"/>
    <x v="0"/>
    <s v="   delivered "/>
    <x v="0"/>
    <s v="Jacket Model S44"/>
    <x v="1"/>
    <n v="93.08"/>
    <x v="421"/>
  </r>
  <r>
    <x v="1408"/>
    <x v="42"/>
    <s v="PROD-DIGI-006"/>
    <n v="1"/>
    <x v="1407"/>
    <x v="1"/>
    <x v="2"/>
    <x v="1"/>
    <s v="   delivered "/>
    <x v="0"/>
    <s v="Premium Stream 1M Model G6"/>
    <x v="2"/>
    <n v="47.23"/>
    <x v="28"/>
  </r>
  <r>
    <x v="1409"/>
    <x v="49"/>
    <s v="PROD-DIGI-139"/>
    <n v="1"/>
    <x v="1408"/>
    <x v="1"/>
    <x v="6"/>
    <x v="0"/>
    <s v="REFUNDED "/>
    <x v="4"/>
    <s v="Software License Tier A Model J139"/>
    <x v="2"/>
    <n v="90.05"/>
    <x v="264"/>
  </r>
  <r>
    <x v="1410"/>
    <x v="19"/>
    <s v="PROD-HOME-113"/>
    <n v="4"/>
    <x v="1409"/>
    <x v="2"/>
    <x v="3"/>
    <x v="4"/>
    <s v="REFUNDED "/>
    <x v="4"/>
    <s v="Desk Lamp Model J113"/>
    <x v="3"/>
    <n v="69.489999999999995"/>
    <x v="437"/>
  </r>
  <r>
    <x v="1411"/>
    <x v="221"/>
    <s v="PROD-DIGI-110"/>
    <n v="1"/>
    <x v="1410"/>
    <x v="0"/>
    <x v="6"/>
    <x v="2"/>
    <s v="   delivered "/>
    <x v="0"/>
    <s v="Cloud Storage Basic Model G110"/>
    <x v="2"/>
    <n v="53.87"/>
    <x v="303"/>
  </r>
  <r>
    <x v="1412"/>
    <x v="88"/>
    <s v="PROD-HOME-085"/>
    <n v="2"/>
    <x v="1411"/>
    <x v="1"/>
    <x v="1"/>
    <x v="0"/>
    <s v="SHIPPED  "/>
    <x v="1"/>
    <s v="Blender Model H85"/>
    <x v="3"/>
    <n v="130"/>
    <x v="35"/>
  </r>
  <r>
    <x v="1413"/>
    <x v="91"/>
    <s v="PROD-HOME-010"/>
    <n v="3"/>
    <x v="1412"/>
    <x v="1"/>
    <x v="2"/>
    <x v="1"/>
    <s v="REFUNDED "/>
    <x v="4"/>
    <s v="Desk Lamp Model K10"/>
    <x v="3"/>
    <n v="62.32"/>
    <x v="472"/>
  </r>
  <r>
    <x v="1414"/>
    <x v="23"/>
    <s v="PROD-APPA-071"/>
    <n v="1"/>
    <x v="1413"/>
    <x v="0"/>
    <x v="2"/>
    <x v="0"/>
    <s v="SHIPPED  "/>
    <x v="1"/>
    <s v="Socks Model T71"/>
    <x v="1"/>
    <n v="23.19"/>
    <x v="445"/>
  </r>
  <r>
    <x v="1415"/>
    <x v="103"/>
    <s v="PROD-LUXU-026"/>
    <n v="1"/>
    <x v="1414"/>
    <x v="3"/>
    <x v="3"/>
    <x v="4"/>
    <s v="REFUNDED "/>
    <x v="4"/>
    <s v="Gold Bracelet Model A26"/>
    <x v="4"/>
    <n v="1096.3900000000001"/>
    <x v="43"/>
  </r>
  <r>
    <x v="1416"/>
    <x v="260"/>
    <s v="PROD-HOME-008"/>
    <n v="1"/>
    <x v="1415"/>
    <x v="0"/>
    <x v="6"/>
    <x v="2"/>
    <s v="   delivered "/>
    <x v="0"/>
    <s v="Toaster Model I8"/>
    <x v="3"/>
    <n v="44.88"/>
    <x v="271"/>
  </r>
  <r>
    <x v="1417"/>
    <x v="142"/>
    <s v="PROD-APPA-149"/>
    <n v="2"/>
    <x v="1416"/>
    <x v="1"/>
    <x v="1"/>
    <x v="2"/>
    <s v="   delivered "/>
    <x v="0"/>
    <s v="Socks Model T149"/>
    <x v="1"/>
    <n v="45.95"/>
    <x v="386"/>
  </r>
  <r>
    <x v="1418"/>
    <x v="229"/>
    <s v="PROD-APPA-122"/>
    <n v="4"/>
    <x v="1417"/>
    <x v="3"/>
    <x v="5"/>
    <x v="2"/>
    <s v="PENDING_REVIEW"/>
    <x v="2"/>
    <s v="T-Shirt Model S122"/>
    <x v="1"/>
    <n v="15.08"/>
    <x v="450"/>
  </r>
  <r>
    <x v="1419"/>
    <x v="163"/>
    <s v="PROD-HOME-094"/>
    <n v="1"/>
    <x v="1418"/>
    <x v="0"/>
    <x v="3"/>
    <x v="4"/>
    <s v="REFUNDED "/>
    <x v="4"/>
    <s v="Blender Model Q94"/>
    <x v="3"/>
    <n v="129.13"/>
    <x v="249"/>
  </r>
  <r>
    <x v="1420"/>
    <x v="29"/>
    <s v="PROD-APPA-044"/>
    <n v="2"/>
    <x v="1419"/>
    <x v="1"/>
    <x v="2"/>
    <x v="0"/>
    <s v="SHIPPED  "/>
    <x v="1"/>
    <s v="Jacket Model S44"/>
    <x v="1"/>
    <n v="93.08"/>
    <x v="421"/>
  </r>
  <r>
    <x v="1421"/>
    <x v="17"/>
    <s v="PROD-HOME-013"/>
    <n v="1"/>
    <x v="1420"/>
    <x v="1"/>
    <x v="2"/>
    <x v="2"/>
    <s v="   delivered "/>
    <x v="0"/>
    <s v="Desk Lamp Model N13"/>
    <x v="3"/>
    <n v="50.77"/>
    <x v="40"/>
  </r>
  <r>
    <x v="1422"/>
    <x v="149"/>
    <s v="PROD-DIGI-076"/>
    <n v="1"/>
    <x v="1421"/>
    <x v="1"/>
    <x v="0"/>
    <x v="2"/>
    <s v="   delivered "/>
    <x v="0"/>
    <s v="E-Book Access Model Y76"/>
    <x v="2"/>
    <n v="92.33"/>
    <x v="8"/>
  </r>
  <r>
    <x v="1423"/>
    <x v="28"/>
    <s v="PROD-ELEC-128"/>
    <n v="1"/>
    <x v="1422"/>
    <x v="0"/>
    <x v="4"/>
    <x v="2"/>
    <s v="   delivered "/>
    <x v="0"/>
    <s v="Charger Model Y128"/>
    <x v="0"/>
    <n v="46.33"/>
    <x v="217"/>
  </r>
  <r>
    <x v="1424"/>
    <x v="135"/>
    <s v="PROD-APPA-042"/>
    <n v="1"/>
    <x v="1423"/>
    <x v="1"/>
    <x v="2"/>
    <x v="1"/>
    <s v="   delivered "/>
    <x v="0"/>
    <s v="Jeans Model Q42"/>
    <x v="1"/>
    <n v="82.57"/>
    <x v="95"/>
  </r>
  <r>
    <x v="1425"/>
    <x v="118"/>
    <s v="PROD-LUXU-020"/>
    <n v="5"/>
    <x v="1424"/>
    <x v="3"/>
    <x v="1"/>
    <x v="4"/>
    <s v=" cancelled"/>
    <x v="3"/>
    <s v="Leather Handbag Model U20"/>
    <x v="4"/>
    <n v="1806.15"/>
    <x v="250"/>
  </r>
  <r>
    <x v="1426"/>
    <x v="5"/>
    <s v="PROD-APPA-043"/>
    <n v="1"/>
    <x v="1425"/>
    <x v="1"/>
    <x v="1"/>
    <x v="1"/>
    <s v="   delivered "/>
    <x v="0"/>
    <s v="Hoodie Model R43"/>
    <x v="1"/>
    <n v="68.040000000000006"/>
    <x v="82"/>
  </r>
  <r>
    <x v="1427"/>
    <x v="229"/>
    <s v="PROD-LUXU-129"/>
    <n v="4"/>
    <x v="1426"/>
    <x v="0"/>
    <x v="6"/>
    <x v="2"/>
    <s v="PENDING_REVIEW"/>
    <x v="2"/>
    <s v="Silk Scarf Model Z129"/>
    <x v="4"/>
    <n v="1610"/>
    <x v="58"/>
  </r>
  <r>
    <x v="1428"/>
    <x v="129"/>
    <s v="PROD-LUXU-003"/>
    <n v="5"/>
    <x v="1427"/>
    <x v="1"/>
    <x v="6"/>
    <x v="3"/>
    <s v=" disputed  "/>
    <x v="5"/>
    <s v="Designer Watch Model D3"/>
    <x v="4"/>
    <n v="1599.08"/>
    <x v="355"/>
  </r>
  <r>
    <x v="1429"/>
    <x v="226"/>
    <s v="PROD-HOME-017"/>
    <n v="1"/>
    <x v="1428"/>
    <x v="0"/>
    <x v="2"/>
    <x v="2"/>
    <s v="   delivered "/>
    <x v="0"/>
    <s v="Pillow Model R17"/>
    <x v="3"/>
    <n v="169.86"/>
    <x v="56"/>
  </r>
  <r>
    <x v="1430"/>
    <x v="113"/>
    <s v="PROD-APPA-027"/>
    <n v="4"/>
    <x v="1429"/>
    <x v="3"/>
    <x v="3"/>
    <x v="4"/>
    <s v=" disputed  "/>
    <x v="5"/>
    <s v="Jacket Model B27"/>
    <x v="1"/>
    <n v="64.290000000000006"/>
    <x v="216"/>
  </r>
  <r>
    <x v="1431"/>
    <x v="69"/>
    <s v="PROD-HOME-089"/>
    <n v="1"/>
    <x v="1430"/>
    <x v="1"/>
    <x v="1"/>
    <x v="1"/>
    <s v="   delivered "/>
    <x v="0"/>
    <s v="Blender Model L89"/>
    <x v="3"/>
    <n v="138.6"/>
    <x v="53"/>
  </r>
  <r>
    <x v="1432"/>
    <x v="258"/>
    <s v="PROD-LUXU-023"/>
    <n v="1"/>
    <x v="1431"/>
    <x v="2"/>
    <x v="1"/>
    <x v="2"/>
    <s v="PENDING_REVIEW"/>
    <x v="2"/>
    <s v="Premium Perfume Model X23"/>
    <x v="4"/>
    <n v="767.78"/>
    <x v="61"/>
  </r>
  <r>
    <x v="1433"/>
    <x v="35"/>
    <s v="PROD-ELEC-067"/>
    <n v="1"/>
    <x v="1432"/>
    <x v="0"/>
    <x v="4"/>
    <x v="1"/>
    <s v="SHIPPED  "/>
    <x v="1"/>
    <s v="Cable Model P67"/>
    <x v="0"/>
    <n v="187.9"/>
    <x v="106"/>
  </r>
  <r>
    <x v="1434"/>
    <x v="155"/>
    <s v="PROD-APPA-122"/>
    <n v="1"/>
    <x v="1433"/>
    <x v="0"/>
    <x v="0"/>
    <x v="1"/>
    <s v="   delivered "/>
    <x v="0"/>
    <s v="T-Shirt Model S122"/>
    <x v="1"/>
    <n v="15.08"/>
    <x v="155"/>
  </r>
  <r>
    <x v="1435"/>
    <x v="127"/>
    <s v="PROD-APPA-040"/>
    <n v="1"/>
    <x v="1434"/>
    <x v="1"/>
    <x v="4"/>
    <x v="2"/>
    <s v="   delivered "/>
    <x v="0"/>
    <s v="Jacket Model O40"/>
    <x v="1"/>
    <n v="114.16"/>
    <x v="50"/>
  </r>
  <r>
    <x v="1436"/>
    <x v="260"/>
    <s v="PROD-HOME-106"/>
    <n v="1"/>
    <x v="1435"/>
    <x v="1"/>
    <x v="4"/>
    <x v="0"/>
    <s v="   delivered "/>
    <x v="0"/>
    <s v="Blender Model C106"/>
    <x v="3"/>
    <n v="112.89"/>
    <x v="206"/>
  </r>
  <r>
    <x v="1437"/>
    <x v="84"/>
    <s v="PROD-DIGI-073"/>
    <n v="4"/>
    <x v="1436"/>
    <x v="0"/>
    <x v="3"/>
    <x v="2"/>
    <s v="PENDING_REVIEW"/>
    <x v="2"/>
    <s v="VPN 6-Month Pass Model V73"/>
    <x v="2"/>
    <n v="58.13"/>
    <x v="6"/>
  </r>
  <r>
    <x v="1438"/>
    <x v="3"/>
    <s v="PROD-LUXU-120"/>
    <n v="5"/>
    <x v="1437"/>
    <x v="3"/>
    <x v="0"/>
    <x v="2"/>
    <s v=" disputed  "/>
    <x v="5"/>
    <s v="Premium Perfume Model Q120"/>
    <x v="4"/>
    <n v="505.45"/>
    <x v="434"/>
  </r>
  <r>
    <x v="1439"/>
    <x v="130"/>
    <s v="PROD-DIGI-130"/>
    <n v="1"/>
    <x v="1438"/>
    <x v="1"/>
    <x v="0"/>
    <x v="0"/>
    <s v="   delivered "/>
    <x v="0"/>
    <s v="VPN 6-Month Pass Model A130"/>
    <x v="2"/>
    <n v="81.61"/>
    <x v="236"/>
  </r>
  <r>
    <x v="1440"/>
    <x v="270"/>
    <s v="PROD-LUXU-052"/>
    <n v="4"/>
    <x v="1439"/>
    <x v="3"/>
    <x v="5"/>
    <x v="2"/>
    <s v="PENDING_REVIEW"/>
    <x v="2"/>
    <s v="Silk Scarf Model A52"/>
    <x v="4"/>
    <n v="1339.88"/>
    <x v="51"/>
  </r>
  <r>
    <x v="1441"/>
    <x v="255"/>
    <s v="PROD-HOME-013"/>
    <n v="2"/>
    <x v="1440"/>
    <x v="0"/>
    <x v="2"/>
    <x v="0"/>
    <s v=" cancelled"/>
    <x v="3"/>
    <s v="Desk Lamp Model N13"/>
    <x v="3"/>
    <n v="50.77"/>
    <x v="121"/>
  </r>
  <r>
    <x v="1442"/>
    <x v="136"/>
    <s v="PROD-DIGI-022"/>
    <n v="1"/>
    <x v="1441"/>
    <x v="0"/>
    <x v="2"/>
    <x v="2"/>
    <s v="   delivered "/>
    <x v="0"/>
    <s v="E-Book Access Model W22"/>
    <x v="2"/>
    <n v="11.22"/>
    <x v="213"/>
  </r>
  <r>
    <x v="1443"/>
    <x v="192"/>
    <s v="PROD-DIGI-141"/>
    <n v="1"/>
    <x v="1442"/>
    <x v="1"/>
    <x v="4"/>
    <x v="0"/>
    <s v="   delivered "/>
    <x v="0"/>
    <s v="Cloud Storage Basic Model L141"/>
    <x v="2"/>
    <n v="93.62"/>
    <x v="378"/>
  </r>
  <r>
    <x v="1444"/>
    <x v="195"/>
    <s v="PROD-DIGI-024"/>
    <n v="5"/>
    <x v="1443"/>
    <x v="0"/>
    <x v="5"/>
    <x v="4"/>
    <s v=" disputed  "/>
    <x v="5"/>
    <s v="Premium Stream 1M Model Y24"/>
    <x v="2"/>
    <n v="29.9"/>
    <x v="93"/>
  </r>
  <r>
    <x v="1445"/>
    <x v="184"/>
    <s v="PROD-HOME-075"/>
    <n v="4"/>
    <x v="1444"/>
    <x v="1"/>
    <x v="3"/>
    <x v="3"/>
    <s v="REFUNDED "/>
    <x v="4"/>
    <s v="Mug Model X75"/>
    <x v="3"/>
    <n v="40.94"/>
    <x v="473"/>
  </r>
  <r>
    <x v="1446"/>
    <x v="169"/>
    <s v="PROD-DIGI-150"/>
    <n v="1"/>
    <x v="1445"/>
    <x v="1"/>
    <x v="5"/>
    <x v="4"/>
    <s v="REFUNDED "/>
    <x v="4"/>
    <s v="E-Book Access Model U150"/>
    <x v="2"/>
    <n v="75.69"/>
    <x v="165"/>
  </r>
  <r>
    <x v="1447"/>
    <x v="202"/>
    <s v="PROD-LUXU-116"/>
    <n v="4"/>
    <x v="1446"/>
    <x v="0"/>
    <x v="2"/>
    <x v="2"/>
    <s v="PENDING_REVIEW"/>
    <x v="2"/>
    <s v="Designer Watch Model M116"/>
    <x v="4"/>
    <n v="968.52"/>
    <x v="159"/>
  </r>
  <r>
    <x v="1448"/>
    <x v="256"/>
    <s v="PROD-LUXU-036"/>
    <n v="4"/>
    <x v="1447"/>
    <x v="3"/>
    <x v="2"/>
    <x v="2"/>
    <s v="PENDING_REVIEW"/>
    <x v="2"/>
    <s v="Silk Scarf Model K36"/>
    <x v="4"/>
    <n v="737.6"/>
    <x v="202"/>
  </r>
  <r>
    <x v="1449"/>
    <x v="239"/>
    <s v="PROD-ELEC-067"/>
    <n v="1"/>
    <x v="1448"/>
    <x v="1"/>
    <x v="4"/>
    <x v="2"/>
    <s v="   delivered "/>
    <x v="0"/>
    <s v="Cable Model P67"/>
    <x v="0"/>
    <n v="187.9"/>
    <x v="106"/>
  </r>
  <r>
    <x v="1450"/>
    <x v="175"/>
    <s v="PROD-LUXU-096"/>
    <n v="4"/>
    <x v="1449"/>
    <x v="3"/>
    <x v="3"/>
    <x v="4"/>
    <s v="PENDING_REVIEW"/>
    <x v="2"/>
    <s v="Leather Handbag Model S96"/>
    <x v="4"/>
    <n v="2336.6799999999998"/>
    <x v="290"/>
  </r>
  <r>
    <x v="1451"/>
    <x v="148"/>
    <s v="PROD-LUXU-032"/>
    <n v="1"/>
    <x v="1450"/>
    <x v="3"/>
    <x v="3"/>
    <x v="2"/>
    <s v=" disputed  "/>
    <x v="5"/>
    <s v="Premium Perfume Model G32"/>
    <x v="4"/>
    <n v="1990.92"/>
    <x v="372"/>
  </r>
  <r>
    <x v="1452"/>
    <x v="250"/>
    <s v="PROD-APPA-111"/>
    <n v="1"/>
    <x v="1451"/>
    <x v="0"/>
    <x v="1"/>
    <x v="0"/>
    <s v="   delivered "/>
    <x v="0"/>
    <s v="Hoodie Model H111"/>
    <x v="1"/>
    <n v="57.44"/>
    <x v="177"/>
  </r>
  <r>
    <x v="1453"/>
    <x v="73"/>
    <s v="PROD-LUXU-052"/>
    <n v="4"/>
    <x v="1452"/>
    <x v="0"/>
    <x v="6"/>
    <x v="3"/>
    <s v=" cancelled"/>
    <x v="3"/>
    <s v="Silk Scarf Model A52"/>
    <x v="4"/>
    <n v="1339.88"/>
    <x v="51"/>
  </r>
  <r>
    <x v="1454"/>
    <x v="131"/>
    <s v="PROD-APPA-097"/>
    <n v="3"/>
    <x v="1453"/>
    <x v="1"/>
    <x v="0"/>
    <x v="0"/>
    <s v=" cancelled"/>
    <x v="3"/>
    <s v="Cap Model T97"/>
    <x v="1"/>
    <n v="99.18"/>
    <x v="474"/>
  </r>
  <r>
    <x v="1455"/>
    <x v="215"/>
    <s v="PROD-DIGI-114"/>
    <n v="1"/>
    <x v="1454"/>
    <x v="1"/>
    <x v="0"/>
    <x v="2"/>
    <s v="   delivered "/>
    <x v="0"/>
    <s v="E-Book Access Model K114"/>
    <x v="2"/>
    <n v="57.11"/>
    <x v="298"/>
  </r>
  <r>
    <x v="1456"/>
    <x v="31"/>
    <s v="PROD-LUXU-018"/>
    <n v="5"/>
    <x v="1455"/>
    <x v="3"/>
    <x v="5"/>
    <x v="3"/>
    <s v="PENDING_REVIEW"/>
    <x v="2"/>
    <s v="Leather Handbag Model S18"/>
    <x v="4"/>
    <n v="1475.11"/>
    <x v="163"/>
  </r>
  <r>
    <x v="1457"/>
    <x v="270"/>
    <s v="PROD-LUXU-026"/>
    <n v="4"/>
    <x v="1456"/>
    <x v="2"/>
    <x v="2"/>
    <x v="3"/>
    <s v=" cancelled"/>
    <x v="3"/>
    <s v="Gold Bracelet Model A26"/>
    <x v="4"/>
    <n v="1096.3900000000001"/>
    <x v="453"/>
  </r>
  <r>
    <x v="1458"/>
    <x v="151"/>
    <s v="PROD-ELEC-060"/>
    <n v="1"/>
    <x v="1457"/>
    <x v="1"/>
    <x v="4"/>
    <x v="2"/>
    <s v="   delivered "/>
    <x v="0"/>
    <s v="Mouse Model I60"/>
    <x v="0"/>
    <n v="168.25"/>
    <x v="139"/>
  </r>
  <r>
    <x v="1459"/>
    <x v="53"/>
    <s v="PROD-DIGI-046"/>
    <n v="1"/>
    <x v="1458"/>
    <x v="0"/>
    <x v="6"/>
    <x v="2"/>
    <s v="   delivered "/>
    <x v="0"/>
    <s v="VPN 6-Month Pass Model U46"/>
    <x v="2"/>
    <n v="47.44"/>
    <x v="101"/>
  </r>
  <r>
    <x v="1460"/>
    <x v="42"/>
    <s v="PROD-HOME-112"/>
    <n v="2"/>
    <x v="1459"/>
    <x v="1"/>
    <x v="2"/>
    <x v="2"/>
    <s v="SHIPPED  "/>
    <x v="1"/>
    <s v="Desk Lamp Model I112"/>
    <x v="3"/>
    <n v="70.23"/>
    <x v="385"/>
  </r>
  <r>
    <x v="1461"/>
    <x v="281"/>
    <s v="PROD-HOME-113"/>
    <n v="4"/>
    <x v="1460"/>
    <x v="2"/>
    <x v="5"/>
    <x v="2"/>
    <s v=" disputed  "/>
    <x v="5"/>
    <s v="Desk Lamp Model J113"/>
    <x v="3"/>
    <n v="69.489999999999995"/>
    <x v="437"/>
  </r>
  <r>
    <x v="1462"/>
    <x v="232"/>
    <s v="PROD-HOME-080"/>
    <n v="1"/>
    <x v="1461"/>
    <x v="0"/>
    <x v="0"/>
    <x v="2"/>
    <s v="   delivered "/>
    <x v="0"/>
    <s v="Toaster Model C80"/>
    <x v="3"/>
    <n v="45.24"/>
    <x v="73"/>
  </r>
  <r>
    <x v="1463"/>
    <x v="77"/>
    <s v="PROD-ELEC-057"/>
    <n v="1"/>
    <x v="1462"/>
    <x v="0"/>
    <x v="6"/>
    <x v="1"/>
    <s v="   delivered "/>
    <x v="0"/>
    <s v="Keyboard Model F57"/>
    <x v="0"/>
    <n v="60.02"/>
    <x v="0"/>
  </r>
  <r>
    <x v="1464"/>
    <x v="149"/>
    <s v="PROD-HOME-106"/>
    <n v="5"/>
    <x v="1463"/>
    <x v="1"/>
    <x v="5"/>
    <x v="3"/>
    <s v=" cancelled"/>
    <x v="3"/>
    <s v="Blender Model C106"/>
    <x v="3"/>
    <n v="112.89"/>
    <x v="241"/>
  </r>
  <r>
    <x v="1465"/>
    <x v="59"/>
    <s v="PROD-APPA-072"/>
    <n v="1"/>
    <x v="1464"/>
    <x v="1"/>
    <x v="1"/>
    <x v="0"/>
    <s v="   delivered "/>
    <x v="0"/>
    <s v="Jacket Model U72"/>
    <x v="1"/>
    <n v="75.400000000000006"/>
    <x v="19"/>
  </r>
  <r>
    <x v="1466"/>
    <x v="108"/>
    <s v="PROD-DIGI-022"/>
    <n v="1"/>
    <x v="1465"/>
    <x v="0"/>
    <x v="5"/>
    <x v="2"/>
    <s v="PENDING_REVIEW"/>
    <x v="2"/>
    <s v="E-Book Access Model W22"/>
    <x v="2"/>
    <n v="11.22"/>
    <x v="213"/>
  </r>
  <r>
    <x v="1467"/>
    <x v="11"/>
    <s v="PROD-DIGI-131"/>
    <n v="1"/>
    <x v="1466"/>
    <x v="1"/>
    <x v="6"/>
    <x v="0"/>
    <s v="   delivered "/>
    <x v="0"/>
    <s v="VPN 6-Month Pass Model B131"/>
    <x v="2"/>
    <n v="46.92"/>
    <x v="4"/>
  </r>
  <r>
    <x v="1468"/>
    <x v="65"/>
    <s v="PROD-APPA-002"/>
    <n v="1"/>
    <x v="1467"/>
    <x v="1"/>
    <x v="0"/>
    <x v="0"/>
    <s v="   delivered "/>
    <x v="0"/>
    <s v="Sneakers Model C2"/>
    <x v="1"/>
    <n v="21.27"/>
    <x v="197"/>
  </r>
  <r>
    <x v="1469"/>
    <x v="141"/>
    <s v="PROD-ELEC-140"/>
    <n v="2"/>
    <x v="1468"/>
    <x v="1"/>
    <x v="2"/>
    <x v="2"/>
    <s v="   delivered "/>
    <x v="0"/>
    <s v="Smartwatch Model K140"/>
    <x v="0"/>
    <n v="221.95"/>
    <x v="458"/>
  </r>
  <r>
    <x v="1470"/>
    <x v="145"/>
    <s v="PROD-HOME-068"/>
    <n v="2"/>
    <x v="1469"/>
    <x v="1"/>
    <x v="6"/>
    <x v="0"/>
    <s v="PENDING_REVIEW"/>
    <x v="2"/>
    <s v="Coffee Maker Model Q68"/>
    <x v="3"/>
    <n v="28.02"/>
    <x v="397"/>
  </r>
  <r>
    <x v="1471"/>
    <x v="143"/>
    <s v="PROD-HOME-102"/>
    <n v="4"/>
    <x v="1470"/>
    <x v="1"/>
    <x v="5"/>
    <x v="4"/>
    <s v=" cancelled"/>
    <x v="3"/>
    <s v="Organizer Model Y102"/>
    <x v="3"/>
    <n v="147.26"/>
    <x v="475"/>
  </r>
  <r>
    <x v="1472"/>
    <x v="145"/>
    <s v="PROD-DIGI-145"/>
    <n v="1"/>
    <x v="1471"/>
    <x v="1"/>
    <x v="6"/>
    <x v="2"/>
    <s v="   delivered "/>
    <x v="0"/>
    <s v="Premium Stream 1M Model P145"/>
    <x v="2"/>
    <n v="84.01"/>
    <x v="113"/>
  </r>
  <r>
    <x v="1473"/>
    <x v="156"/>
    <s v="PROD-ELEC-103"/>
    <n v="2"/>
    <x v="1472"/>
    <x v="0"/>
    <x v="4"/>
    <x v="1"/>
    <s v="   delivered "/>
    <x v="0"/>
    <s v="Webcam Model Z103"/>
    <x v="0"/>
    <n v="60.39"/>
    <x v="476"/>
  </r>
  <r>
    <x v="1474"/>
    <x v="148"/>
    <s v="PROD-ELEC-007"/>
    <n v="1"/>
    <x v="1473"/>
    <x v="1"/>
    <x v="1"/>
    <x v="1"/>
    <s v="   delivered "/>
    <x v="0"/>
    <s v="Smartwatch Model H7"/>
    <x v="0"/>
    <n v="204.37"/>
    <x v="24"/>
  </r>
  <r>
    <x v="1475"/>
    <x v="49"/>
    <s v="PROD-HOME-138"/>
    <n v="1"/>
    <x v="1474"/>
    <x v="3"/>
    <x v="5"/>
    <x v="3"/>
    <s v="PENDING_REVIEW"/>
    <x v="2"/>
    <s v="Desk Lamp Model I138"/>
    <x v="3"/>
    <n v="94.55"/>
    <x v="188"/>
  </r>
  <r>
    <x v="1476"/>
    <x v="211"/>
    <s v="PROD-LUXU-096"/>
    <n v="4"/>
    <x v="1475"/>
    <x v="2"/>
    <x v="6"/>
    <x v="3"/>
    <s v="PENDING_REVIEW"/>
    <x v="2"/>
    <s v="Leather Handbag Model S96"/>
    <x v="4"/>
    <n v="2336.6799999999998"/>
    <x v="290"/>
  </r>
  <r>
    <x v="1477"/>
    <x v="129"/>
    <s v="PROD-DIGI-144"/>
    <n v="1"/>
    <x v="1476"/>
    <x v="0"/>
    <x v="1"/>
    <x v="0"/>
    <s v="   delivered "/>
    <x v="0"/>
    <s v="Cloud Storage Basic Model O144"/>
    <x v="2"/>
    <n v="41.55"/>
    <x v="33"/>
  </r>
  <r>
    <x v="1478"/>
    <x v="178"/>
    <s v="PROD-HOME-065"/>
    <n v="5"/>
    <x v="1477"/>
    <x v="3"/>
    <x v="5"/>
    <x v="4"/>
    <s v=" disputed  "/>
    <x v="5"/>
    <s v="Mug Model N65"/>
    <x v="3"/>
    <n v="131.44999999999999"/>
    <x v="414"/>
  </r>
  <r>
    <x v="1479"/>
    <x v="276"/>
    <s v="PROD-HOME-138"/>
    <n v="2"/>
    <x v="1478"/>
    <x v="0"/>
    <x v="6"/>
    <x v="2"/>
    <s v="   delivered "/>
    <x v="0"/>
    <s v="Desk Lamp Model I138"/>
    <x v="3"/>
    <n v="94.55"/>
    <x v="146"/>
  </r>
  <r>
    <x v="1480"/>
    <x v="123"/>
    <s v="PROD-LUXU-129"/>
    <n v="1"/>
    <x v="1479"/>
    <x v="1"/>
    <x v="6"/>
    <x v="2"/>
    <s v=" disputed  "/>
    <x v="5"/>
    <s v="Silk Scarf Model Z129"/>
    <x v="4"/>
    <n v="1610"/>
    <x v="207"/>
  </r>
  <r>
    <x v="1481"/>
    <x v="156"/>
    <s v="PROD-DIGI-051"/>
    <n v="1"/>
    <x v="1480"/>
    <x v="1"/>
    <x v="0"/>
    <x v="0"/>
    <s v="   delivered "/>
    <x v="0"/>
    <s v="Premium Stream 1M Model Z51"/>
    <x v="2"/>
    <n v="55.69"/>
    <x v="110"/>
  </r>
  <r>
    <x v="1482"/>
    <x v="198"/>
    <s v="PROD-DIGI-041"/>
    <n v="1"/>
    <x v="1481"/>
    <x v="1"/>
    <x v="5"/>
    <x v="4"/>
    <s v="PENDING_REVIEW"/>
    <x v="2"/>
    <s v="Cloud Storage Basic Model P41"/>
    <x v="2"/>
    <n v="96.93"/>
    <x v="211"/>
  </r>
  <r>
    <x v="1483"/>
    <x v="127"/>
    <s v="PROD-APPA-015"/>
    <n v="1"/>
    <x v="1482"/>
    <x v="2"/>
    <x v="5"/>
    <x v="4"/>
    <s v=" disputed  "/>
    <x v="5"/>
    <s v="Cap Model P15"/>
    <x v="1"/>
    <n v="21.11"/>
    <x v="62"/>
  </r>
  <r>
    <x v="1484"/>
    <x v="159"/>
    <s v="PROD-DIGI-099"/>
    <n v="1"/>
    <x v="1483"/>
    <x v="0"/>
    <x v="6"/>
    <x v="2"/>
    <s v="   delivered "/>
    <x v="0"/>
    <s v="Premium Stream 1M Model V99"/>
    <x v="2"/>
    <n v="30.08"/>
    <x v="89"/>
  </r>
  <r>
    <x v="1485"/>
    <x v="69"/>
    <s v="PROD-ELEC-059"/>
    <n v="2"/>
    <x v="1484"/>
    <x v="0"/>
    <x v="2"/>
    <x v="2"/>
    <s v="   delivered "/>
    <x v="0"/>
    <s v="Charger Model H59"/>
    <x v="0"/>
    <n v="204.89"/>
    <x v="266"/>
  </r>
  <r>
    <x v="1486"/>
    <x v="235"/>
    <s v="PROD-LUXU-116"/>
    <n v="5"/>
    <x v="1485"/>
    <x v="1"/>
    <x v="1"/>
    <x v="3"/>
    <s v="PENDING_REVIEW"/>
    <x v="2"/>
    <s v="Designer Watch Model M116"/>
    <x v="4"/>
    <n v="968.52"/>
    <x v="404"/>
  </r>
  <r>
    <x v="1487"/>
    <x v="100"/>
    <s v="PROD-HOME-113"/>
    <n v="1"/>
    <x v="1486"/>
    <x v="1"/>
    <x v="2"/>
    <x v="0"/>
    <s v="   delivered "/>
    <x v="0"/>
    <s v="Desk Lamp Model J113"/>
    <x v="3"/>
    <n v="69.489999999999995"/>
    <x v="105"/>
  </r>
  <r>
    <x v="1488"/>
    <x v="204"/>
    <s v="PROD-APPA-111"/>
    <n v="1"/>
    <x v="1487"/>
    <x v="1"/>
    <x v="5"/>
    <x v="2"/>
    <s v="PENDING_REVIEW"/>
    <x v="2"/>
    <s v="Hoodie Model H111"/>
    <x v="1"/>
    <n v="57.44"/>
    <x v="177"/>
  </r>
  <r>
    <x v="1489"/>
    <x v="275"/>
    <s v="PROD-HOME-089"/>
    <n v="1"/>
    <x v="1488"/>
    <x v="3"/>
    <x v="3"/>
    <x v="4"/>
    <s v=" disputed  "/>
    <x v="5"/>
    <s v="Blender Model L89"/>
    <x v="3"/>
    <n v="138.6"/>
    <x v="53"/>
  </r>
  <r>
    <x v="1490"/>
    <x v="40"/>
    <s v="PROD-DIGI-030"/>
    <n v="1"/>
    <x v="1489"/>
    <x v="1"/>
    <x v="2"/>
    <x v="2"/>
    <s v="   delivered "/>
    <x v="0"/>
    <s v="VPN 6-Month Pass Model E30"/>
    <x v="2"/>
    <n v="28.63"/>
    <x v="291"/>
  </r>
  <r>
    <x v="1491"/>
    <x v="156"/>
    <s v="PROD-DIGI-051"/>
    <n v="1"/>
    <x v="1490"/>
    <x v="0"/>
    <x v="6"/>
    <x v="0"/>
    <s v="   delivered "/>
    <x v="0"/>
    <s v="Premium Stream 1M Model Z51"/>
    <x v="2"/>
    <n v="55.69"/>
    <x v="110"/>
  </r>
  <r>
    <x v="1492"/>
    <x v="227"/>
    <s v="PROD-ELEC-104"/>
    <n v="5"/>
    <x v="1491"/>
    <x v="3"/>
    <x v="3"/>
    <x v="3"/>
    <s v="REFUNDED "/>
    <x v="4"/>
    <s v="Smartwatch Model A104"/>
    <x v="0"/>
    <n v="80.59"/>
    <x v="220"/>
  </r>
  <r>
    <x v="1493"/>
    <x v="41"/>
    <s v="PROD-APPA-027"/>
    <n v="2"/>
    <x v="1492"/>
    <x v="0"/>
    <x v="1"/>
    <x v="2"/>
    <s v="   delivered "/>
    <x v="0"/>
    <s v="Jacket Model B27"/>
    <x v="1"/>
    <n v="64.290000000000006"/>
    <x v="193"/>
  </r>
  <r>
    <x v="1494"/>
    <x v="144"/>
    <s v="PROD-ELEC-083"/>
    <n v="1"/>
    <x v="1493"/>
    <x v="0"/>
    <x v="2"/>
    <x v="0"/>
    <s v="   delivered "/>
    <x v="0"/>
    <s v="Keyboard Model F83"/>
    <x v="0"/>
    <n v="77.150000000000006"/>
    <x v="111"/>
  </r>
  <r>
    <x v="1495"/>
    <x v="22"/>
    <s v="PROD-APPA-101"/>
    <n v="4"/>
    <x v="1494"/>
    <x v="0"/>
    <x v="5"/>
    <x v="2"/>
    <s v=" disputed  "/>
    <x v="5"/>
    <s v="Jeans Model X101"/>
    <x v="1"/>
    <n v="99.82"/>
    <x v="429"/>
  </r>
  <r>
    <x v="1496"/>
    <x v="129"/>
    <s v="PROD-DIGI-125"/>
    <n v="1"/>
    <x v="1495"/>
    <x v="0"/>
    <x v="4"/>
    <x v="2"/>
    <s v="   delivered "/>
    <x v="0"/>
    <s v="Premium Stream 1M Model V125"/>
    <x v="2"/>
    <n v="18.87"/>
    <x v="44"/>
  </r>
  <r>
    <x v="1497"/>
    <x v="285"/>
    <s v="PROD-APPA-002"/>
    <n v="1"/>
    <x v="1496"/>
    <x v="4"/>
    <x v="4"/>
    <x v="2"/>
    <s v="   delivered "/>
    <x v="0"/>
    <s v="Sneakers Model C2"/>
    <x v="1"/>
    <n v="21.27"/>
    <x v="197"/>
  </r>
  <r>
    <x v="1498"/>
    <x v="295"/>
    <s v="PROD-APPA-015"/>
    <n v="1"/>
    <x v="1497"/>
    <x v="1"/>
    <x v="3"/>
    <x v="4"/>
    <s v="PENDING_REVIEW"/>
    <x v="2"/>
    <s v="Cap Model P15"/>
    <x v="1"/>
    <n v="21.11"/>
    <x v="62"/>
  </r>
  <r>
    <x v="1499"/>
    <x v="58"/>
    <s v="PROD-HOME-016"/>
    <n v="1"/>
    <x v="1498"/>
    <x v="1"/>
    <x v="2"/>
    <x v="2"/>
    <s v="   delivered "/>
    <x v="0"/>
    <s v="Blender Model Q16"/>
    <x v="3"/>
    <n v="79.23"/>
    <x v="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ED2BC-4D3D-4830-8363-F124E38970FA}" name="PivotTable1" cacheId="0" applyNumberFormats="0" applyBorderFormats="0" applyFontFormats="0" applyPatternFormats="0" applyAlignmentFormats="0" applyWidthHeightFormats="1" dataCaption="Values" showMissing="0" updatedVersion="8" minRefreshableVersion="3" showDrill="0" itemPrintTitles="1" createdVersion="8" indent="0" compact="0" compactData="0" multipleFieldFilters="0">
  <location ref="I26:M41" firstHeaderRow="1" firstDataRow="1" firstDataCol="4"/>
  <pivotFields count="15">
    <pivotField axis="axisRow" compact="0" outline="0" showAll="0" measureFilter="1" defaultSubtotal="0">
      <items count="1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s>
    </pivotField>
    <pivotField axis="axisRow" compact="0" outline="0" showAll="0" defaultSubtotal="0">
      <items count="300">
        <item x="189"/>
        <item x="153"/>
        <item x="289"/>
        <item x="273"/>
        <item x="231"/>
        <item x="82"/>
        <item x="47"/>
        <item x="121"/>
        <item x="91"/>
        <item x="3"/>
        <item x="13"/>
        <item x="234"/>
        <item x="249"/>
        <item x="29"/>
        <item x="71"/>
        <item x="10"/>
        <item x="155"/>
        <item x="242"/>
        <item x="185"/>
        <item x="253"/>
        <item x="9"/>
        <item x="40"/>
        <item x="210"/>
        <item x="124"/>
        <item x="290"/>
        <item x="236"/>
        <item x="5"/>
        <item x="125"/>
        <item x="222"/>
        <item x="280"/>
        <item x="146"/>
        <item x="256"/>
        <item x="251"/>
        <item x="132"/>
        <item x="271"/>
        <item x="8"/>
        <item x="157"/>
        <item x="134"/>
        <item x="34"/>
        <item x="277"/>
        <item x="227"/>
        <item x="1"/>
        <item x="287"/>
        <item x="85"/>
        <item x="64"/>
        <item x="186"/>
        <item x="171"/>
        <item x="92"/>
        <item x="269"/>
        <item x="240"/>
        <item x="147"/>
        <item x="115"/>
        <item x="36"/>
        <item x="181"/>
        <item x="50"/>
        <item x="27"/>
        <item x="260"/>
        <item x="18"/>
        <item x="187"/>
        <item x="140"/>
        <item x="38"/>
        <item x="198"/>
        <item x="165"/>
        <item x="16"/>
        <item x="284"/>
        <item x="259"/>
        <item x="196"/>
        <item x="294"/>
        <item x="206"/>
        <item x="239"/>
        <item x="252"/>
        <item x="161"/>
        <item x="216"/>
        <item x="204"/>
        <item x="258"/>
        <item x="137"/>
        <item x="136"/>
        <item x="14"/>
        <item x="217"/>
        <item x="150"/>
        <item x="199"/>
        <item x="182"/>
        <item x="25"/>
        <item x="162"/>
        <item x="24"/>
        <item x="278"/>
        <item x="226"/>
        <item x="151"/>
        <item x="174"/>
        <item x="55"/>
        <item x="120"/>
        <item x="176"/>
        <item x="74"/>
        <item x="111"/>
        <item x="291"/>
        <item x="193"/>
        <item x="84"/>
        <item x="108"/>
        <item x="116"/>
        <item x="297"/>
        <item x="33"/>
        <item x="12"/>
        <item x="295"/>
        <item x="195"/>
        <item x="257"/>
        <item x="148"/>
        <item x="298"/>
        <item x="76"/>
        <item x="285"/>
        <item x="112"/>
        <item x="20"/>
        <item x="238"/>
        <item x="94"/>
        <item x="7"/>
        <item x="143"/>
        <item x="118"/>
        <item x="172"/>
        <item x="107"/>
        <item x="158"/>
        <item x="219"/>
        <item x="233"/>
        <item x="15"/>
        <item x="86"/>
        <item x="35"/>
        <item x="63"/>
        <item x="11"/>
        <item x="139"/>
        <item x="106"/>
        <item x="0"/>
        <item x="230"/>
        <item x="22"/>
        <item x="78"/>
        <item x="296"/>
        <item x="247"/>
        <item x="149"/>
        <item x="160"/>
        <item x="61"/>
        <item x="57"/>
        <item x="168"/>
        <item x="123"/>
        <item x="80"/>
        <item x="65"/>
        <item x="79"/>
        <item x="114"/>
        <item x="128"/>
        <item x="237"/>
        <item x="156"/>
        <item x="275"/>
        <item x="126"/>
        <item x="93"/>
        <item x="117"/>
        <item x="145"/>
        <item x="221"/>
        <item x="37"/>
        <item x="138"/>
        <item x="96"/>
        <item x="163"/>
        <item x="241"/>
        <item x="26"/>
        <item x="270"/>
        <item x="109"/>
        <item x="211"/>
        <item x="288"/>
        <item x="180"/>
        <item x="62"/>
        <item x="73"/>
        <item x="244"/>
        <item x="183"/>
        <item x="103"/>
        <item x="179"/>
        <item x="282"/>
        <item x="70"/>
        <item x="218"/>
        <item x="46"/>
        <item x="281"/>
        <item x="100"/>
        <item x="41"/>
        <item x="178"/>
        <item x="6"/>
        <item x="104"/>
        <item x="77"/>
        <item x="293"/>
        <item x="223"/>
        <item x="119"/>
        <item x="52"/>
        <item x="243"/>
        <item x="245"/>
        <item x="23"/>
        <item x="44"/>
        <item x="248"/>
        <item x="224"/>
        <item x="31"/>
        <item x="208"/>
        <item x="69"/>
        <item x="212"/>
        <item x="205"/>
        <item x="213"/>
        <item x="254"/>
        <item x="292"/>
        <item x="283"/>
        <item x="299"/>
        <item x="235"/>
        <item x="32"/>
        <item x="268"/>
        <item x="133"/>
        <item x="167"/>
        <item x="95"/>
        <item x="87"/>
        <item x="154"/>
        <item x="184"/>
        <item x="192"/>
        <item x="201"/>
        <item x="142"/>
        <item x="255"/>
        <item x="48"/>
        <item x="272"/>
        <item x="101"/>
        <item x="265"/>
        <item x="43"/>
        <item x="225"/>
        <item x="51"/>
        <item x="54"/>
        <item x="60"/>
        <item x="164"/>
        <item x="130"/>
        <item x="144"/>
        <item x="220"/>
        <item x="207"/>
        <item x="90"/>
        <item x="66"/>
        <item x="262"/>
        <item x="105"/>
        <item x="203"/>
        <item x="264"/>
        <item x="53"/>
        <item x="191"/>
        <item x="67"/>
        <item x="21"/>
        <item x="166"/>
        <item x="2"/>
        <item x="202"/>
        <item x="17"/>
        <item x="88"/>
        <item x="131"/>
        <item x="129"/>
        <item x="246"/>
        <item x="59"/>
        <item x="197"/>
        <item x="75"/>
        <item x="49"/>
        <item x="89"/>
        <item x="170"/>
        <item x="72"/>
        <item x="228"/>
        <item x="194"/>
        <item x="169"/>
        <item x="214"/>
        <item x="267"/>
        <item x="45"/>
        <item x="200"/>
        <item x="279"/>
        <item x="261"/>
        <item x="188"/>
        <item x="83"/>
        <item x="175"/>
        <item x="263"/>
        <item x="56"/>
        <item x="113"/>
        <item x="215"/>
        <item x="286"/>
        <item x="99"/>
        <item x="42"/>
        <item x="122"/>
        <item x="110"/>
        <item x="58"/>
        <item x="4"/>
        <item x="190"/>
        <item x="159"/>
        <item x="232"/>
        <item x="266"/>
        <item x="102"/>
        <item x="152"/>
        <item x="98"/>
        <item x="81"/>
        <item x="141"/>
        <item x="276"/>
        <item x="250"/>
        <item x="19"/>
        <item x="39"/>
        <item x="274"/>
        <item x="68"/>
        <item x="209"/>
        <item x="127"/>
        <item x="30"/>
        <item x="135"/>
        <item x="28"/>
        <item x="97"/>
        <item x="229"/>
        <item x="177"/>
        <item x="173"/>
      </items>
    </pivotField>
    <pivotField compact="0" outline="0" showAll="0"/>
    <pivotField compact="0" outline="0" showAll="0"/>
    <pivotField compact="0" numFmtId="22" outline="0" showAll="0">
      <items count="1500">
        <item x="545"/>
        <item x="531"/>
        <item x="681"/>
        <item x="821"/>
        <item x="648"/>
        <item x="1230"/>
        <item x="298"/>
        <item x="1250"/>
        <item x="12"/>
        <item x="1082"/>
        <item x="330"/>
        <item x="676"/>
        <item x="217"/>
        <item x="550"/>
        <item x="1346"/>
        <item x="998"/>
        <item x="680"/>
        <item x="668"/>
        <item x="995"/>
        <item x="454"/>
        <item x="835"/>
        <item x="1471"/>
        <item x="730"/>
        <item x="627"/>
        <item x="649"/>
        <item x="1307"/>
        <item x="592"/>
        <item x="1284"/>
        <item x="1139"/>
        <item x="1182"/>
        <item x="600"/>
        <item x="1079"/>
        <item x="227"/>
        <item x="127"/>
        <item x="1384"/>
        <item x="230"/>
        <item x="1212"/>
        <item x="1098"/>
        <item x="1456"/>
        <item x="1081"/>
        <item x="1110"/>
        <item x="851"/>
        <item x="950"/>
        <item x="796"/>
        <item x="994"/>
        <item x="802"/>
        <item x="117"/>
        <item x="401"/>
        <item x="95"/>
        <item x="677"/>
        <item x="388"/>
        <item x="306"/>
        <item x="770"/>
        <item x="581"/>
        <item x="968"/>
        <item x="413"/>
        <item x="786"/>
        <item x="463"/>
        <item x="978"/>
        <item x="772"/>
        <item x="746"/>
        <item x="1397"/>
        <item x="248"/>
        <item x="265"/>
        <item x="103"/>
        <item x="478"/>
        <item x="971"/>
        <item x="125"/>
        <item x="215"/>
        <item x="850"/>
        <item x="130"/>
        <item x="752"/>
        <item x="653"/>
        <item x="1214"/>
        <item x="26"/>
        <item x="1375"/>
        <item x="793"/>
        <item x="1104"/>
        <item x="1077"/>
        <item x="174"/>
        <item x="1150"/>
        <item x="1319"/>
        <item x="1488"/>
        <item x="1351"/>
        <item x="1407"/>
        <item x="258"/>
        <item x="916"/>
        <item x="742"/>
        <item x="400"/>
        <item x="688"/>
        <item x="1359"/>
        <item x="373"/>
        <item x="1154"/>
        <item x="1235"/>
        <item x="663"/>
        <item x="650"/>
        <item x="1244"/>
        <item x="1389"/>
        <item x="526"/>
        <item x="151"/>
        <item x="1303"/>
        <item x="840"/>
        <item x="1251"/>
        <item x="1107"/>
        <item x="1108"/>
        <item x="743"/>
        <item x="972"/>
        <item x="948"/>
        <item x="1202"/>
        <item x="5"/>
        <item x="722"/>
        <item x="8"/>
        <item x="661"/>
        <item x="171"/>
        <item x="540"/>
        <item x="1195"/>
        <item x="277"/>
        <item x="863"/>
        <item x="1058"/>
        <item x="453"/>
        <item x="1420"/>
        <item x="1287"/>
        <item x="1288"/>
        <item x="794"/>
        <item x="624"/>
        <item x="89"/>
        <item x="963"/>
        <item x="1067"/>
        <item x="620"/>
        <item x="970"/>
        <item x="773"/>
        <item x="1022"/>
        <item x="686"/>
        <item x="497"/>
        <item x="602"/>
        <item x="214"/>
        <item x="488"/>
        <item x="223"/>
        <item x="902"/>
        <item x="1292"/>
        <item x="320"/>
        <item x="1180"/>
        <item x="637"/>
        <item x="1015"/>
        <item x="517"/>
        <item x="1388"/>
        <item x="1089"/>
        <item x="738"/>
        <item x="1424"/>
        <item x="399"/>
        <item x="1335"/>
        <item x="664"/>
        <item x="102"/>
        <item x="562"/>
        <item x="1053"/>
        <item x="591"/>
        <item x="1372"/>
        <item x="598"/>
        <item x="98"/>
        <item x="1376"/>
        <item x="292"/>
        <item x="1332"/>
        <item x="853"/>
        <item x="1390"/>
        <item x="360"/>
        <item x="737"/>
        <item x="1144"/>
        <item x="1316"/>
        <item x="704"/>
        <item x="279"/>
        <item x="1199"/>
        <item x="695"/>
        <item x="262"/>
        <item x="1455"/>
        <item x="269"/>
        <item x="639"/>
        <item x="78"/>
        <item x="658"/>
        <item x="168"/>
        <item x="1206"/>
        <item x="917"/>
        <item x="882"/>
        <item x="75"/>
        <item x="1362"/>
        <item x="254"/>
        <item x="462"/>
        <item x="607"/>
        <item x="577"/>
        <item x="735"/>
        <item x="290"/>
        <item x="898"/>
        <item x="435"/>
        <item x="758"/>
        <item x="1394"/>
        <item x="922"/>
        <item x="45"/>
        <item x="621"/>
        <item x="480"/>
        <item x="556"/>
        <item x="1140"/>
        <item x="959"/>
        <item x="19"/>
        <item x="544"/>
        <item x="1469"/>
        <item x="1143"/>
        <item x="1216"/>
        <item x="514"/>
        <item x="308"/>
        <item x="257"/>
        <item x="879"/>
        <item x="870"/>
        <item x="1039"/>
        <item x="236"/>
        <item x="1425"/>
        <item x="954"/>
        <item x="378"/>
        <item x="192"/>
        <item x="527"/>
        <item x="933"/>
        <item x="571"/>
        <item x="1149"/>
        <item x="1430"/>
        <item x="808"/>
        <item x="129"/>
        <item x="1008"/>
        <item x="557"/>
        <item x="1086"/>
        <item x="645"/>
        <item x="1296"/>
        <item x="476"/>
        <item x="683"/>
        <item x="1369"/>
        <item x="389"/>
        <item x="1125"/>
        <item x="377"/>
        <item x="1285"/>
        <item x="297"/>
        <item x="707"/>
        <item x="1128"/>
        <item x="839"/>
        <item x="706"/>
        <item x="369"/>
        <item x="1243"/>
        <item x="1014"/>
        <item x="1109"/>
        <item x="804"/>
        <item x="79"/>
        <item x="1167"/>
        <item x="35"/>
        <item x="1178"/>
        <item x="470"/>
        <item x="1228"/>
        <item x="1418"/>
        <item x="424"/>
        <item x="471"/>
        <item x="430"/>
        <item x="1353"/>
        <item x="1153"/>
        <item x="391"/>
        <item x="883"/>
        <item x="1278"/>
        <item x="622"/>
        <item x="85"/>
        <item x="634"/>
        <item x="113"/>
        <item x="481"/>
        <item x="437"/>
        <item x="181"/>
        <item x="714"/>
        <item x="1318"/>
        <item x="1240"/>
        <item x="552"/>
        <item x="710"/>
        <item x="1055"/>
        <item x="529"/>
        <item x="1246"/>
        <item x="572"/>
        <item x="977"/>
        <item x="633"/>
        <item x="740"/>
        <item x="1256"/>
        <item x="820"/>
        <item x="1040"/>
        <item x="1428"/>
        <item x="698"/>
        <item x="1072"/>
        <item x="301"/>
        <item x="90"/>
        <item x="547"/>
        <item x="996"/>
        <item x="533"/>
        <item x="1265"/>
        <item x="955"/>
        <item x="436"/>
        <item x="1467"/>
        <item x="67"/>
        <item x="1249"/>
        <item x="560"/>
        <item x="810"/>
        <item x="455"/>
        <item x="329"/>
        <item x="496"/>
        <item x="705"/>
        <item x="105"/>
        <item x="2"/>
        <item x="1059"/>
        <item x="559"/>
        <item x="1124"/>
        <item x="443"/>
        <item x="218"/>
        <item x="1155"/>
        <item x="1025"/>
        <item x="729"/>
        <item x="575"/>
        <item x="317"/>
        <item x="137"/>
        <item x="211"/>
        <item x="1406"/>
        <item x="789"/>
        <item x="1402"/>
        <item x="1062"/>
        <item x="268"/>
        <item x="143"/>
        <item x="197"/>
        <item x="1478"/>
        <item x="719"/>
        <item x="912"/>
        <item x="931"/>
        <item x="652"/>
        <item x="237"/>
        <item x="156"/>
        <item x="1464"/>
        <item x="220"/>
        <item x="387"/>
        <item x="896"/>
        <item x="1373"/>
        <item x="873"/>
        <item x="201"/>
        <item x="1116"/>
        <item x="1326"/>
        <item x="295"/>
        <item x="68"/>
        <item x="1437"/>
        <item x="1325"/>
        <item x="123"/>
        <item x="613"/>
        <item x="644"/>
        <item x="13"/>
        <item x="1398"/>
        <item x="715"/>
        <item x="964"/>
        <item x="776"/>
        <item x="1169"/>
        <item x="406"/>
        <item x="60"/>
        <item x="1336"/>
        <item x="1134"/>
        <item x="855"/>
        <item x="1415"/>
        <item x="1322"/>
        <item x="984"/>
        <item x="36"/>
        <item x="629"/>
        <item x="270"/>
        <item x="988"/>
        <item x="83"/>
        <item x="1097"/>
        <item x="565"/>
        <item x="861"/>
        <item x="914"/>
        <item x="643"/>
        <item x="632"/>
        <item x="842"/>
        <item x="449"/>
        <item x="1363"/>
        <item x="1440"/>
        <item x="1102"/>
        <item x="467"/>
        <item x="315"/>
        <item x="854"/>
        <item x="782"/>
        <item x="941"/>
        <item x="748"/>
        <item x="597"/>
        <item x="1317"/>
        <item x="448"/>
        <item x="997"/>
        <item x="724"/>
        <item x="626"/>
        <item x="1494"/>
        <item x="22"/>
        <item x="792"/>
        <item x="405"/>
        <item x="148"/>
        <item x="1450"/>
        <item x="23"/>
        <item x="981"/>
        <item x="1315"/>
        <item x="1254"/>
        <item x="235"/>
        <item x="1377"/>
        <item x="1275"/>
        <item x="1476"/>
        <item x="1063"/>
        <item x="1038"/>
        <item x="1173"/>
        <item x="349"/>
        <item x="1161"/>
        <item x="439"/>
        <item x="824"/>
        <item x="47"/>
        <item x="410"/>
        <item x="1334"/>
        <item x="38"/>
        <item x="25"/>
        <item x="451"/>
        <item x="302"/>
        <item x="445"/>
        <item x="124"/>
        <item x="1020"/>
        <item x="790"/>
        <item x="175"/>
        <item x="1242"/>
        <item x="1031"/>
        <item x="865"/>
        <item x="915"/>
        <item x="41"/>
        <item x="969"/>
        <item x="238"/>
        <item x="1432"/>
        <item x="1054"/>
        <item x="1239"/>
        <item x="1313"/>
        <item x="423"/>
        <item x="674"/>
        <item x="732"/>
        <item x="414"/>
        <item x="1129"/>
        <item x="1130"/>
        <item x="16"/>
        <item x="669"/>
        <item x="1078"/>
        <item x="338"/>
        <item x="799"/>
        <item x="81"/>
        <item x="1308"/>
        <item x="532"/>
        <item x="128"/>
        <item x="880"/>
        <item x="487"/>
        <item x="418"/>
        <item x="394"/>
        <item x="86"/>
        <item x="178"/>
        <item x="267"/>
        <item x="1136"/>
        <item x="1069"/>
        <item x="836"/>
        <item x="482"/>
        <item x="1272"/>
        <item x="1366"/>
        <item x="1100"/>
        <item x="1460"/>
        <item x="180"/>
        <item x="259"/>
        <item x="749"/>
        <item x="989"/>
        <item x="1340"/>
        <item x="601"/>
        <item x="718"/>
        <item x="1241"/>
        <item x="136"/>
        <item x="570"/>
        <item x="1271"/>
        <item x="73"/>
        <item x="475"/>
        <item x="1004"/>
        <item x="177"/>
        <item x="221"/>
        <item x="97"/>
        <item x="1343"/>
        <item x="1399"/>
        <item x="1480"/>
        <item x="780"/>
        <item x="731"/>
        <item x="66"/>
        <item x="1044"/>
        <item x="379"/>
        <item x="1416"/>
        <item x="826"/>
        <item x="1442"/>
        <item x="1032"/>
        <item x="116"/>
        <item x="1099"/>
        <item x="1045"/>
        <item x="655"/>
        <item x="1223"/>
        <item x="662"/>
        <item x="1203"/>
        <item x="1298"/>
        <item x="816"/>
        <item x="848"/>
        <item x="894"/>
        <item x="245"/>
        <item x="548"/>
        <item x="285"/>
        <item x="647"/>
        <item x="901"/>
        <item x="121"/>
        <item x="555"/>
        <item x="1481"/>
        <item x="219"/>
        <item x="1146"/>
        <item x="1483"/>
        <item x="135"/>
        <item x="1138"/>
        <item x="57"/>
        <item x="51"/>
        <item x="906"/>
        <item x="142"/>
        <item x="830"/>
        <item x="1300"/>
        <item x="783"/>
        <item x="4"/>
        <item x="587"/>
        <item x="1472"/>
        <item x="159"/>
        <item x="357"/>
        <item x="778"/>
        <item x="589"/>
        <item x="271"/>
        <item x="404"/>
        <item x="182"/>
        <item x="244"/>
        <item x="133"/>
        <item x="675"/>
        <item x="204"/>
        <item x="754"/>
        <item x="477"/>
        <item x="325"/>
        <item x="777"/>
        <item x="49"/>
        <item x="727"/>
        <item x="500"/>
        <item x="1083"/>
        <item x="1262"/>
        <item x="720"/>
        <item x="656"/>
        <item x="1190"/>
        <item x="762"/>
        <item x="537"/>
        <item x="1291"/>
        <item x="1417"/>
        <item x="999"/>
        <item x="96"/>
        <item x="1323"/>
        <item x="166"/>
        <item x="1238"/>
        <item x="207"/>
        <item x="1354"/>
        <item x="1145"/>
        <item x="1380"/>
        <item x="852"/>
        <item x="50"/>
        <item x="198"/>
        <item x="55"/>
        <item x="1018"/>
        <item x="479"/>
        <item x="892"/>
        <item x="1492"/>
        <item x="1454"/>
        <item x="886"/>
        <item x="1321"/>
        <item x="1482"/>
        <item x="937"/>
        <item x="1289"/>
        <item x="52"/>
        <item x="494"/>
        <item x="1159"/>
        <item x="293"/>
        <item x="949"/>
        <item x="957"/>
        <item x="505"/>
        <item x="992"/>
        <item x="261"/>
        <item x="300"/>
        <item x="769"/>
        <item x="0"/>
        <item x="1122"/>
        <item x="34"/>
        <item x="703"/>
        <item x="636"/>
        <item x="146"/>
        <item x="535"/>
        <item x="465"/>
        <item x="750"/>
        <item x="974"/>
        <item x="1001"/>
        <item x="231"/>
        <item x="925"/>
        <item x="1016"/>
        <item x="576"/>
        <item x="610"/>
        <item x="1320"/>
        <item x="510"/>
        <item x="687"/>
        <item x="1452"/>
        <item x="345"/>
        <item x="952"/>
        <item x="263"/>
        <item x="490"/>
        <item x="1355"/>
        <item x="1127"/>
        <item x="665"/>
        <item x="186"/>
        <item x="986"/>
        <item x="580"/>
        <item x="232"/>
        <item x="1283"/>
        <item x="935"/>
        <item x="1290"/>
        <item x="450"/>
        <item x="138"/>
        <item x="493"/>
        <item x="1423"/>
        <item x="1392"/>
        <item x="1273"/>
        <item x="464"/>
        <item x="699"/>
        <item x="311"/>
        <item x="1232"/>
        <item x="341"/>
        <item x="1314"/>
        <item x="1264"/>
        <item x="876"/>
        <item x="1293"/>
        <item x="291"/>
        <item x="1027"/>
        <item x="1147"/>
        <item x="755"/>
        <item x="1401"/>
        <item x="869"/>
        <item x="1090"/>
        <item x="1057"/>
        <item x="27"/>
        <item x="1013"/>
        <item x="907"/>
        <item x="160"/>
        <item x="1036"/>
        <item x="723"/>
        <item x="336"/>
        <item x="1268"/>
        <item x="534"/>
        <item x="582"/>
        <item x="318"/>
        <item x="809"/>
        <item x="1119"/>
        <item x="53"/>
        <item x="1393"/>
        <item x="1005"/>
        <item x="179"/>
        <item x="951"/>
        <item x="1218"/>
        <item x="716"/>
        <item x="438"/>
        <item x="1088"/>
        <item x="1411"/>
        <item x="1448"/>
        <item x="1000"/>
        <item x="189"/>
        <item x="611"/>
        <item x="618"/>
        <item x="1085"/>
        <item x="965"/>
        <item x="339"/>
        <item x="1441"/>
        <item x="709"/>
        <item x="1152"/>
        <item x="427"/>
        <item x="1066"/>
        <item x="266"/>
        <item x="1210"/>
        <item x="700"/>
        <item x="1439"/>
        <item x="593"/>
        <item x="813"/>
        <item x="296"/>
        <item x="702"/>
        <item x="825"/>
        <item x="784"/>
        <item x="921"/>
        <item x="831"/>
        <item x="193"/>
        <item x="657"/>
        <item x="1024"/>
        <item x="154"/>
        <item x="1200"/>
        <item x="501"/>
        <item x="17"/>
        <item x="1352"/>
        <item x="768"/>
        <item x="1259"/>
        <item x="1361"/>
        <item x="801"/>
        <item x="1489"/>
        <item x="521"/>
        <item x="492"/>
        <item x="1017"/>
        <item x="344"/>
        <item x="282"/>
        <item x="666"/>
        <item x="614"/>
        <item x="202"/>
        <item x="1157"/>
        <item x="1434"/>
        <item x="829"/>
        <item x="741"/>
        <item x="864"/>
        <item x="1201"/>
        <item x="1341"/>
        <item x="1427"/>
        <item x="376"/>
        <item x="1324"/>
        <item x="1224"/>
        <item x="256"/>
        <item x="798"/>
        <item x="167"/>
        <item x="331"/>
        <item x="29"/>
        <item x="635"/>
        <item x="834"/>
        <item x="39"/>
        <item x="1093"/>
        <item x="522"/>
        <item x="857"/>
        <item x="800"/>
        <item x="1060"/>
        <item x="393"/>
        <item x="1095"/>
        <item x="525"/>
        <item x="1412"/>
        <item x="936"/>
        <item x="899"/>
        <item x="1274"/>
        <item x="630"/>
        <item x="1191"/>
        <item x="1339"/>
        <item x="392"/>
        <item x="566"/>
        <item x="838"/>
        <item x="983"/>
        <item x="489"/>
        <item x="844"/>
        <item x="210"/>
        <item x="431"/>
        <item x="371"/>
        <item x="240"/>
        <item x="307"/>
        <item x="1231"/>
        <item x="1479"/>
        <item x="1096"/>
        <item x="711"/>
        <item x="1295"/>
        <item x="1035"/>
        <item x="785"/>
        <item x="1132"/>
        <item x="874"/>
        <item x="641"/>
        <item x="1444"/>
        <item x="324"/>
        <item x="1342"/>
        <item x="190"/>
        <item x="1151"/>
        <item x="56"/>
        <item x="366"/>
        <item x="1222"/>
        <item x="805"/>
        <item x="346"/>
        <item x="651"/>
        <item x="1227"/>
        <item x="1470"/>
        <item x="422"/>
        <item x="1496"/>
        <item x="1103"/>
        <item x="558"/>
        <item x="511"/>
        <item x="1311"/>
        <item x="65"/>
        <item x="169"/>
        <item x="890"/>
        <item x="194"/>
        <item x="889"/>
        <item x="659"/>
        <item x="1047"/>
        <item x="1160"/>
        <item x="979"/>
        <item x="538"/>
        <item x="733"/>
        <item x="1404"/>
        <item x="107"/>
        <item x="242"/>
        <item x="1010"/>
        <item x="806"/>
        <item x="109"/>
        <item x="845"/>
        <item x="157"/>
        <item x="682"/>
        <item x="1002"/>
        <item x="818"/>
        <item x="250"/>
        <item x="172"/>
        <item x="1113"/>
        <item x="316"/>
        <item x="332"/>
        <item x="1174"/>
        <item x="203"/>
        <item x="294"/>
        <item x="1286"/>
        <item x="764"/>
        <item x="153"/>
        <item x="1056"/>
        <item x="1076"/>
        <item x="759"/>
        <item x="274"/>
        <item x="573"/>
        <item x="1260"/>
        <item x="444"/>
        <item x="456"/>
        <item x="310"/>
        <item x="987"/>
        <item x="588"/>
        <item x="1193"/>
        <item x="1164"/>
        <item x="1029"/>
        <item x="312"/>
        <item x="888"/>
        <item x="165"/>
        <item x="781"/>
        <item x="1304"/>
        <item x="1381"/>
        <item x="1486"/>
        <item x="594"/>
        <item x="428"/>
        <item x="1257"/>
        <item x="416"/>
        <item x="272"/>
        <item x="1465"/>
        <item x="585"/>
        <item x="384"/>
        <item x="1400"/>
        <item x="429"/>
        <item x="1409"/>
        <item x="871"/>
        <item x="908"/>
        <item x="946"/>
        <item x="745"/>
        <item x="721"/>
        <item x="807"/>
        <item x="1396"/>
        <item x="241"/>
        <item x="518"/>
        <item x="184"/>
        <item x="340"/>
        <item x="1263"/>
        <item x="884"/>
        <item x="24"/>
        <item x="1007"/>
        <item x="976"/>
        <item x="945"/>
        <item x="1162"/>
        <item x="134"/>
        <item x="1338"/>
        <item x="966"/>
        <item x="942"/>
        <item x="1205"/>
        <item x="1213"/>
        <item x="509"/>
        <item x="1023"/>
        <item x="249"/>
        <item x="43"/>
        <item x="725"/>
        <item x="1459"/>
        <item x="409"/>
        <item x="305"/>
        <item x="961"/>
        <item x="1237"/>
        <item x="104"/>
        <item x="1133"/>
        <item x="993"/>
        <item x="354"/>
        <item x="229"/>
        <item x="756"/>
        <item x="568"/>
        <item x="195"/>
        <item x="145"/>
        <item x="9"/>
        <item x="900"/>
        <item x="1266"/>
        <item x="1413"/>
        <item x="390"/>
        <item x="930"/>
        <item x="506"/>
        <item x="605"/>
        <item x="460"/>
        <item x="91"/>
        <item x="70"/>
        <item x="200"/>
        <item x="155"/>
        <item x="1112"/>
        <item x="163"/>
        <item x="1170"/>
        <item x="929"/>
        <item x="760"/>
        <item x="1028"/>
        <item x="685"/>
        <item x="442"/>
        <item x="126"/>
        <item x="322"/>
        <item x="1046"/>
        <item x="595"/>
        <item x="99"/>
        <item x="359"/>
        <item x="875"/>
        <item x="485"/>
        <item x="519"/>
        <item x="574"/>
        <item x="1074"/>
        <item x="1075"/>
        <item x="543"/>
        <item x="334"/>
        <item x="860"/>
        <item x="287"/>
        <item x="1383"/>
        <item x="412"/>
        <item x="1252"/>
        <item x="1189"/>
        <item x="862"/>
        <item x="918"/>
        <item x="321"/>
        <item x="1073"/>
        <item x="255"/>
        <item x="1371"/>
        <item x="697"/>
        <item x="278"/>
        <item x="619"/>
        <item x="1443"/>
        <item x="811"/>
        <item x="352"/>
        <item x="1395"/>
        <item x="841"/>
        <item x="1158"/>
        <item x="397"/>
        <item x="1179"/>
        <item x="333"/>
        <item x="530"/>
        <item x="474"/>
        <item x="960"/>
        <item x="1309"/>
        <item x="956"/>
        <item x="299"/>
        <item x="1207"/>
        <item x="891"/>
        <item x="751"/>
        <item x="1475"/>
        <item x="1348"/>
        <item x="1447"/>
        <item x="383"/>
        <item x="1358"/>
        <item x="76"/>
        <item x="1208"/>
        <item x="913"/>
        <item x="108"/>
        <item x="303"/>
        <item x="708"/>
        <item x="284"/>
        <item x="452"/>
        <item x="849"/>
        <item x="507"/>
        <item x="1068"/>
        <item x="712"/>
        <item x="398"/>
        <item x="1487"/>
        <item x="30"/>
        <item x="1163"/>
        <item x="1221"/>
        <item x="222"/>
        <item x="640"/>
        <item x="1091"/>
        <item x="926"/>
        <item x="691"/>
        <item x="328"/>
        <item x="1247"/>
        <item x="528"/>
        <item x="209"/>
        <item x="1003"/>
        <item x="1374"/>
        <item x="122"/>
        <item x="243"/>
        <item x="728"/>
        <item x="351"/>
        <item x="408"/>
        <item x="1421"/>
        <item x="1148"/>
        <item x="161"/>
        <item x="1049"/>
        <item x="713"/>
        <item x="672"/>
        <item x="975"/>
        <item x="118"/>
        <item x="893"/>
        <item x="59"/>
        <item x="187"/>
        <item x="1050"/>
        <item x="10"/>
        <item x="1463"/>
        <item x="940"/>
        <item x="1226"/>
        <item x="1115"/>
        <item x="251"/>
        <item x="396"/>
        <item x="905"/>
        <item x="1034"/>
        <item x="797"/>
        <item x="554"/>
        <item x="546"/>
        <item x="48"/>
        <item x="1165"/>
        <item x="15"/>
        <item x="757"/>
        <item x="878"/>
        <item x="1446"/>
        <item x="765"/>
        <item x="846"/>
        <item x="1137"/>
        <item x="323"/>
        <item x="395"/>
        <item x="1177"/>
        <item x="1253"/>
        <item x="1171"/>
        <item x="766"/>
        <item x="1433"/>
        <item x="512"/>
        <item x="1064"/>
        <item x="812"/>
        <item x="1071"/>
        <item x="87"/>
        <item x="503"/>
        <item x="461"/>
        <item x="212"/>
        <item x="885"/>
        <item x="1330"/>
        <item x="32"/>
        <item x="1236"/>
        <item x="319"/>
        <item x="1142"/>
        <item x="843"/>
        <item x="1198"/>
        <item x="520"/>
        <item x="458"/>
        <item x="326"/>
        <item x="828"/>
        <item x="191"/>
        <item x="1211"/>
        <item x="355"/>
        <item x="1209"/>
        <item x="642"/>
        <item x="276"/>
        <item x="1468"/>
        <item x="1391"/>
        <item x="909"/>
        <item x="1087"/>
        <item x="660"/>
        <item x="233"/>
        <item x="693"/>
        <item x="33"/>
        <item x="1197"/>
        <item x="457"/>
        <item x="603"/>
        <item x="584"/>
        <item x="612"/>
        <item x="441"/>
        <item x="88"/>
        <item x="1009"/>
        <item x="1414"/>
        <item x="1474"/>
        <item x="44"/>
        <item x="1357"/>
        <item x="1021"/>
        <item x="1498"/>
        <item x="631"/>
        <item x="962"/>
        <item x="1356"/>
        <item x="910"/>
        <item x="1485"/>
        <item x="1186"/>
        <item x="380"/>
        <item x="583"/>
        <item x="144"/>
        <item x="689"/>
        <item x="84"/>
        <item x="1006"/>
        <item x="1131"/>
        <item x="1233"/>
        <item x="903"/>
        <item x="967"/>
        <item x="1183"/>
        <item x="1333"/>
        <item x="239"/>
        <item x="115"/>
        <item x="426"/>
        <item x="164"/>
        <item x="1080"/>
        <item x="6"/>
        <item x="684"/>
        <item x="774"/>
        <item x="1344"/>
        <item x="120"/>
        <item x="228"/>
        <item x="1386"/>
        <item x="1364"/>
        <item x="21"/>
        <item x="779"/>
        <item x="363"/>
        <item x="1106"/>
        <item x="1033"/>
        <item x="82"/>
        <item x="421"/>
        <item x="170"/>
        <item x="608"/>
        <item x="367"/>
        <item x="904"/>
        <item x="491"/>
        <item x="1453"/>
        <item x="466"/>
        <item x="114"/>
        <item x="158"/>
        <item x="72"/>
        <item x="1370"/>
        <item x="111"/>
        <item x="867"/>
        <item x="273"/>
        <item x="1294"/>
        <item x="473"/>
        <item x="101"/>
        <item x="791"/>
        <item x="678"/>
        <item x="213"/>
        <item x="1276"/>
        <item x="763"/>
        <item x="365"/>
        <item x="472"/>
        <item x="119"/>
        <item x="31"/>
        <item x="1337"/>
        <item x="1462"/>
        <item x="1493"/>
        <item x="1312"/>
        <item x="596"/>
        <item x="1410"/>
        <item x="856"/>
        <item x="1114"/>
        <item x="1269"/>
        <item x="1135"/>
        <item x="80"/>
        <item x="1215"/>
        <item x="350"/>
        <item x="1422"/>
        <item x="1331"/>
        <item x="71"/>
        <item x="872"/>
        <item x="469"/>
        <item x="205"/>
        <item x="1306"/>
        <item x="1449"/>
        <item x="1461"/>
        <item x="185"/>
        <item x="924"/>
        <item x="286"/>
        <item x="667"/>
        <item x="1405"/>
        <item x="578"/>
        <item x="1270"/>
        <item x="923"/>
        <item x="150"/>
        <item x="304"/>
        <item x="726"/>
        <item x="1378"/>
        <item x="147"/>
        <item x="1194"/>
        <item x="1041"/>
        <item x="313"/>
        <item x="407"/>
        <item x="93"/>
        <item x="1219"/>
        <item x="1299"/>
        <item x="162"/>
        <item x="1279"/>
        <item x="1345"/>
        <item x="814"/>
        <item x="563"/>
        <item x="92"/>
        <item x="895"/>
        <item x="934"/>
        <item x="347"/>
        <item x="196"/>
        <item x="670"/>
        <item x="264"/>
        <item x="827"/>
        <item x="1184"/>
        <item x="524"/>
        <item x="468"/>
        <item x="767"/>
        <item x="1477"/>
        <item x="823"/>
        <item x="696"/>
        <item x="1438"/>
        <item x="260"/>
        <item x="788"/>
        <item x="40"/>
        <item x="1061"/>
        <item x="314"/>
        <item x="939"/>
        <item x="54"/>
        <item x="20"/>
        <item x="822"/>
        <item x="744"/>
        <item x="1408"/>
        <item x="1141"/>
        <item x="382"/>
        <item x="1379"/>
        <item x="343"/>
        <item x="139"/>
        <item x="420"/>
        <item x="523"/>
        <item x="1070"/>
        <item x="140"/>
        <item x="638"/>
        <item x="504"/>
        <item x="1255"/>
        <item x="513"/>
        <item x="692"/>
        <item x="1426"/>
        <item x="1458"/>
        <item x="1052"/>
        <item x="381"/>
        <item x="362"/>
        <item x="1280"/>
        <item x="1030"/>
        <item x="775"/>
        <item x="1048"/>
        <item x="199"/>
        <item x="599"/>
        <item x="803"/>
        <item x="736"/>
        <item x="928"/>
        <item x="982"/>
        <item x="615"/>
        <item x="817"/>
        <item x="1466"/>
        <item x="1248"/>
        <item x="1101"/>
        <item x="932"/>
        <item x="673"/>
        <item x="415"/>
        <item x="348"/>
        <item x="335"/>
        <item x="920"/>
        <item x="281"/>
        <item x="980"/>
        <item x="1327"/>
        <item x="771"/>
        <item x="1092"/>
        <item x="309"/>
        <item x="361"/>
        <item x="131"/>
        <item x="1258"/>
        <item x="579"/>
        <item x="717"/>
        <item x="28"/>
        <item x="795"/>
        <item x="337"/>
        <item x="183"/>
        <item x="173"/>
        <item x="280"/>
        <item x="958"/>
        <item x="1451"/>
        <item x="69"/>
        <item x="1123"/>
        <item x="1012"/>
        <item x="1261"/>
        <item x="484"/>
        <item x="42"/>
        <item x="564"/>
        <item x="1175"/>
        <item x="623"/>
        <item x="815"/>
        <item x="858"/>
        <item x="434"/>
        <item x="486"/>
        <item x="609"/>
        <item x="327"/>
        <item x="225"/>
        <item x="3"/>
        <item x="1188"/>
        <item x="1126"/>
        <item x="432"/>
        <item x="943"/>
        <item x="1217"/>
        <item x="1431"/>
        <item x="1225"/>
        <item x="753"/>
        <item x="671"/>
        <item x="1350"/>
        <item x="1365"/>
        <item x="541"/>
        <item x="877"/>
        <item x="1328"/>
        <item x="919"/>
        <item x="567"/>
        <item x="604"/>
        <item x="1118"/>
        <item x="1367"/>
        <item x="1382"/>
        <item x="734"/>
        <item x="1457"/>
        <item x="1065"/>
        <item x="508"/>
        <item x="283"/>
        <item x="1491"/>
        <item x="356"/>
        <item x="342"/>
        <item x="1051"/>
        <item x="1310"/>
        <item x="832"/>
        <item x="446"/>
        <item x="515"/>
        <item x="679"/>
        <item x="252"/>
        <item x="368"/>
        <item x="7"/>
        <item x="881"/>
        <item x="1277"/>
        <item x="694"/>
        <item x="590"/>
        <item x="224"/>
        <item x="1105"/>
        <item x="64"/>
        <item x="411"/>
        <item x="208"/>
        <item x="887"/>
        <item x="1349"/>
        <item x="1387"/>
        <item x="617"/>
        <item x="1196"/>
        <item x="1204"/>
        <item x="761"/>
        <item x="152"/>
        <item x="586"/>
        <item x="18"/>
        <item x="106"/>
        <item x="739"/>
        <item x="374"/>
        <item x="402"/>
        <item x="1156"/>
        <item x="990"/>
        <item x="37"/>
        <item x="375"/>
        <item x="1011"/>
        <item x="372"/>
        <item x="539"/>
        <item x="1166"/>
        <item x="188"/>
        <item x="616"/>
        <item x="1360"/>
        <item x="1019"/>
        <item x="847"/>
        <item x="1497"/>
        <item x="112"/>
        <item x="1495"/>
        <item x="14"/>
        <item x="247"/>
        <item x="1043"/>
        <item x="498"/>
        <item x="1429"/>
        <item x="1181"/>
        <item x="536"/>
        <item x="654"/>
        <item x="938"/>
        <item x="1026"/>
        <item x="1220"/>
        <item x="1037"/>
        <item x="370"/>
        <item x="358"/>
        <item x="1229"/>
        <item x="1435"/>
        <item x="226"/>
        <item x="1120"/>
        <item x="868"/>
        <item x="1329"/>
        <item x="289"/>
        <item x="1121"/>
        <item x="897"/>
        <item x="58"/>
        <item x="1281"/>
        <item x="625"/>
        <item x="216"/>
        <item x="46"/>
        <item x="1484"/>
        <item x="1185"/>
        <item x="1347"/>
        <item x="425"/>
        <item x="176"/>
        <item x="1419"/>
        <item x="833"/>
        <item x="1385"/>
        <item x="433"/>
        <item x="94"/>
        <item x="141"/>
        <item x="1245"/>
        <item x="646"/>
        <item x="234"/>
        <item x="1282"/>
        <item x="1297"/>
        <item x="561"/>
        <item x="403"/>
        <item x="991"/>
        <item x="502"/>
        <item x="911"/>
        <item x="1192"/>
        <item x="1403"/>
        <item x="495"/>
        <item x="1445"/>
        <item x="149"/>
        <item x="1172"/>
        <item x="385"/>
        <item x="11"/>
        <item x="1042"/>
        <item x="549"/>
        <item x="288"/>
        <item x="74"/>
        <item x="944"/>
        <item x="747"/>
        <item x="110"/>
        <item x="246"/>
        <item x="1176"/>
        <item x="1473"/>
        <item x="1305"/>
        <item x="206"/>
        <item x="1368"/>
        <item x="459"/>
        <item x="1094"/>
        <item x="569"/>
        <item x="61"/>
        <item x="275"/>
        <item x="985"/>
        <item x="819"/>
        <item x="483"/>
        <item x="1187"/>
        <item x="1111"/>
        <item x="63"/>
        <item x="947"/>
        <item x="386"/>
        <item x="837"/>
        <item x="353"/>
        <item x="364"/>
        <item x="1302"/>
        <item x="553"/>
        <item x="440"/>
        <item x="1084"/>
        <item x="1436"/>
        <item x="447"/>
        <item x="1117"/>
        <item x="1168"/>
        <item x="1"/>
        <item x="1301"/>
        <item x="551"/>
        <item x="866"/>
        <item x="953"/>
        <item x="516"/>
        <item x="100"/>
        <item x="542"/>
        <item x="701"/>
        <item x="787"/>
        <item x="690"/>
        <item x="1267"/>
        <item x="927"/>
        <item x="628"/>
        <item x="1234"/>
        <item x="499"/>
        <item x="253"/>
        <item x="606"/>
        <item x="859"/>
        <item x="132"/>
        <item x="419"/>
        <item x="973"/>
        <item x="417"/>
        <item x="62"/>
        <item x="77"/>
        <item x="1490"/>
        <item t="default"/>
      </items>
    </pivotField>
    <pivotField compact="0" outline="0" showAll="0">
      <items count="6">
        <item x="4"/>
        <item x="1"/>
        <item x="2"/>
        <item x="0"/>
        <item x="3"/>
        <item t="default"/>
      </items>
    </pivotField>
    <pivotField compact="0" outline="0" showAll="0"/>
    <pivotField axis="axisRow" compact="0" outline="0" showAll="0" defaultSubtotal="0">
      <items count="5">
        <item x="4"/>
        <item x="2"/>
        <item x="0"/>
        <item x="3"/>
        <item x="1"/>
      </items>
    </pivotField>
    <pivotField compact="0" outline="0" showAll="0"/>
    <pivotField compact="0" outline="0" showAll="0">
      <items count="7">
        <item x="3"/>
        <item x="0"/>
        <item x="5"/>
        <item x="2"/>
        <item x="4"/>
        <item x="1"/>
        <item t="default"/>
      </items>
    </pivotField>
    <pivotField compact="0" outline="0" showAll="0"/>
    <pivotField axis="axisRow" compact="0" outline="0" showAll="0" defaultSubtotal="0">
      <items count="5">
        <item x="1"/>
        <item x="2"/>
        <item x="0"/>
        <item x="3"/>
        <item x="4"/>
      </items>
    </pivotField>
    <pivotField compact="0" outline="0" showAll="0"/>
    <pivotField dataField="1" compact="0" outline="0" showAll="0" defaultSubtotal="0">
      <items count="477">
        <item x="126"/>
        <item x="286"/>
        <item x="14"/>
        <item x="213"/>
        <item x="3"/>
        <item x="7"/>
        <item x="155"/>
        <item x="151"/>
        <item x="44"/>
        <item x="87"/>
        <item x="122"/>
        <item x="258"/>
        <item x="60"/>
        <item x="62"/>
        <item x="197"/>
        <item x="280"/>
        <item x="116"/>
        <item x="20"/>
        <item x="445"/>
        <item x="388"/>
        <item x="352"/>
        <item x="454"/>
        <item x="41"/>
        <item x="291"/>
        <item x="83"/>
        <item x="34"/>
        <item x="137"/>
        <item x="89"/>
        <item x="55"/>
        <item x="297"/>
        <item x="288"/>
        <item x="143"/>
        <item x="1"/>
        <item x="30"/>
        <item x="79"/>
        <item x="168"/>
        <item x="186"/>
        <item x="248"/>
        <item x="205"/>
        <item x="33"/>
        <item x="302"/>
        <item x="144"/>
        <item x="323"/>
        <item x="88"/>
        <item x="131"/>
        <item x="271"/>
        <item x="73"/>
        <item x="108"/>
        <item x="42"/>
        <item x="217"/>
        <item x="279"/>
        <item x="4"/>
        <item x="68"/>
        <item x="28"/>
        <item x="101"/>
        <item x="187"/>
        <item x="40"/>
        <item x="98"/>
        <item x="303"/>
        <item x="85"/>
        <item x="452"/>
        <item x="322"/>
        <item x="110"/>
        <item x="45"/>
        <item x="397"/>
        <item x="298"/>
        <item x="177"/>
        <item x="76"/>
        <item x="21"/>
        <item x="229"/>
        <item x="364"/>
        <item x="0"/>
        <item x="49"/>
        <item x="450"/>
        <item x="465"/>
        <item x="96"/>
        <item x="427"/>
        <item x="242"/>
        <item x="78"/>
        <item x="84"/>
        <item x="209"/>
        <item x="174"/>
        <item x="82"/>
        <item x="328"/>
        <item x="105"/>
        <item x="23"/>
        <item x="77"/>
        <item x="107"/>
        <item x="19"/>
        <item x="161"/>
        <item x="165"/>
        <item x="111"/>
        <item x="411"/>
        <item x="150"/>
        <item x="90"/>
        <item x="236"/>
        <item x="95"/>
        <item x="214"/>
        <item x="305"/>
        <item x="295"/>
        <item x="170"/>
        <item x="113"/>
        <item x="167"/>
        <item x="172"/>
        <item x="147"/>
        <item x="373"/>
        <item x="392"/>
        <item x="264"/>
        <item x="461"/>
        <item x="169"/>
        <item x="386"/>
        <item x="351"/>
        <item x="8"/>
        <item x="350"/>
        <item x="354"/>
        <item x="203"/>
        <item x="235"/>
        <item x="140"/>
        <item x="378"/>
        <item x="178"/>
        <item x="365"/>
        <item x="281"/>
        <item x="188"/>
        <item x="394"/>
        <item x="276"/>
        <item x="211"/>
        <item x="12"/>
        <item x="447"/>
        <item x="228"/>
        <item x="121"/>
        <item x="319"/>
        <item x="210"/>
        <item x="227"/>
        <item x="263"/>
        <item x="71"/>
        <item x="274"/>
        <item x="27"/>
        <item x="127"/>
        <item x="389"/>
        <item x="206"/>
        <item x="50"/>
        <item x="308"/>
        <item x="285"/>
        <item x="251"/>
        <item x="262"/>
        <item x="314"/>
        <item x="459"/>
        <item x="273"/>
        <item x="243"/>
        <item x="180"/>
        <item x="413"/>
        <item x="366"/>
        <item x="476"/>
        <item x="225"/>
        <item x="253"/>
        <item x="221"/>
        <item x="245"/>
        <item x="468"/>
        <item x="5"/>
        <item x="193"/>
        <item x="249"/>
        <item x="158"/>
        <item x="331"/>
        <item x="344"/>
        <item x="39"/>
        <item x="53"/>
        <item x="237"/>
        <item x="438"/>
        <item x="385"/>
        <item x="2"/>
        <item x="120"/>
        <item x="176"/>
        <item x="327"/>
        <item x="154"/>
        <item x="166"/>
        <item x="31"/>
        <item x="93"/>
        <item x="315"/>
        <item x="81"/>
        <item x="401"/>
        <item x="138"/>
        <item x="246"/>
        <item x="200"/>
        <item x="456"/>
        <item x="112"/>
        <item x="402"/>
        <item x="336"/>
        <item x="54"/>
        <item x="32"/>
        <item x="360"/>
        <item x="473"/>
        <item x="25"/>
        <item x="470"/>
        <item x="400"/>
        <item x="11"/>
        <item x="139"/>
        <item x="15"/>
        <item x="56"/>
        <item x="381"/>
        <item x="104"/>
        <item x="123"/>
        <item x="75"/>
        <item x="309"/>
        <item x="152"/>
        <item x="346"/>
        <item x="182"/>
        <item x="156"/>
        <item x="287"/>
        <item x="283"/>
        <item x="419"/>
        <item x="94"/>
        <item x="130"/>
        <item x="59"/>
        <item x="72"/>
        <item x="421"/>
        <item x="199"/>
        <item x="472"/>
        <item x="396"/>
        <item x="405"/>
        <item x="379"/>
        <item x="106"/>
        <item x="70"/>
        <item x="132"/>
        <item x="146"/>
        <item x="114"/>
        <item x="335"/>
        <item x="173"/>
        <item x="312"/>
        <item x="448"/>
        <item x="460"/>
        <item x="145"/>
        <item x="24"/>
        <item x="277"/>
        <item x="175"/>
        <item x="310"/>
        <item x="338"/>
        <item x="115"/>
        <item x="64"/>
        <item x="324"/>
        <item x="418"/>
        <item x="239"/>
        <item x="260"/>
        <item x="171"/>
        <item x="462"/>
        <item x="230"/>
        <item x="471"/>
        <item x="103"/>
        <item x="416"/>
        <item x="333"/>
        <item x="160"/>
        <item x="142"/>
        <item x="313"/>
        <item x="6"/>
        <item x="109"/>
        <item x="37"/>
        <item x="433"/>
        <item x="292"/>
        <item x="375"/>
        <item x="157"/>
        <item x="376"/>
        <item x="383"/>
        <item x="216"/>
        <item x="362"/>
        <item x="35"/>
        <item x="212"/>
        <item x="432"/>
        <item x="238"/>
        <item x="358"/>
        <item x="240"/>
        <item x="437"/>
        <item x="424"/>
        <item x="420"/>
        <item x="268"/>
        <item x="395"/>
        <item x="439"/>
        <item x="189"/>
        <item x="97"/>
        <item x="66"/>
        <item x="430"/>
        <item x="441"/>
        <item x="474"/>
        <item x="192"/>
        <item x="382"/>
        <item x="119"/>
        <item x="329"/>
        <item x="407"/>
        <item x="316"/>
        <item x="196"/>
        <item x="74"/>
        <item x="270"/>
        <item x="464"/>
        <item x="342"/>
        <item x="231"/>
        <item x="317"/>
        <item x="334"/>
        <item x="340"/>
        <item x="92"/>
        <item x="181"/>
        <item x="435"/>
        <item x="422"/>
        <item x="244"/>
        <item x="409"/>
        <item x="412"/>
        <item x="256"/>
        <item x="179"/>
        <item x="57"/>
        <item x="191"/>
        <item x="320"/>
        <item x="393"/>
        <item x="289"/>
        <item x="284"/>
        <item x="343"/>
        <item x="190"/>
        <item x="195"/>
        <item x="136"/>
        <item x="185"/>
        <item x="415"/>
        <item x="184"/>
        <item x="466"/>
        <item x="429"/>
        <item x="220"/>
        <item x="374"/>
        <item x="353"/>
        <item x="266"/>
        <item x="278"/>
        <item x="208"/>
        <item x="300"/>
        <item x="367"/>
        <item x="52"/>
        <item x="417"/>
        <item x="325"/>
        <item x="247"/>
        <item x="294"/>
        <item x="458"/>
        <item x="100"/>
        <item x="117"/>
        <item x="469"/>
        <item x="408"/>
        <item x="267"/>
        <item x="463"/>
        <item x="86"/>
        <item x="357"/>
        <item x="318"/>
        <item x="384"/>
        <item x="254"/>
        <item x="368"/>
        <item x="48"/>
        <item x="219"/>
        <item x="46"/>
        <item x="348"/>
        <item x="370"/>
        <item x="455"/>
        <item x="332"/>
        <item x="359"/>
        <item x="259"/>
        <item x="124"/>
        <item x="391"/>
        <item x="339"/>
        <item x="241"/>
        <item x="141"/>
        <item x="345"/>
        <item x="149"/>
        <item x="444"/>
        <item x="22"/>
        <item x="406"/>
        <item x="16"/>
        <item x="475"/>
        <item x="398"/>
        <item x="80"/>
        <item x="299"/>
        <item x="363"/>
        <item x="133"/>
        <item x="272"/>
        <item x="467"/>
        <item x="414"/>
        <item x="293"/>
        <item x="218"/>
        <item x="431"/>
        <item x="446"/>
        <item x="307"/>
        <item x="306"/>
        <item x="377"/>
        <item x="226"/>
        <item x="423"/>
        <item x="61"/>
        <item x="125"/>
        <item x="426"/>
        <item x="18"/>
        <item x="301"/>
        <item x="321"/>
        <item x="451"/>
        <item x="442"/>
        <item x="390"/>
        <item x="223"/>
        <item x="356"/>
        <item x="29"/>
        <item x="63"/>
        <item x="26"/>
        <item x="38"/>
        <item x="449"/>
        <item x="148"/>
        <item x="410"/>
        <item x="304"/>
        <item x="443"/>
        <item x="330"/>
        <item x="387"/>
        <item x="440"/>
        <item x="282"/>
        <item x="9"/>
        <item x="43"/>
        <item x="296"/>
        <item x="204"/>
        <item x="91"/>
        <item x="457"/>
        <item x="102"/>
        <item x="265"/>
        <item x="369"/>
        <item x="65"/>
        <item x="234"/>
        <item x="36"/>
        <item x="207"/>
        <item x="399"/>
        <item x="349"/>
        <item x="371"/>
        <item x="347"/>
        <item x="252"/>
        <item x="341"/>
        <item x="361"/>
        <item x="372"/>
        <item x="425"/>
        <item x="326"/>
        <item x="164"/>
        <item x="194"/>
        <item x="434"/>
        <item x="129"/>
        <item x="202"/>
        <item x="275"/>
        <item x="118"/>
        <item x="436"/>
        <item x="233"/>
        <item x="337"/>
        <item x="135"/>
        <item x="215"/>
        <item x="159"/>
        <item x="232"/>
        <item x="453"/>
        <item x="10"/>
        <item x="99"/>
        <item x="404"/>
        <item x="311"/>
        <item x="261"/>
        <item x="51"/>
        <item x="134"/>
        <item x="153"/>
        <item x="17"/>
        <item x="201"/>
        <item x="224"/>
        <item x="58"/>
        <item x="222"/>
        <item x="403"/>
        <item x="69"/>
        <item x="255"/>
        <item x="67"/>
        <item x="163"/>
        <item x="162"/>
        <item x="47"/>
        <item x="13"/>
        <item x="355"/>
        <item x="269"/>
        <item x="380"/>
        <item x="183"/>
        <item x="250"/>
        <item x="290"/>
        <item x="428"/>
        <item x="128"/>
        <item x="198"/>
        <item x="257"/>
      </items>
    </pivotField>
    <pivotField compact="0" outline="0" showAll="0" defaultSubtotal="0">
      <items count="14">
        <item x="0"/>
        <item x="1"/>
        <item x="2"/>
        <item x="3"/>
        <item x="4"/>
        <item x="5"/>
        <item x="6"/>
        <item x="7"/>
        <item x="8"/>
        <item x="9"/>
        <item x="10"/>
        <item x="11"/>
        <item x="12"/>
        <item x="13"/>
      </items>
    </pivotField>
  </pivotFields>
  <rowFields count="4">
    <field x="0"/>
    <field x="1"/>
    <field x="11"/>
    <field x="7"/>
  </rowFields>
  <rowItems count="15">
    <i>
      <x v="160"/>
      <x v="93"/>
      <x v="4"/>
      <x v="1"/>
    </i>
    <i>
      <x v="282"/>
      <x v="205"/>
      <x v="4"/>
      <x/>
    </i>
    <i>
      <x v="414"/>
      <x v="124"/>
      <x v="4"/>
      <x/>
    </i>
    <i>
      <x v="512"/>
      <x v="133"/>
      <x v="4"/>
      <x v="1"/>
    </i>
    <i>
      <x v="571"/>
      <x v="169"/>
      <x v="4"/>
      <x v="1"/>
    </i>
    <i>
      <x v="636"/>
      <x v="165"/>
      <x v="4"/>
      <x v="3"/>
    </i>
    <i>
      <x v="778"/>
      <x v="36"/>
      <x v="4"/>
      <x v="1"/>
    </i>
    <i>
      <x v="1105"/>
      <x v="138"/>
      <x v="4"/>
      <x v="1"/>
    </i>
    <i>
      <x v="1126"/>
      <x v="163"/>
      <x v="4"/>
      <x v="3"/>
    </i>
    <i>
      <x v="1133"/>
      <x v="217"/>
      <x v="4"/>
      <x v="1"/>
    </i>
    <i>
      <x v="1167"/>
      <x v="69"/>
      <x v="4"/>
      <x v="1"/>
    </i>
    <i>
      <x v="1394"/>
      <x v="241"/>
      <x v="4"/>
      <x/>
    </i>
    <i>
      <x v="1450"/>
      <x v="264"/>
      <x v="4"/>
      <x/>
    </i>
    <i>
      <x v="1476"/>
      <x v="161"/>
      <x v="4"/>
      <x v="3"/>
    </i>
    <i t="grand">
      <x/>
    </i>
  </rowItems>
  <colItems count="1">
    <i/>
  </colItems>
  <dataFields count="1">
    <dataField name="Sum of Total_Revenue" fld="13" baseField="7" baseItem="2" numFmtId="165"/>
  </dataFields>
  <formats count="359">
    <format dxfId="8749">
      <pivotArea field="0" type="button" dataOnly="0" labelOnly="1" outline="0" axis="axisRow" fieldPosition="0"/>
    </format>
    <format dxfId="8748">
      <pivotArea field="1" type="button" dataOnly="0" labelOnly="1" outline="0" axis="axisRow" fieldPosition="1"/>
    </format>
    <format dxfId="8747">
      <pivotArea field="11" type="button" dataOnly="0" labelOnly="1" outline="0" axis="axisRow" fieldPosition="2"/>
    </format>
    <format dxfId="8746">
      <pivotArea field="7" type="button" dataOnly="0" labelOnly="1" outline="0" axis="axisRow" fieldPosition="3"/>
    </format>
    <format dxfId="8745">
      <pivotArea field="13" type="button" dataOnly="0" labelOnly="1" outline="0"/>
    </format>
    <format dxfId="8744">
      <pivotArea field="13" type="button" dataOnly="0" labelOnly="1" outline="0"/>
    </format>
    <format dxfId="8743">
      <pivotArea dataOnly="0" labelOnly="1" outline="0" axis="axisValues" fieldPosition="0"/>
    </format>
    <format dxfId="8742">
      <pivotArea field="0" type="button" dataOnly="0" labelOnly="1" outline="0" axis="axisRow" fieldPosition="0"/>
    </format>
    <format dxfId="8741">
      <pivotArea field="1" type="button" dataOnly="0" labelOnly="1" outline="0" axis="axisRow" fieldPosition="1"/>
    </format>
    <format dxfId="8740">
      <pivotArea field="11" type="button" dataOnly="0" labelOnly="1" outline="0" axis="axisRow" fieldPosition="2"/>
    </format>
    <format dxfId="8739">
      <pivotArea field="7" type="button" dataOnly="0" labelOnly="1" outline="0" axis="axisRow" fieldPosition="3"/>
    </format>
    <format dxfId="8738">
      <pivotArea dataOnly="0" labelOnly="1" outline="0" axis="axisValues" fieldPosition="0"/>
    </format>
    <format dxfId="8737">
      <pivotArea field="0" type="button" dataOnly="0" labelOnly="1" outline="0" axis="axisRow" fieldPosition="0"/>
    </format>
    <format dxfId="8736">
      <pivotArea field="1" type="button" dataOnly="0" labelOnly="1" outline="0" axis="axisRow" fieldPosition="1"/>
    </format>
    <format dxfId="8735">
      <pivotArea field="11" type="button" dataOnly="0" labelOnly="1" outline="0" axis="axisRow" fieldPosition="2"/>
    </format>
    <format dxfId="8734">
      <pivotArea field="7" type="button" dataOnly="0" labelOnly="1" outline="0" axis="axisRow" fieldPosition="3"/>
    </format>
    <format dxfId="8733">
      <pivotArea dataOnly="0" labelOnly="1" outline="0" axis="axisValues" fieldPosition="0"/>
    </format>
    <format dxfId="8732">
      <pivotArea type="all" dataOnly="0" outline="0" fieldPosition="0"/>
    </format>
    <format dxfId="8731">
      <pivotArea outline="0" collapsedLevelsAreSubtotals="1" fieldPosition="0"/>
    </format>
    <format dxfId="8730">
      <pivotArea field="0" type="button" dataOnly="0" labelOnly="1" outline="0" axis="axisRow" fieldPosition="0"/>
    </format>
    <format dxfId="8729">
      <pivotArea field="1" type="button" dataOnly="0" labelOnly="1" outline="0" axis="axisRow" fieldPosition="1"/>
    </format>
    <format dxfId="8728">
      <pivotArea field="11" type="button" dataOnly="0" labelOnly="1" outline="0" axis="axisRow" fieldPosition="2"/>
    </format>
    <format dxfId="8727">
      <pivotArea field="7" type="button" dataOnly="0" labelOnly="1" outline="0" axis="axisRow" fieldPosition="3"/>
    </format>
    <format dxfId="8726">
      <pivotArea dataOnly="0" labelOnly="1" outline="0" fieldPosition="0">
        <references count="1">
          <reference field="0" count="14">
            <x v="160"/>
            <x v="282"/>
            <x v="414"/>
            <x v="512"/>
            <x v="571"/>
            <x v="636"/>
            <x v="778"/>
            <x v="1105"/>
            <x v="1126"/>
            <x v="1133"/>
            <x v="1167"/>
            <x v="1394"/>
            <x v="1450"/>
            <x v="1476"/>
          </reference>
        </references>
      </pivotArea>
    </format>
    <format dxfId="8725">
      <pivotArea dataOnly="0" labelOnly="1" grandRow="1" outline="0" fieldPosition="0"/>
    </format>
    <format dxfId="8724">
      <pivotArea dataOnly="0" labelOnly="1" outline="0" fieldPosition="0">
        <references count="2">
          <reference field="0" count="1" selected="0">
            <x v="160"/>
          </reference>
          <reference field="1" count="1">
            <x v="93"/>
          </reference>
        </references>
      </pivotArea>
    </format>
    <format dxfId="8723">
      <pivotArea dataOnly="0" labelOnly="1" outline="0" fieldPosition="0">
        <references count="2">
          <reference field="0" count="1" selected="0">
            <x v="282"/>
          </reference>
          <reference field="1" count="1">
            <x v="205"/>
          </reference>
        </references>
      </pivotArea>
    </format>
    <format dxfId="8722">
      <pivotArea dataOnly="0" labelOnly="1" outline="0" fieldPosition="0">
        <references count="2">
          <reference field="0" count="1" selected="0">
            <x v="414"/>
          </reference>
          <reference field="1" count="1">
            <x v="124"/>
          </reference>
        </references>
      </pivotArea>
    </format>
    <format dxfId="8721">
      <pivotArea dataOnly="0" labelOnly="1" outline="0" fieldPosition="0">
        <references count="2">
          <reference field="0" count="1" selected="0">
            <x v="512"/>
          </reference>
          <reference field="1" count="1">
            <x v="133"/>
          </reference>
        </references>
      </pivotArea>
    </format>
    <format dxfId="8720">
      <pivotArea dataOnly="0" labelOnly="1" outline="0" fieldPosition="0">
        <references count="2">
          <reference field="0" count="1" selected="0">
            <x v="571"/>
          </reference>
          <reference field="1" count="1">
            <x v="169"/>
          </reference>
        </references>
      </pivotArea>
    </format>
    <format dxfId="8719">
      <pivotArea dataOnly="0" labelOnly="1" outline="0" fieldPosition="0">
        <references count="2">
          <reference field="0" count="1" selected="0">
            <x v="636"/>
          </reference>
          <reference field="1" count="1">
            <x v="165"/>
          </reference>
        </references>
      </pivotArea>
    </format>
    <format dxfId="8718">
      <pivotArea dataOnly="0" labelOnly="1" outline="0" fieldPosition="0">
        <references count="2">
          <reference field="0" count="1" selected="0">
            <x v="778"/>
          </reference>
          <reference field="1" count="1">
            <x v="36"/>
          </reference>
        </references>
      </pivotArea>
    </format>
    <format dxfId="8717">
      <pivotArea dataOnly="0" labelOnly="1" outline="0" fieldPosition="0">
        <references count="2">
          <reference field="0" count="1" selected="0">
            <x v="1105"/>
          </reference>
          <reference field="1" count="1">
            <x v="138"/>
          </reference>
        </references>
      </pivotArea>
    </format>
    <format dxfId="8716">
      <pivotArea dataOnly="0" labelOnly="1" outline="0" fieldPosition="0">
        <references count="2">
          <reference field="0" count="1" selected="0">
            <x v="1126"/>
          </reference>
          <reference field="1" count="1">
            <x v="163"/>
          </reference>
        </references>
      </pivotArea>
    </format>
    <format dxfId="8715">
      <pivotArea dataOnly="0" labelOnly="1" outline="0" fieldPosition="0">
        <references count="2">
          <reference field="0" count="1" selected="0">
            <x v="1133"/>
          </reference>
          <reference field="1" count="1">
            <x v="217"/>
          </reference>
        </references>
      </pivotArea>
    </format>
    <format dxfId="8714">
      <pivotArea dataOnly="0" labelOnly="1" outline="0" fieldPosition="0">
        <references count="2">
          <reference field="0" count="1" selected="0">
            <x v="1167"/>
          </reference>
          <reference field="1" count="1">
            <x v="69"/>
          </reference>
        </references>
      </pivotArea>
    </format>
    <format dxfId="8713">
      <pivotArea dataOnly="0" labelOnly="1" outline="0" fieldPosition="0">
        <references count="2">
          <reference field="0" count="1" selected="0">
            <x v="1394"/>
          </reference>
          <reference field="1" count="1">
            <x v="241"/>
          </reference>
        </references>
      </pivotArea>
    </format>
    <format dxfId="8712">
      <pivotArea dataOnly="0" labelOnly="1" outline="0" fieldPosition="0">
        <references count="2">
          <reference field="0" count="1" selected="0">
            <x v="1450"/>
          </reference>
          <reference field="1" count="1">
            <x v="264"/>
          </reference>
        </references>
      </pivotArea>
    </format>
    <format dxfId="8711">
      <pivotArea dataOnly="0" labelOnly="1" outline="0" fieldPosition="0">
        <references count="2">
          <reference field="0" count="1" selected="0">
            <x v="1476"/>
          </reference>
          <reference field="1" count="1">
            <x v="161"/>
          </reference>
        </references>
      </pivotArea>
    </format>
    <format dxfId="8710">
      <pivotArea dataOnly="0" labelOnly="1" outline="0" fieldPosition="0">
        <references count="3">
          <reference field="0" count="1" selected="0">
            <x v="160"/>
          </reference>
          <reference field="1" count="1" selected="0">
            <x v="93"/>
          </reference>
          <reference field="11" count="1">
            <x v="4"/>
          </reference>
        </references>
      </pivotArea>
    </format>
    <format dxfId="8709">
      <pivotArea dataOnly="0" labelOnly="1" outline="0" fieldPosition="0">
        <references count="4">
          <reference field="0" count="1" selected="0">
            <x v="160"/>
          </reference>
          <reference field="1" count="1" selected="0">
            <x v="93"/>
          </reference>
          <reference field="7" count="1">
            <x v="1"/>
          </reference>
          <reference field="11" count="1" selected="0">
            <x v="4"/>
          </reference>
        </references>
      </pivotArea>
    </format>
    <format dxfId="8708">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707">
      <pivotArea dataOnly="0" labelOnly="1" outline="0" fieldPosition="0">
        <references count="4">
          <reference field="0" count="1" selected="0">
            <x v="414"/>
          </reference>
          <reference field="1" count="1" selected="0">
            <x v="124"/>
          </reference>
          <reference field="7" count="1">
            <x v="0"/>
          </reference>
          <reference field="11" count="1" selected="0">
            <x v="4"/>
          </reference>
        </references>
      </pivotArea>
    </format>
    <format dxfId="8706">
      <pivotArea dataOnly="0" labelOnly="1" outline="0" fieldPosition="0">
        <references count="4">
          <reference field="0" count="1" selected="0">
            <x v="512"/>
          </reference>
          <reference field="1" count="1" selected="0">
            <x v="133"/>
          </reference>
          <reference field="7" count="1">
            <x v="1"/>
          </reference>
          <reference field="11" count="1" selected="0">
            <x v="4"/>
          </reference>
        </references>
      </pivotArea>
    </format>
    <format dxfId="8705">
      <pivotArea dataOnly="0" labelOnly="1" outline="0" fieldPosition="0">
        <references count="4">
          <reference field="0" count="1" selected="0">
            <x v="571"/>
          </reference>
          <reference field="1" count="1" selected="0">
            <x v="169"/>
          </reference>
          <reference field="7" count="1">
            <x v="1"/>
          </reference>
          <reference field="11" count="1" selected="0">
            <x v="4"/>
          </reference>
        </references>
      </pivotArea>
    </format>
    <format dxfId="8704">
      <pivotArea dataOnly="0" labelOnly="1" outline="0" fieldPosition="0">
        <references count="4">
          <reference field="0" count="1" selected="0">
            <x v="636"/>
          </reference>
          <reference field="1" count="1" selected="0">
            <x v="165"/>
          </reference>
          <reference field="7" count="1">
            <x v="3"/>
          </reference>
          <reference field="11" count="1" selected="0">
            <x v="4"/>
          </reference>
        </references>
      </pivotArea>
    </format>
    <format dxfId="8703">
      <pivotArea dataOnly="0" labelOnly="1" outline="0" fieldPosition="0">
        <references count="4">
          <reference field="0" count="1" selected="0">
            <x v="778"/>
          </reference>
          <reference field="1" count="1" selected="0">
            <x v="36"/>
          </reference>
          <reference field="7" count="1">
            <x v="1"/>
          </reference>
          <reference field="11" count="1" selected="0">
            <x v="4"/>
          </reference>
        </references>
      </pivotArea>
    </format>
    <format dxfId="8702">
      <pivotArea dataOnly="0" labelOnly="1" outline="0" fieldPosition="0">
        <references count="4">
          <reference field="0" count="1" selected="0">
            <x v="1105"/>
          </reference>
          <reference field="1" count="1" selected="0">
            <x v="138"/>
          </reference>
          <reference field="7" count="1">
            <x v="1"/>
          </reference>
          <reference field="11" count="1" selected="0">
            <x v="4"/>
          </reference>
        </references>
      </pivotArea>
    </format>
    <format dxfId="8701">
      <pivotArea dataOnly="0" labelOnly="1" outline="0" fieldPosition="0">
        <references count="4">
          <reference field="0" count="1" selected="0">
            <x v="1126"/>
          </reference>
          <reference field="1" count="1" selected="0">
            <x v="163"/>
          </reference>
          <reference field="7" count="1">
            <x v="3"/>
          </reference>
          <reference field="11" count="1" selected="0">
            <x v="4"/>
          </reference>
        </references>
      </pivotArea>
    </format>
    <format dxfId="8700">
      <pivotArea dataOnly="0" labelOnly="1" outline="0" fieldPosition="0">
        <references count="4">
          <reference field="0" count="1" selected="0">
            <x v="1133"/>
          </reference>
          <reference field="1" count="1" selected="0">
            <x v="217"/>
          </reference>
          <reference field="7" count="1">
            <x v="1"/>
          </reference>
          <reference field="11" count="1" selected="0">
            <x v="4"/>
          </reference>
        </references>
      </pivotArea>
    </format>
    <format dxfId="8699">
      <pivotArea dataOnly="0" labelOnly="1" outline="0" fieldPosition="0">
        <references count="4">
          <reference field="0" count="1" selected="0">
            <x v="1167"/>
          </reference>
          <reference field="1" count="1" selected="0">
            <x v="69"/>
          </reference>
          <reference field="7" count="1">
            <x v="1"/>
          </reference>
          <reference field="11" count="1" selected="0">
            <x v="4"/>
          </reference>
        </references>
      </pivotArea>
    </format>
    <format dxfId="8698">
      <pivotArea dataOnly="0" labelOnly="1" outline="0" fieldPosition="0">
        <references count="4">
          <reference field="0" count="1" selected="0">
            <x v="1394"/>
          </reference>
          <reference field="1" count="1" selected="0">
            <x v="241"/>
          </reference>
          <reference field="7" count="1">
            <x v="0"/>
          </reference>
          <reference field="11" count="1" selected="0">
            <x v="4"/>
          </reference>
        </references>
      </pivotArea>
    </format>
    <format dxfId="8697">
      <pivotArea dataOnly="0" labelOnly="1" outline="0" fieldPosition="0">
        <references count="4">
          <reference field="0" count="1" selected="0">
            <x v="1450"/>
          </reference>
          <reference field="1" count="1" selected="0">
            <x v="264"/>
          </reference>
          <reference field="7" count="1">
            <x v="0"/>
          </reference>
          <reference field="11" count="1" selected="0">
            <x v="4"/>
          </reference>
        </references>
      </pivotArea>
    </format>
    <format dxfId="8696">
      <pivotArea dataOnly="0" labelOnly="1" outline="0" fieldPosition="0">
        <references count="4">
          <reference field="0" count="1" selected="0">
            <x v="1476"/>
          </reference>
          <reference field="1" count="1" selected="0">
            <x v="161"/>
          </reference>
          <reference field="7" count="1">
            <x v="3"/>
          </reference>
          <reference field="11" count="1" selected="0">
            <x v="4"/>
          </reference>
        </references>
      </pivotArea>
    </format>
    <format dxfId="8695">
      <pivotArea dataOnly="0" labelOnly="1" outline="0" axis="axisValues" fieldPosition="0"/>
    </format>
    <format dxfId="8694">
      <pivotArea type="all" dataOnly="0" outline="0" fieldPosition="0"/>
    </format>
    <format dxfId="8693">
      <pivotArea outline="0" collapsedLevelsAreSubtotals="1" fieldPosition="0"/>
    </format>
    <format dxfId="8692">
      <pivotArea field="0" type="button" dataOnly="0" labelOnly="1" outline="0" axis="axisRow" fieldPosition="0"/>
    </format>
    <format dxfId="8691">
      <pivotArea field="1" type="button" dataOnly="0" labelOnly="1" outline="0" axis="axisRow" fieldPosition="1"/>
    </format>
    <format dxfId="8690">
      <pivotArea field="11" type="button" dataOnly="0" labelOnly="1" outline="0" axis="axisRow" fieldPosition="2"/>
    </format>
    <format dxfId="8689">
      <pivotArea field="7" type="button" dataOnly="0" labelOnly="1" outline="0" axis="axisRow" fieldPosition="3"/>
    </format>
    <format dxfId="8688">
      <pivotArea dataOnly="0" labelOnly="1" outline="0" axis="axisValues" fieldPosition="0"/>
    </format>
    <format dxfId="8687">
      <pivotArea outline="0" collapsedLevelsAreSubtotals="1" fieldPosition="0"/>
    </format>
    <format dxfId="8686">
      <pivotArea dataOnly="0" labelOnly="1" outline="0" axis="axisValues" fieldPosition="0"/>
    </format>
    <format dxfId="8685">
      <pivotArea field="0" type="button" dataOnly="0" labelOnly="1" outline="0" axis="axisRow" fieldPosition="0"/>
    </format>
    <format dxfId="8684">
      <pivotArea field="1" type="button" dataOnly="0" labelOnly="1" outline="0" axis="axisRow" fieldPosition="1"/>
    </format>
    <format dxfId="8683">
      <pivotArea field="11" type="button" dataOnly="0" labelOnly="1" outline="0" axis="axisRow" fieldPosition="2"/>
    </format>
    <format dxfId="8682">
      <pivotArea field="7" type="button" dataOnly="0" labelOnly="1" outline="0" axis="axisRow" fieldPosition="3"/>
    </format>
    <format dxfId="8681">
      <pivotArea dataOnly="0" labelOnly="1" outline="0" axis="axisValues" fieldPosition="0"/>
    </format>
    <format dxfId="8652">
      <pivotArea type="all" dataOnly="0" outline="0" fieldPosition="0"/>
    </format>
    <format dxfId="8651">
      <pivotArea outline="0" collapsedLevelsAreSubtotals="1" fieldPosition="0"/>
    </format>
    <format dxfId="8650">
      <pivotArea field="0" type="button" dataOnly="0" labelOnly="1" outline="0" axis="axisRow" fieldPosition="0"/>
    </format>
    <format dxfId="8649">
      <pivotArea field="1" type="button" dataOnly="0" labelOnly="1" outline="0" axis="axisRow" fieldPosition="1"/>
    </format>
    <format dxfId="8648">
      <pivotArea field="11" type="button" dataOnly="0" labelOnly="1" outline="0" axis="axisRow" fieldPosition="2"/>
    </format>
    <format dxfId="8647">
      <pivotArea field="7" type="button" dataOnly="0" labelOnly="1" outline="0" axis="axisRow" fieldPosition="3"/>
    </format>
    <format dxfId="8646">
      <pivotArea dataOnly="0" labelOnly="1" outline="0" fieldPosition="0">
        <references count="1">
          <reference field="0" count="14">
            <x v="160"/>
            <x v="282"/>
            <x v="414"/>
            <x v="512"/>
            <x v="571"/>
            <x v="636"/>
            <x v="778"/>
            <x v="1105"/>
            <x v="1126"/>
            <x v="1133"/>
            <x v="1167"/>
            <x v="1394"/>
            <x v="1450"/>
            <x v="1476"/>
          </reference>
        </references>
      </pivotArea>
    </format>
    <format dxfId="8645">
      <pivotArea dataOnly="0" labelOnly="1" grandRow="1" outline="0" fieldPosition="0"/>
    </format>
    <format dxfId="8644">
      <pivotArea dataOnly="0" labelOnly="1" outline="0" fieldPosition="0">
        <references count="2">
          <reference field="0" count="1" selected="0">
            <x v="160"/>
          </reference>
          <reference field="1" count="1">
            <x v="93"/>
          </reference>
        </references>
      </pivotArea>
    </format>
    <format dxfId="8643">
      <pivotArea dataOnly="0" labelOnly="1" outline="0" fieldPosition="0">
        <references count="2">
          <reference field="0" count="1" selected="0">
            <x v="282"/>
          </reference>
          <reference field="1" count="1">
            <x v="205"/>
          </reference>
        </references>
      </pivotArea>
    </format>
    <format dxfId="8642">
      <pivotArea dataOnly="0" labelOnly="1" outline="0" fieldPosition="0">
        <references count="2">
          <reference field="0" count="1" selected="0">
            <x v="414"/>
          </reference>
          <reference field="1" count="1">
            <x v="124"/>
          </reference>
        </references>
      </pivotArea>
    </format>
    <format dxfId="8641">
      <pivotArea dataOnly="0" labelOnly="1" outline="0" fieldPosition="0">
        <references count="2">
          <reference field="0" count="1" selected="0">
            <x v="512"/>
          </reference>
          <reference field="1" count="1">
            <x v="133"/>
          </reference>
        </references>
      </pivotArea>
    </format>
    <format dxfId="8640">
      <pivotArea dataOnly="0" labelOnly="1" outline="0" fieldPosition="0">
        <references count="2">
          <reference field="0" count="1" selected="0">
            <x v="571"/>
          </reference>
          <reference field="1" count="1">
            <x v="169"/>
          </reference>
        </references>
      </pivotArea>
    </format>
    <format dxfId="8639">
      <pivotArea dataOnly="0" labelOnly="1" outline="0" fieldPosition="0">
        <references count="2">
          <reference field="0" count="1" selected="0">
            <x v="636"/>
          </reference>
          <reference field="1" count="1">
            <x v="165"/>
          </reference>
        </references>
      </pivotArea>
    </format>
    <format dxfId="8638">
      <pivotArea dataOnly="0" labelOnly="1" outline="0" fieldPosition="0">
        <references count="2">
          <reference field="0" count="1" selected="0">
            <x v="778"/>
          </reference>
          <reference field="1" count="1">
            <x v="36"/>
          </reference>
        </references>
      </pivotArea>
    </format>
    <format dxfId="8637">
      <pivotArea dataOnly="0" labelOnly="1" outline="0" fieldPosition="0">
        <references count="2">
          <reference field="0" count="1" selected="0">
            <x v="1105"/>
          </reference>
          <reference field="1" count="1">
            <x v="138"/>
          </reference>
        </references>
      </pivotArea>
    </format>
    <format dxfId="8636">
      <pivotArea dataOnly="0" labelOnly="1" outline="0" fieldPosition="0">
        <references count="2">
          <reference field="0" count="1" selected="0">
            <x v="1126"/>
          </reference>
          <reference field="1" count="1">
            <x v="163"/>
          </reference>
        </references>
      </pivotArea>
    </format>
    <format dxfId="8635">
      <pivotArea dataOnly="0" labelOnly="1" outline="0" fieldPosition="0">
        <references count="2">
          <reference field="0" count="1" selected="0">
            <x v="1133"/>
          </reference>
          <reference field="1" count="1">
            <x v="217"/>
          </reference>
        </references>
      </pivotArea>
    </format>
    <format dxfId="8634">
      <pivotArea dataOnly="0" labelOnly="1" outline="0" fieldPosition="0">
        <references count="2">
          <reference field="0" count="1" selected="0">
            <x v="1167"/>
          </reference>
          <reference field="1" count="1">
            <x v="69"/>
          </reference>
        </references>
      </pivotArea>
    </format>
    <format dxfId="8633">
      <pivotArea dataOnly="0" labelOnly="1" outline="0" fieldPosition="0">
        <references count="2">
          <reference field="0" count="1" selected="0">
            <x v="1394"/>
          </reference>
          <reference field="1" count="1">
            <x v="241"/>
          </reference>
        </references>
      </pivotArea>
    </format>
    <format dxfId="8632">
      <pivotArea dataOnly="0" labelOnly="1" outline="0" fieldPosition="0">
        <references count="2">
          <reference field="0" count="1" selected="0">
            <x v="1450"/>
          </reference>
          <reference field="1" count="1">
            <x v="264"/>
          </reference>
        </references>
      </pivotArea>
    </format>
    <format dxfId="8631">
      <pivotArea dataOnly="0" labelOnly="1" outline="0" fieldPosition="0">
        <references count="2">
          <reference field="0" count="1" selected="0">
            <x v="1476"/>
          </reference>
          <reference field="1" count="1">
            <x v="161"/>
          </reference>
        </references>
      </pivotArea>
    </format>
    <format dxfId="8630">
      <pivotArea dataOnly="0" labelOnly="1" outline="0" fieldPosition="0">
        <references count="3">
          <reference field="0" count="1" selected="0">
            <x v="160"/>
          </reference>
          <reference field="1" count="1" selected="0">
            <x v="93"/>
          </reference>
          <reference field="11" count="1">
            <x v="4"/>
          </reference>
        </references>
      </pivotArea>
    </format>
    <format dxfId="8629">
      <pivotArea dataOnly="0" labelOnly="1" outline="0" fieldPosition="0">
        <references count="4">
          <reference field="0" count="1" selected="0">
            <x v="160"/>
          </reference>
          <reference field="1" count="1" selected="0">
            <x v="93"/>
          </reference>
          <reference field="7" count="1">
            <x v="1"/>
          </reference>
          <reference field="11" count="1" selected="0">
            <x v="4"/>
          </reference>
        </references>
      </pivotArea>
    </format>
    <format dxfId="8628">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627">
      <pivotArea dataOnly="0" labelOnly="1" outline="0" fieldPosition="0">
        <references count="4">
          <reference field="0" count="1" selected="0">
            <x v="414"/>
          </reference>
          <reference field="1" count="1" selected="0">
            <x v="124"/>
          </reference>
          <reference field="7" count="1">
            <x v="0"/>
          </reference>
          <reference field="11" count="1" selected="0">
            <x v="4"/>
          </reference>
        </references>
      </pivotArea>
    </format>
    <format dxfId="8626">
      <pivotArea dataOnly="0" labelOnly="1" outline="0" fieldPosition="0">
        <references count="4">
          <reference field="0" count="1" selected="0">
            <x v="512"/>
          </reference>
          <reference field="1" count="1" selected="0">
            <x v="133"/>
          </reference>
          <reference field="7" count="1">
            <x v="1"/>
          </reference>
          <reference field="11" count="1" selected="0">
            <x v="4"/>
          </reference>
        </references>
      </pivotArea>
    </format>
    <format dxfId="8625">
      <pivotArea dataOnly="0" labelOnly="1" outline="0" fieldPosition="0">
        <references count="4">
          <reference field="0" count="1" selected="0">
            <x v="571"/>
          </reference>
          <reference field="1" count="1" selected="0">
            <x v="169"/>
          </reference>
          <reference field="7" count="1">
            <x v="1"/>
          </reference>
          <reference field="11" count="1" selected="0">
            <x v="4"/>
          </reference>
        </references>
      </pivotArea>
    </format>
    <format dxfId="8624">
      <pivotArea dataOnly="0" labelOnly="1" outline="0" fieldPosition="0">
        <references count="4">
          <reference field="0" count="1" selected="0">
            <x v="636"/>
          </reference>
          <reference field="1" count="1" selected="0">
            <x v="165"/>
          </reference>
          <reference field="7" count="1">
            <x v="3"/>
          </reference>
          <reference field="11" count="1" selected="0">
            <x v="4"/>
          </reference>
        </references>
      </pivotArea>
    </format>
    <format dxfId="8623">
      <pivotArea dataOnly="0" labelOnly="1" outline="0" fieldPosition="0">
        <references count="4">
          <reference field="0" count="1" selected="0">
            <x v="778"/>
          </reference>
          <reference field="1" count="1" selected="0">
            <x v="36"/>
          </reference>
          <reference field="7" count="1">
            <x v="1"/>
          </reference>
          <reference field="11" count="1" selected="0">
            <x v="4"/>
          </reference>
        </references>
      </pivotArea>
    </format>
    <format dxfId="8622">
      <pivotArea dataOnly="0" labelOnly="1" outline="0" fieldPosition="0">
        <references count="4">
          <reference field="0" count="1" selected="0">
            <x v="1105"/>
          </reference>
          <reference field="1" count="1" selected="0">
            <x v="138"/>
          </reference>
          <reference field="7" count="1">
            <x v="1"/>
          </reference>
          <reference field="11" count="1" selected="0">
            <x v="4"/>
          </reference>
        </references>
      </pivotArea>
    </format>
    <format dxfId="8621">
      <pivotArea dataOnly="0" labelOnly="1" outline="0" fieldPosition="0">
        <references count="4">
          <reference field="0" count="1" selected="0">
            <x v="1126"/>
          </reference>
          <reference field="1" count="1" selected="0">
            <x v="163"/>
          </reference>
          <reference field="7" count="1">
            <x v="3"/>
          </reference>
          <reference field="11" count="1" selected="0">
            <x v="4"/>
          </reference>
        </references>
      </pivotArea>
    </format>
    <format dxfId="8620">
      <pivotArea dataOnly="0" labelOnly="1" outline="0" fieldPosition="0">
        <references count="4">
          <reference field="0" count="1" selected="0">
            <x v="1133"/>
          </reference>
          <reference field="1" count="1" selected="0">
            <x v="217"/>
          </reference>
          <reference field="7" count="1">
            <x v="1"/>
          </reference>
          <reference field="11" count="1" selected="0">
            <x v="4"/>
          </reference>
        </references>
      </pivotArea>
    </format>
    <format dxfId="8619">
      <pivotArea dataOnly="0" labelOnly="1" outline="0" fieldPosition="0">
        <references count="4">
          <reference field="0" count="1" selected="0">
            <x v="1167"/>
          </reference>
          <reference field="1" count="1" selected="0">
            <x v="69"/>
          </reference>
          <reference field="7" count="1">
            <x v="1"/>
          </reference>
          <reference field="11" count="1" selected="0">
            <x v="4"/>
          </reference>
        </references>
      </pivotArea>
    </format>
    <format dxfId="8618">
      <pivotArea dataOnly="0" labelOnly="1" outline="0" fieldPosition="0">
        <references count="4">
          <reference field="0" count="1" selected="0">
            <x v="1394"/>
          </reference>
          <reference field="1" count="1" selected="0">
            <x v="241"/>
          </reference>
          <reference field="7" count="1">
            <x v="0"/>
          </reference>
          <reference field="11" count="1" selected="0">
            <x v="4"/>
          </reference>
        </references>
      </pivotArea>
    </format>
    <format dxfId="8617">
      <pivotArea dataOnly="0" labelOnly="1" outline="0" fieldPosition="0">
        <references count="4">
          <reference field="0" count="1" selected="0">
            <x v="1450"/>
          </reference>
          <reference field="1" count="1" selected="0">
            <x v="264"/>
          </reference>
          <reference field="7" count="1">
            <x v="0"/>
          </reference>
          <reference field="11" count="1" selected="0">
            <x v="4"/>
          </reference>
        </references>
      </pivotArea>
    </format>
    <format dxfId="8616">
      <pivotArea dataOnly="0" labelOnly="1" outline="0" fieldPosition="0">
        <references count="4">
          <reference field="0" count="1" selected="0">
            <x v="1476"/>
          </reference>
          <reference field="1" count="1" selected="0">
            <x v="161"/>
          </reference>
          <reference field="7" count="1">
            <x v="3"/>
          </reference>
          <reference field="11" count="1" selected="0">
            <x v="4"/>
          </reference>
        </references>
      </pivotArea>
    </format>
    <format dxfId="8615">
      <pivotArea dataOnly="0" labelOnly="1" outline="0" axis="axisValues" fieldPosition="0"/>
    </format>
    <format dxfId="8614">
      <pivotArea type="all" dataOnly="0" outline="0" fieldPosition="0"/>
    </format>
    <format dxfId="8613">
      <pivotArea outline="0" collapsedLevelsAreSubtotals="1" fieldPosition="0"/>
    </format>
    <format dxfId="8612">
      <pivotArea field="0" type="button" dataOnly="0" labelOnly="1" outline="0" axis="axisRow" fieldPosition="0"/>
    </format>
    <format dxfId="8611">
      <pivotArea field="1" type="button" dataOnly="0" labelOnly="1" outline="0" axis="axisRow" fieldPosition="1"/>
    </format>
    <format dxfId="8610">
      <pivotArea field="11" type="button" dataOnly="0" labelOnly="1" outline="0" axis="axisRow" fieldPosition="2"/>
    </format>
    <format dxfId="8609">
      <pivotArea field="7" type="button" dataOnly="0" labelOnly="1" outline="0" axis="axisRow" fieldPosition="3"/>
    </format>
    <format dxfId="8608">
      <pivotArea dataOnly="0" labelOnly="1" outline="0" fieldPosition="0">
        <references count="1">
          <reference field="0" count="14">
            <x v="160"/>
            <x v="282"/>
            <x v="414"/>
            <x v="512"/>
            <x v="571"/>
            <x v="636"/>
            <x v="778"/>
            <x v="1105"/>
            <x v="1126"/>
            <x v="1133"/>
            <x v="1167"/>
            <x v="1394"/>
            <x v="1450"/>
            <x v="1476"/>
          </reference>
        </references>
      </pivotArea>
    </format>
    <format dxfId="8607">
      <pivotArea dataOnly="0" labelOnly="1" grandRow="1" outline="0" fieldPosition="0"/>
    </format>
    <format dxfId="8606">
      <pivotArea dataOnly="0" labelOnly="1" outline="0" fieldPosition="0">
        <references count="2">
          <reference field="0" count="1" selected="0">
            <x v="160"/>
          </reference>
          <reference field="1" count="1">
            <x v="93"/>
          </reference>
        </references>
      </pivotArea>
    </format>
    <format dxfId="8605">
      <pivotArea dataOnly="0" labelOnly="1" outline="0" fieldPosition="0">
        <references count="2">
          <reference field="0" count="1" selected="0">
            <x v="282"/>
          </reference>
          <reference field="1" count="1">
            <x v="205"/>
          </reference>
        </references>
      </pivotArea>
    </format>
    <format dxfId="8604">
      <pivotArea dataOnly="0" labelOnly="1" outline="0" fieldPosition="0">
        <references count="2">
          <reference field="0" count="1" selected="0">
            <x v="414"/>
          </reference>
          <reference field="1" count="1">
            <x v="124"/>
          </reference>
        </references>
      </pivotArea>
    </format>
    <format dxfId="8603">
      <pivotArea dataOnly="0" labelOnly="1" outline="0" fieldPosition="0">
        <references count="2">
          <reference field="0" count="1" selected="0">
            <x v="512"/>
          </reference>
          <reference field="1" count="1">
            <x v="133"/>
          </reference>
        </references>
      </pivotArea>
    </format>
    <format dxfId="8602">
      <pivotArea dataOnly="0" labelOnly="1" outline="0" fieldPosition="0">
        <references count="2">
          <reference field="0" count="1" selected="0">
            <x v="571"/>
          </reference>
          <reference field="1" count="1">
            <x v="169"/>
          </reference>
        </references>
      </pivotArea>
    </format>
    <format dxfId="8601">
      <pivotArea dataOnly="0" labelOnly="1" outline="0" fieldPosition="0">
        <references count="2">
          <reference field="0" count="1" selected="0">
            <x v="636"/>
          </reference>
          <reference field="1" count="1">
            <x v="165"/>
          </reference>
        </references>
      </pivotArea>
    </format>
    <format dxfId="8600">
      <pivotArea dataOnly="0" labelOnly="1" outline="0" fieldPosition="0">
        <references count="2">
          <reference field="0" count="1" selected="0">
            <x v="778"/>
          </reference>
          <reference field="1" count="1">
            <x v="36"/>
          </reference>
        </references>
      </pivotArea>
    </format>
    <format dxfId="8599">
      <pivotArea dataOnly="0" labelOnly="1" outline="0" fieldPosition="0">
        <references count="2">
          <reference field="0" count="1" selected="0">
            <x v="1105"/>
          </reference>
          <reference field="1" count="1">
            <x v="138"/>
          </reference>
        </references>
      </pivotArea>
    </format>
    <format dxfId="8598">
      <pivotArea dataOnly="0" labelOnly="1" outline="0" fieldPosition="0">
        <references count="2">
          <reference field="0" count="1" selected="0">
            <x v="1126"/>
          </reference>
          <reference field="1" count="1">
            <x v="163"/>
          </reference>
        </references>
      </pivotArea>
    </format>
    <format dxfId="8597">
      <pivotArea dataOnly="0" labelOnly="1" outline="0" fieldPosition="0">
        <references count="2">
          <reference field="0" count="1" selected="0">
            <x v="1133"/>
          </reference>
          <reference field="1" count="1">
            <x v="217"/>
          </reference>
        </references>
      </pivotArea>
    </format>
    <format dxfId="8596">
      <pivotArea dataOnly="0" labelOnly="1" outline="0" fieldPosition="0">
        <references count="2">
          <reference field="0" count="1" selected="0">
            <x v="1167"/>
          </reference>
          <reference field="1" count="1">
            <x v="69"/>
          </reference>
        </references>
      </pivotArea>
    </format>
    <format dxfId="8595">
      <pivotArea dataOnly="0" labelOnly="1" outline="0" fieldPosition="0">
        <references count="2">
          <reference field="0" count="1" selected="0">
            <x v="1394"/>
          </reference>
          <reference field="1" count="1">
            <x v="241"/>
          </reference>
        </references>
      </pivotArea>
    </format>
    <format dxfId="8594">
      <pivotArea dataOnly="0" labelOnly="1" outline="0" fieldPosition="0">
        <references count="2">
          <reference field="0" count="1" selected="0">
            <x v="1450"/>
          </reference>
          <reference field="1" count="1">
            <x v="264"/>
          </reference>
        </references>
      </pivotArea>
    </format>
    <format dxfId="8593">
      <pivotArea dataOnly="0" labelOnly="1" outline="0" fieldPosition="0">
        <references count="2">
          <reference field="0" count="1" selected="0">
            <x v="1476"/>
          </reference>
          <reference field="1" count="1">
            <x v="161"/>
          </reference>
        </references>
      </pivotArea>
    </format>
    <format dxfId="8592">
      <pivotArea dataOnly="0" labelOnly="1" outline="0" fieldPosition="0">
        <references count="3">
          <reference field="0" count="1" selected="0">
            <x v="160"/>
          </reference>
          <reference field="1" count="1" selected="0">
            <x v="93"/>
          </reference>
          <reference field="11" count="1">
            <x v="4"/>
          </reference>
        </references>
      </pivotArea>
    </format>
    <format dxfId="8591">
      <pivotArea dataOnly="0" labelOnly="1" outline="0" fieldPosition="0">
        <references count="4">
          <reference field="0" count="1" selected="0">
            <x v="160"/>
          </reference>
          <reference field="1" count="1" selected="0">
            <x v="93"/>
          </reference>
          <reference field="7" count="1">
            <x v="1"/>
          </reference>
          <reference field="11" count="1" selected="0">
            <x v="4"/>
          </reference>
        </references>
      </pivotArea>
    </format>
    <format dxfId="8590">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589">
      <pivotArea dataOnly="0" labelOnly="1" outline="0" fieldPosition="0">
        <references count="4">
          <reference field="0" count="1" selected="0">
            <x v="414"/>
          </reference>
          <reference field="1" count="1" selected="0">
            <x v="124"/>
          </reference>
          <reference field="7" count="1">
            <x v="0"/>
          </reference>
          <reference field="11" count="1" selected="0">
            <x v="4"/>
          </reference>
        </references>
      </pivotArea>
    </format>
    <format dxfId="8588">
      <pivotArea dataOnly="0" labelOnly="1" outline="0" fieldPosition="0">
        <references count="4">
          <reference field="0" count="1" selected="0">
            <x v="512"/>
          </reference>
          <reference field="1" count="1" selected="0">
            <x v="133"/>
          </reference>
          <reference field="7" count="1">
            <x v="1"/>
          </reference>
          <reference field="11" count="1" selected="0">
            <x v="4"/>
          </reference>
        </references>
      </pivotArea>
    </format>
    <format dxfId="8587">
      <pivotArea dataOnly="0" labelOnly="1" outline="0" fieldPosition="0">
        <references count="4">
          <reference field="0" count="1" selected="0">
            <x v="571"/>
          </reference>
          <reference field="1" count="1" selected="0">
            <x v="169"/>
          </reference>
          <reference field="7" count="1">
            <x v="1"/>
          </reference>
          <reference field="11" count="1" selected="0">
            <x v="4"/>
          </reference>
        </references>
      </pivotArea>
    </format>
    <format dxfId="8586">
      <pivotArea dataOnly="0" labelOnly="1" outline="0" fieldPosition="0">
        <references count="4">
          <reference field="0" count="1" selected="0">
            <x v="636"/>
          </reference>
          <reference field="1" count="1" selected="0">
            <x v="165"/>
          </reference>
          <reference field="7" count="1">
            <x v="3"/>
          </reference>
          <reference field="11" count="1" selected="0">
            <x v="4"/>
          </reference>
        </references>
      </pivotArea>
    </format>
    <format dxfId="8585">
      <pivotArea dataOnly="0" labelOnly="1" outline="0" fieldPosition="0">
        <references count="4">
          <reference field="0" count="1" selected="0">
            <x v="778"/>
          </reference>
          <reference field="1" count="1" selected="0">
            <x v="36"/>
          </reference>
          <reference field="7" count="1">
            <x v="1"/>
          </reference>
          <reference field="11" count="1" selected="0">
            <x v="4"/>
          </reference>
        </references>
      </pivotArea>
    </format>
    <format dxfId="8584">
      <pivotArea dataOnly="0" labelOnly="1" outline="0" fieldPosition="0">
        <references count="4">
          <reference field="0" count="1" selected="0">
            <x v="1105"/>
          </reference>
          <reference field="1" count="1" selected="0">
            <x v="138"/>
          </reference>
          <reference field="7" count="1">
            <x v="1"/>
          </reference>
          <reference field="11" count="1" selected="0">
            <x v="4"/>
          </reference>
        </references>
      </pivotArea>
    </format>
    <format dxfId="8583">
      <pivotArea dataOnly="0" labelOnly="1" outline="0" fieldPosition="0">
        <references count="4">
          <reference field="0" count="1" selected="0">
            <x v="1126"/>
          </reference>
          <reference field="1" count="1" selected="0">
            <x v="163"/>
          </reference>
          <reference field="7" count="1">
            <x v="3"/>
          </reference>
          <reference field="11" count="1" selected="0">
            <x v="4"/>
          </reference>
        </references>
      </pivotArea>
    </format>
    <format dxfId="8582">
      <pivotArea dataOnly="0" labelOnly="1" outline="0" fieldPosition="0">
        <references count="4">
          <reference field="0" count="1" selected="0">
            <x v="1133"/>
          </reference>
          <reference field="1" count="1" selected="0">
            <x v="217"/>
          </reference>
          <reference field="7" count="1">
            <x v="1"/>
          </reference>
          <reference field="11" count="1" selected="0">
            <x v="4"/>
          </reference>
        </references>
      </pivotArea>
    </format>
    <format dxfId="8581">
      <pivotArea dataOnly="0" labelOnly="1" outline="0" fieldPosition="0">
        <references count="4">
          <reference field="0" count="1" selected="0">
            <x v="1167"/>
          </reference>
          <reference field="1" count="1" selected="0">
            <x v="69"/>
          </reference>
          <reference field="7" count="1">
            <x v="1"/>
          </reference>
          <reference field="11" count="1" selected="0">
            <x v="4"/>
          </reference>
        </references>
      </pivotArea>
    </format>
    <format dxfId="8580">
      <pivotArea dataOnly="0" labelOnly="1" outline="0" fieldPosition="0">
        <references count="4">
          <reference field="0" count="1" selected="0">
            <x v="1394"/>
          </reference>
          <reference field="1" count="1" selected="0">
            <x v="241"/>
          </reference>
          <reference field="7" count="1">
            <x v="0"/>
          </reference>
          <reference field="11" count="1" selected="0">
            <x v="4"/>
          </reference>
        </references>
      </pivotArea>
    </format>
    <format dxfId="8579">
      <pivotArea dataOnly="0" labelOnly="1" outline="0" fieldPosition="0">
        <references count="4">
          <reference field="0" count="1" selected="0">
            <x v="1450"/>
          </reference>
          <reference field="1" count="1" selected="0">
            <x v="264"/>
          </reference>
          <reference field="7" count="1">
            <x v="0"/>
          </reference>
          <reference field="11" count="1" selected="0">
            <x v="4"/>
          </reference>
        </references>
      </pivotArea>
    </format>
    <format dxfId="8578">
      <pivotArea dataOnly="0" labelOnly="1" outline="0" fieldPosition="0">
        <references count="4">
          <reference field="0" count="1" selected="0">
            <x v="1476"/>
          </reference>
          <reference field="1" count="1" selected="0">
            <x v="161"/>
          </reference>
          <reference field="7" count="1">
            <x v="3"/>
          </reference>
          <reference field="11" count="1" selected="0">
            <x v="4"/>
          </reference>
        </references>
      </pivotArea>
    </format>
    <format dxfId="8577">
      <pivotArea dataOnly="0" labelOnly="1" outline="0" axis="axisValues" fieldPosition="0"/>
    </format>
    <format dxfId="8576">
      <pivotArea type="all" dataOnly="0" outline="0" fieldPosition="0"/>
    </format>
    <format dxfId="8575">
      <pivotArea outline="0" collapsedLevelsAreSubtotals="1" fieldPosition="0"/>
    </format>
    <format dxfId="8574">
      <pivotArea field="0" type="button" dataOnly="0" labelOnly="1" outline="0" axis="axisRow" fieldPosition="0"/>
    </format>
    <format dxfId="8573">
      <pivotArea field="1" type="button" dataOnly="0" labelOnly="1" outline="0" axis="axisRow" fieldPosition="1"/>
    </format>
    <format dxfId="8572">
      <pivotArea field="11" type="button" dataOnly="0" labelOnly="1" outline="0" axis="axisRow" fieldPosition="2"/>
    </format>
    <format dxfId="8571">
      <pivotArea field="7" type="button" dataOnly="0" labelOnly="1" outline="0" axis="axisRow" fieldPosition="3"/>
    </format>
    <format dxfId="8570">
      <pivotArea dataOnly="0" labelOnly="1" outline="0" fieldPosition="0">
        <references count="1">
          <reference field="0" count="14">
            <x v="160"/>
            <x v="282"/>
            <x v="414"/>
            <x v="512"/>
            <x v="571"/>
            <x v="636"/>
            <x v="778"/>
            <x v="1105"/>
            <x v="1126"/>
            <x v="1133"/>
            <x v="1167"/>
            <x v="1394"/>
            <x v="1450"/>
            <x v="1476"/>
          </reference>
        </references>
      </pivotArea>
    </format>
    <format dxfId="8569">
      <pivotArea dataOnly="0" labelOnly="1" grandRow="1" outline="0" fieldPosition="0"/>
    </format>
    <format dxfId="8568">
      <pivotArea dataOnly="0" labelOnly="1" outline="0" fieldPosition="0">
        <references count="2">
          <reference field="0" count="1" selected="0">
            <x v="160"/>
          </reference>
          <reference field="1" count="1">
            <x v="93"/>
          </reference>
        </references>
      </pivotArea>
    </format>
    <format dxfId="8567">
      <pivotArea dataOnly="0" labelOnly="1" outline="0" fieldPosition="0">
        <references count="2">
          <reference field="0" count="1" selected="0">
            <x v="282"/>
          </reference>
          <reference field="1" count="1">
            <x v="205"/>
          </reference>
        </references>
      </pivotArea>
    </format>
    <format dxfId="8566">
      <pivotArea dataOnly="0" labelOnly="1" outline="0" fieldPosition="0">
        <references count="2">
          <reference field="0" count="1" selected="0">
            <x v="414"/>
          </reference>
          <reference field="1" count="1">
            <x v="124"/>
          </reference>
        </references>
      </pivotArea>
    </format>
    <format dxfId="8565">
      <pivotArea dataOnly="0" labelOnly="1" outline="0" fieldPosition="0">
        <references count="2">
          <reference field="0" count="1" selected="0">
            <x v="512"/>
          </reference>
          <reference field="1" count="1">
            <x v="133"/>
          </reference>
        </references>
      </pivotArea>
    </format>
    <format dxfId="8564">
      <pivotArea dataOnly="0" labelOnly="1" outline="0" fieldPosition="0">
        <references count="2">
          <reference field="0" count="1" selected="0">
            <x v="571"/>
          </reference>
          <reference field="1" count="1">
            <x v="169"/>
          </reference>
        </references>
      </pivotArea>
    </format>
    <format dxfId="8563">
      <pivotArea dataOnly="0" labelOnly="1" outline="0" fieldPosition="0">
        <references count="2">
          <reference field="0" count="1" selected="0">
            <x v="636"/>
          </reference>
          <reference field="1" count="1">
            <x v="165"/>
          </reference>
        </references>
      </pivotArea>
    </format>
    <format dxfId="8562">
      <pivotArea dataOnly="0" labelOnly="1" outline="0" fieldPosition="0">
        <references count="2">
          <reference field="0" count="1" selected="0">
            <x v="778"/>
          </reference>
          <reference field="1" count="1">
            <x v="36"/>
          </reference>
        </references>
      </pivotArea>
    </format>
    <format dxfId="8561">
      <pivotArea dataOnly="0" labelOnly="1" outline="0" fieldPosition="0">
        <references count="2">
          <reference field="0" count="1" selected="0">
            <x v="1105"/>
          </reference>
          <reference field="1" count="1">
            <x v="138"/>
          </reference>
        </references>
      </pivotArea>
    </format>
    <format dxfId="8560">
      <pivotArea dataOnly="0" labelOnly="1" outline="0" fieldPosition="0">
        <references count="2">
          <reference field="0" count="1" selected="0">
            <x v="1126"/>
          </reference>
          <reference field="1" count="1">
            <x v="163"/>
          </reference>
        </references>
      </pivotArea>
    </format>
    <format dxfId="8559">
      <pivotArea dataOnly="0" labelOnly="1" outline="0" fieldPosition="0">
        <references count="2">
          <reference field="0" count="1" selected="0">
            <x v="1133"/>
          </reference>
          <reference field="1" count="1">
            <x v="217"/>
          </reference>
        </references>
      </pivotArea>
    </format>
    <format dxfId="8558">
      <pivotArea dataOnly="0" labelOnly="1" outline="0" fieldPosition="0">
        <references count="2">
          <reference field="0" count="1" selected="0">
            <x v="1167"/>
          </reference>
          <reference field="1" count="1">
            <x v="69"/>
          </reference>
        </references>
      </pivotArea>
    </format>
    <format dxfId="8557">
      <pivotArea dataOnly="0" labelOnly="1" outline="0" fieldPosition="0">
        <references count="2">
          <reference field="0" count="1" selected="0">
            <x v="1394"/>
          </reference>
          <reference field="1" count="1">
            <x v="241"/>
          </reference>
        </references>
      </pivotArea>
    </format>
    <format dxfId="8556">
      <pivotArea dataOnly="0" labelOnly="1" outline="0" fieldPosition="0">
        <references count="2">
          <reference field="0" count="1" selected="0">
            <x v="1450"/>
          </reference>
          <reference field="1" count="1">
            <x v="264"/>
          </reference>
        </references>
      </pivotArea>
    </format>
    <format dxfId="8555">
      <pivotArea dataOnly="0" labelOnly="1" outline="0" fieldPosition="0">
        <references count="2">
          <reference field="0" count="1" selected="0">
            <x v="1476"/>
          </reference>
          <reference field="1" count="1">
            <x v="161"/>
          </reference>
        </references>
      </pivotArea>
    </format>
    <format dxfId="8554">
      <pivotArea dataOnly="0" labelOnly="1" outline="0" fieldPosition="0">
        <references count="3">
          <reference field="0" count="1" selected="0">
            <x v="160"/>
          </reference>
          <reference field="1" count="1" selected="0">
            <x v="93"/>
          </reference>
          <reference field="11" count="1">
            <x v="4"/>
          </reference>
        </references>
      </pivotArea>
    </format>
    <format dxfId="8553">
      <pivotArea dataOnly="0" labelOnly="1" outline="0" fieldPosition="0">
        <references count="4">
          <reference field="0" count="1" selected="0">
            <x v="160"/>
          </reference>
          <reference field="1" count="1" selected="0">
            <x v="93"/>
          </reference>
          <reference field="7" count="1">
            <x v="1"/>
          </reference>
          <reference field="11" count="1" selected="0">
            <x v="4"/>
          </reference>
        </references>
      </pivotArea>
    </format>
    <format dxfId="8552">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551">
      <pivotArea dataOnly="0" labelOnly="1" outline="0" fieldPosition="0">
        <references count="4">
          <reference field="0" count="1" selected="0">
            <x v="414"/>
          </reference>
          <reference field="1" count="1" selected="0">
            <x v="124"/>
          </reference>
          <reference field="7" count="1">
            <x v="0"/>
          </reference>
          <reference field="11" count="1" selected="0">
            <x v="4"/>
          </reference>
        </references>
      </pivotArea>
    </format>
    <format dxfId="8550">
      <pivotArea dataOnly="0" labelOnly="1" outline="0" fieldPosition="0">
        <references count="4">
          <reference field="0" count="1" selected="0">
            <x v="512"/>
          </reference>
          <reference field="1" count="1" selected="0">
            <x v="133"/>
          </reference>
          <reference field="7" count="1">
            <x v="1"/>
          </reference>
          <reference field="11" count="1" selected="0">
            <x v="4"/>
          </reference>
        </references>
      </pivotArea>
    </format>
    <format dxfId="8549">
      <pivotArea dataOnly="0" labelOnly="1" outline="0" fieldPosition="0">
        <references count="4">
          <reference field="0" count="1" selected="0">
            <x v="571"/>
          </reference>
          <reference field="1" count="1" selected="0">
            <x v="169"/>
          </reference>
          <reference field="7" count="1">
            <x v="1"/>
          </reference>
          <reference field="11" count="1" selected="0">
            <x v="4"/>
          </reference>
        </references>
      </pivotArea>
    </format>
    <format dxfId="8548">
      <pivotArea dataOnly="0" labelOnly="1" outline="0" fieldPosition="0">
        <references count="4">
          <reference field="0" count="1" selected="0">
            <x v="636"/>
          </reference>
          <reference field="1" count="1" selected="0">
            <x v="165"/>
          </reference>
          <reference field="7" count="1">
            <x v="3"/>
          </reference>
          <reference field="11" count="1" selected="0">
            <x v="4"/>
          </reference>
        </references>
      </pivotArea>
    </format>
    <format dxfId="8547">
      <pivotArea dataOnly="0" labelOnly="1" outline="0" fieldPosition="0">
        <references count="4">
          <reference field="0" count="1" selected="0">
            <x v="778"/>
          </reference>
          <reference field="1" count="1" selected="0">
            <x v="36"/>
          </reference>
          <reference field="7" count="1">
            <x v="1"/>
          </reference>
          <reference field="11" count="1" selected="0">
            <x v="4"/>
          </reference>
        </references>
      </pivotArea>
    </format>
    <format dxfId="8546">
      <pivotArea dataOnly="0" labelOnly="1" outline="0" fieldPosition="0">
        <references count="4">
          <reference field="0" count="1" selected="0">
            <x v="1105"/>
          </reference>
          <reference field="1" count="1" selected="0">
            <x v="138"/>
          </reference>
          <reference field="7" count="1">
            <x v="1"/>
          </reference>
          <reference field="11" count="1" selected="0">
            <x v="4"/>
          </reference>
        </references>
      </pivotArea>
    </format>
    <format dxfId="8545">
      <pivotArea dataOnly="0" labelOnly="1" outline="0" fieldPosition="0">
        <references count="4">
          <reference field="0" count="1" selected="0">
            <x v="1126"/>
          </reference>
          <reference field="1" count="1" selected="0">
            <x v="163"/>
          </reference>
          <reference field="7" count="1">
            <x v="3"/>
          </reference>
          <reference field="11" count="1" selected="0">
            <x v="4"/>
          </reference>
        </references>
      </pivotArea>
    </format>
    <format dxfId="8544">
      <pivotArea dataOnly="0" labelOnly="1" outline="0" fieldPosition="0">
        <references count="4">
          <reference field="0" count="1" selected="0">
            <x v="1133"/>
          </reference>
          <reference field="1" count="1" selected="0">
            <x v="217"/>
          </reference>
          <reference field="7" count="1">
            <x v="1"/>
          </reference>
          <reference field="11" count="1" selected="0">
            <x v="4"/>
          </reference>
        </references>
      </pivotArea>
    </format>
    <format dxfId="8543">
      <pivotArea dataOnly="0" labelOnly="1" outline="0" fieldPosition="0">
        <references count="4">
          <reference field="0" count="1" selected="0">
            <x v="1167"/>
          </reference>
          <reference field="1" count="1" selected="0">
            <x v="69"/>
          </reference>
          <reference field="7" count="1">
            <x v="1"/>
          </reference>
          <reference field="11" count="1" selected="0">
            <x v="4"/>
          </reference>
        </references>
      </pivotArea>
    </format>
    <format dxfId="8542">
      <pivotArea dataOnly="0" labelOnly="1" outline="0" fieldPosition="0">
        <references count="4">
          <reference field="0" count="1" selected="0">
            <x v="1394"/>
          </reference>
          <reference field="1" count="1" selected="0">
            <x v="241"/>
          </reference>
          <reference field="7" count="1">
            <x v="0"/>
          </reference>
          <reference field="11" count="1" selected="0">
            <x v="4"/>
          </reference>
        </references>
      </pivotArea>
    </format>
    <format dxfId="8541">
      <pivotArea dataOnly="0" labelOnly="1" outline="0" fieldPosition="0">
        <references count="4">
          <reference field="0" count="1" selected="0">
            <x v="1450"/>
          </reference>
          <reference field="1" count="1" selected="0">
            <x v="264"/>
          </reference>
          <reference field="7" count="1">
            <x v="0"/>
          </reference>
          <reference field="11" count="1" selected="0">
            <x v="4"/>
          </reference>
        </references>
      </pivotArea>
    </format>
    <format dxfId="8540">
      <pivotArea dataOnly="0" labelOnly="1" outline="0" fieldPosition="0">
        <references count="4">
          <reference field="0" count="1" selected="0">
            <x v="1476"/>
          </reference>
          <reference field="1" count="1" selected="0">
            <x v="161"/>
          </reference>
          <reference field="7" count="1">
            <x v="3"/>
          </reference>
          <reference field="11" count="1" selected="0">
            <x v="4"/>
          </reference>
        </references>
      </pivotArea>
    </format>
    <format dxfId="8539">
      <pivotArea dataOnly="0" labelOnly="1" outline="0" axis="axisValues" fieldPosition="0"/>
    </format>
    <format dxfId="8538">
      <pivotArea type="all" dataOnly="0" outline="0" fieldPosition="0"/>
    </format>
    <format dxfId="8537">
      <pivotArea outline="0" collapsedLevelsAreSubtotals="1" fieldPosition="0"/>
    </format>
    <format dxfId="8536">
      <pivotArea field="0" type="button" dataOnly="0" labelOnly="1" outline="0" axis="axisRow" fieldPosition="0"/>
    </format>
    <format dxfId="8535">
      <pivotArea field="1" type="button" dataOnly="0" labelOnly="1" outline="0" axis="axisRow" fieldPosition="1"/>
    </format>
    <format dxfId="8534">
      <pivotArea field="11" type="button" dataOnly="0" labelOnly="1" outline="0" axis="axisRow" fieldPosition="2"/>
    </format>
    <format dxfId="8533">
      <pivotArea field="7" type="button" dataOnly="0" labelOnly="1" outline="0" axis="axisRow" fieldPosition="3"/>
    </format>
    <format dxfId="8532">
      <pivotArea dataOnly="0" labelOnly="1" outline="0" fieldPosition="0">
        <references count="1">
          <reference field="0" count="14">
            <x v="160"/>
            <x v="282"/>
            <x v="414"/>
            <x v="512"/>
            <x v="571"/>
            <x v="636"/>
            <x v="778"/>
            <x v="1105"/>
            <x v="1126"/>
            <x v="1133"/>
            <x v="1167"/>
            <x v="1394"/>
            <x v="1450"/>
            <x v="1476"/>
          </reference>
        </references>
      </pivotArea>
    </format>
    <format dxfId="8531">
      <pivotArea dataOnly="0" labelOnly="1" grandRow="1" outline="0" fieldPosition="0"/>
    </format>
    <format dxfId="8530">
      <pivotArea dataOnly="0" labelOnly="1" outline="0" fieldPosition="0">
        <references count="2">
          <reference field="0" count="1" selected="0">
            <x v="160"/>
          </reference>
          <reference field="1" count="1">
            <x v="93"/>
          </reference>
        </references>
      </pivotArea>
    </format>
    <format dxfId="8529">
      <pivotArea dataOnly="0" labelOnly="1" outline="0" fieldPosition="0">
        <references count="2">
          <reference field="0" count="1" selected="0">
            <x v="282"/>
          </reference>
          <reference field="1" count="1">
            <x v="205"/>
          </reference>
        </references>
      </pivotArea>
    </format>
    <format dxfId="8528">
      <pivotArea dataOnly="0" labelOnly="1" outline="0" fieldPosition="0">
        <references count="2">
          <reference field="0" count="1" selected="0">
            <x v="414"/>
          </reference>
          <reference field="1" count="1">
            <x v="124"/>
          </reference>
        </references>
      </pivotArea>
    </format>
    <format dxfId="8527">
      <pivotArea dataOnly="0" labelOnly="1" outline="0" fieldPosition="0">
        <references count="2">
          <reference field="0" count="1" selected="0">
            <x v="512"/>
          </reference>
          <reference field="1" count="1">
            <x v="133"/>
          </reference>
        </references>
      </pivotArea>
    </format>
    <format dxfId="8526">
      <pivotArea dataOnly="0" labelOnly="1" outline="0" fieldPosition="0">
        <references count="2">
          <reference field="0" count="1" selected="0">
            <x v="571"/>
          </reference>
          <reference field="1" count="1">
            <x v="169"/>
          </reference>
        </references>
      </pivotArea>
    </format>
    <format dxfId="8525">
      <pivotArea dataOnly="0" labelOnly="1" outline="0" fieldPosition="0">
        <references count="2">
          <reference field="0" count="1" selected="0">
            <x v="636"/>
          </reference>
          <reference field="1" count="1">
            <x v="165"/>
          </reference>
        </references>
      </pivotArea>
    </format>
    <format dxfId="8524">
      <pivotArea dataOnly="0" labelOnly="1" outline="0" fieldPosition="0">
        <references count="2">
          <reference field="0" count="1" selected="0">
            <x v="778"/>
          </reference>
          <reference field="1" count="1">
            <x v="36"/>
          </reference>
        </references>
      </pivotArea>
    </format>
    <format dxfId="8523">
      <pivotArea dataOnly="0" labelOnly="1" outline="0" fieldPosition="0">
        <references count="2">
          <reference field="0" count="1" selected="0">
            <x v="1105"/>
          </reference>
          <reference field="1" count="1">
            <x v="138"/>
          </reference>
        </references>
      </pivotArea>
    </format>
    <format dxfId="8522">
      <pivotArea dataOnly="0" labelOnly="1" outline="0" fieldPosition="0">
        <references count="2">
          <reference field="0" count="1" selected="0">
            <x v="1126"/>
          </reference>
          <reference field="1" count="1">
            <x v="163"/>
          </reference>
        </references>
      </pivotArea>
    </format>
    <format dxfId="8521">
      <pivotArea dataOnly="0" labelOnly="1" outline="0" fieldPosition="0">
        <references count="2">
          <reference field="0" count="1" selected="0">
            <x v="1133"/>
          </reference>
          <reference field="1" count="1">
            <x v="217"/>
          </reference>
        </references>
      </pivotArea>
    </format>
    <format dxfId="8520">
      <pivotArea dataOnly="0" labelOnly="1" outline="0" fieldPosition="0">
        <references count="2">
          <reference field="0" count="1" selected="0">
            <x v="1167"/>
          </reference>
          <reference field="1" count="1">
            <x v="69"/>
          </reference>
        </references>
      </pivotArea>
    </format>
    <format dxfId="8519">
      <pivotArea dataOnly="0" labelOnly="1" outline="0" fieldPosition="0">
        <references count="2">
          <reference field="0" count="1" selected="0">
            <x v="1394"/>
          </reference>
          <reference field="1" count="1">
            <x v="241"/>
          </reference>
        </references>
      </pivotArea>
    </format>
    <format dxfId="8518">
      <pivotArea dataOnly="0" labelOnly="1" outline="0" fieldPosition="0">
        <references count="2">
          <reference field="0" count="1" selected="0">
            <x v="1450"/>
          </reference>
          <reference field="1" count="1">
            <x v="264"/>
          </reference>
        </references>
      </pivotArea>
    </format>
    <format dxfId="8517">
      <pivotArea dataOnly="0" labelOnly="1" outline="0" fieldPosition="0">
        <references count="2">
          <reference field="0" count="1" selected="0">
            <x v="1476"/>
          </reference>
          <reference field="1" count="1">
            <x v="161"/>
          </reference>
        </references>
      </pivotArea>
    </format>
    <format dxfId="8516">
      <pivotArea dataOnly="0" labelOnly="1" outline="0" fieldPosition="0">
        <references count="3">
          <reference field="0" count="1" selected="0">
            <x v="160"/>
          </reference>
          <reference field="1" count="1" selected="0">
            <x v="93"/>
          </reference>
          <reference field="11" count="1">
            <x v="4"/>
          </reference>
        </references>
      </pivotArea>
    </format>
    <format dxfId="8515">
      <pivotArea dataOnly="0" labelOnly="1" outline="0" fieldPosition="0">
        <references count="4">
          <reference field="0" count="1" selected="0">
            <x v="160"/>
          </reference>
          <reference field="1" count="1" selected="0">
            <x v="93"/>
          </reference>
          <reference field="7" count="1">
            <x v="1"/>
          </reference>
          <reference field="11" count="1" selected="0">
            <x v="4"/>
          </reference>
        </references>
      </pivotArea>
    </format>
    <format dxfId="8514">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513">
      <pivotArea dataOnly="0" labelOnly="1" outline="0" fieldPosition="0">
        <references count="4">
          <reference field="0" count="1" selected="0">
            <x v="414"/>
          </reference>
          <reference field="1" count="1" selected="0">
            <x v="124"/>
          </reference>
          <reference field="7" count="1">
            <x v="0"/>
          </reference>
          <reference field="11" count="1" selected="0">
            <x v="4"/>
          </reference>
        </references>
      </pivotArea>
    </format>
    <format dxfId="8512">
      <pivotArea dataOnly="0" labelOnly="1" outline="0" fieldPosition="0">
        <references count="4">
          <reference field="0" count="1" selected="0">
            <x v="512"/>
          </reference>
          <reference field="1" count="1" selected="0">
            <x v="133"/>
          </reference>
          <reference field="7" count="1">
            <x v="1"/>
          </reference>
          <reference field="11" count="1" selected="0">
            <x v="4"/>
          </reference>
        </references>
      </pivotArea>
    </format>
    <format dxfId="8511">
      <pivotArea dataOnly="0" labelOnly="1" outline="0" fieldPosition="0">
        <references count="4">
          <reference field="0" count="1" selected="0">
            <x v="571"/>
          </reference>
          <reference field="1" count="1" selected="0">
            <x v="169"/>
          </reference>
          <reference field="7" count="1">
            <x v="1"/>
          </reference>
          <reference field="11" count="1" selected="0">
            <x v="4"/>
          </reference>
        </references>
      </pivotArea>
    </format>
    <format dxfId="8510">
      <pivotArea dataOnly="0" labelOnly="1" outline="0" fieldPosition="0">
        <references count="4">
          <reference field="0" count="1" selected="0">
            <x v="636"/>
          </reference>
          <reference field="1" count="1" selected="0">
            <x v="165"/>
          </reference>
          <reference field="7" count="1">
            <x v="3"/>
          </reference>
          <reference field="11" count="1" selected="0">
            <x v="4"/>
          </reference>
        </references>
      </pivotArea>
    </format>
    <format dxfId="8509">
      <pivotArea dataOnly="0" labelOnly="1" outline="0" fieldPosition="0">
        <references count="4">
          <reference field="0" count="1" selected="0">
            <x v="778"/>
          </reference>
          <reference field="1" count="1" selected="0">
            <x v="36"/>
          </reference>
          <reference field="7" count="1">
            <x v="1"/>
          </reference>
          <reference field="11" count="1" selected="0">
            <x v="4"/>
          </reference>
        </references>
      </pivotArea>
    </format>
    <format dxfId="8508">
      <pivotArea dataOnly="0" labelOnly="1" outline="0" fieldPosition="0">
        <references count="4">
          <reference field="0" count="1" selected="0">
            <x v="1105"/>
          </reference>
          <reference field="1" count="1" selected="0">
            <x v="138"/>
          </reference>
          <reference field="7" count="1">
            <x v="1"/>
          </reference>
          <reference field="11" count="1" selected="0">
            <x v="4"/>
          </reference>
        </references>
      </pivotArea>
    </format>
    <format dxfId="8507">
      <pivotArea dataOnly="0" labelOnly="1" outline="0" fieldPosition="0">
        <references count="4">
          <reference field="0" count="1" selected="0">
            <x v="1126"/>
          </reference>
          <reference field="1" count="1" selected="0">
            <x v="163"/>
          </reference>
          <reference field="7" count="1">
            <x v="3"/>
          </reference>
          <reference field="11" count="1" selected="0">
            <x v="4"/>
          </reference>
        </references>
      </pivotArea>
    </format>
    <format dxfId="8506">
      <pivotArea dataOnly="0" labelOnly="1" outline="0" fieldPosition="0">
        <references count="4">
          <reference field="0" count="1" selected="0">
            <x v="1133"/>
          </reference>
          <reference field="1" count="1" selected="0">
            <x v="217"/>
          </reference>
          <reference field="7" count="1">
            <x v="1"/>
          </reference>
          <reference field="11" count="1" selected="0">
            <x v="4"/>
          </reference>
        </references>
      </pivotArea>
    </format>
    <format dxfId="8505">
      <pivotArea dataOnly="0" labelOnly="1" outline="0" fieldPosition="0">
        <references count="4">
          <reference field="0" count="1" selected="0">
            <x v="1167"/>
          </reference>
          <reference field="1" count="1" selected="0">
            <x v="69"/>
          </reference>
          <reference field="7" count="1">
            <x v="1"/>
          </reference>
          <reference field="11" count="1" selected="0">
            <x v="4"/>
          </reference>
        </references>
      </pivotArea>
    </format>
    <format dxfId="8504">
      <pivotArea dataOnly="0" labelOnly="1" outline="0" fieldPosition="0">
        <references count="4">
          <reference field="0" count="1" selected="0">
            <x v="1394"/>
          </reference>
          <reference field="1" count="1" selected="0">
            <x v="241"/>
          </reference>
          <reference field="7" count="1">
            <x v="0"/>
          </reference>
          <reference field="11" count="1" selected="0">
            <x v="4"/>
          </reference>
        </references>
      </pivotArea>
    </format>
    <format dxfId="8503">
      <pivotArea dataOnly="0" labelOnly="1" outline="0" fieldPosition="0">
        <references count="4">
          <reference field="0" count="1" selected="0">
            <x v="1450"/>
          </reference>
          <reference field="1" count="1" selected="0">
            <x v="264"/>
          </reference>
          <reference field="7" count="1">
            <x v="0"/>
          </reference>
          <reference field="11" count="1" selected="0">
            <x v="4"/>
          </reference>
        </references>
      </pivotArea>
    </format>
    <format dxfId="8502">
      <pivotArea dataOnly="0" labelOnly="1" outline="0" fieldPosition="0">
        <references count="4">
          <reference field="0" count="1" selected="0">
            <x v="1476"/>
          </reference>
          <reference field="1" count="1" selected="0">
            <x v="161"/>
          </reference>
          <reference field="7" count="1">
            <x v="3"/>
          </reference>
          <reference field="11" count="1" selected="0">
            <x v="4"/>
          </reference>
        </references>
      </pivotArea>
    </format>
    <format dxfId="8501">
      <pivotArea dataOnly="0" labelOnly="1" outline="0" axis="axisValues" fieldPosition="0"/>
    </format>
    <format dxfId="8500">
      <pivotArea type="all" dataOnly="0" outline="0" fieldPosition="0"/>
    </format>
    <format dxfId="8499">
      <pivotArea outline="0" collapsedLevelsAreSubtotals="1" fieldPosition="0"/>
    </format>
    <format dxfId="8498">
      <pivotArea field="0" type="button" dataOnly="0" labelOnly="1" outline="0" axis="axisRow" fieldPosition="0"/>
    </format>
    <format dxfId="8497">
      <pivotArea field="1" type="button" dataOnly="0" labelOnly="1" outline="0" axis="axisRow" fieldPosition="1"/>
    </format>
    <format dxfId="8496">
      <pivotArea field="11" type="button" dataOnly="0" labelOnly="1" outline="0" axis="axisRow" fieldPosition="2"/>
    </format>
    <format dxfId="8495">
      <pivotArea field="7" type="button" dataOnly="0" labelOnly="1" outline="0" axis="axisRow" fieldPosition="3"/>
    </format>
    <format dxfId="8494">
      <pivotArea dataOnly="0" labelOnly="1" grandRow="1" outline="0" fieldPosition="0"/>
    </format>
    <format dxfId="8493">
      <pivotArea dataOnly="0" labelOnly="1" outline="0" fieldPosition="0">
        <references count="2">
          <reference field="0" count="1" selected="0">
            <x v="282"/>
          </reference>
          <reference field="1" count="1">
            <x v="205"/>
          </reference>
        </references>
      </pivotArea>
    </format>
    <format dxfId="8492">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491">
      <pivotArea dataOnly="0" labelOnly="1" outline="0" axis="axisValues" fieldPosition="0"/>
    </format>
    <format dxfId="8231">
      <pivotArea type="all" dataOnly="0" outline="0" fieldPosition="0"/>
    </format>
    <format dxfId="8230">
      <pivotArea outline="0" collapsedLevelsAreSubtotals="1" fieldPosition="0"/>
    </format>
    <format dxfId="8229">
      <pivotArea field="0" type="button" dataOnly="0" labelOnly="1" outline="0" axis="axisRow" fieldPosition="0"/>
    </format>
    <format dxfId="8228">
      <pivotArea field="1" type="button" dataOnly="0" labelOnly="1" outline="0" axis="axisRow" fieldPosition="1"/>
    </format>
    <format dxfId="8227">
      <pivotArea field="11" type="button" dataOnly="0" labelOnly="1" outline="0" axis="axisRow" fieldPosition="2"/>
    </format>
    <format dxfId="8226">
      <pivotArea field="7" type="button" dataOnly="0" labelOnly="1" outline="0" axis="axisRow" fieldPosition="3"/>
    </format>
    <format dxfId="8225">
      <pivotArea dataOnly="0" labelOnly="1" outline="0" fieldPosition="0">
        <references count="1">
          <reference field="0" count="10">
            <x v="13"/>
            <x v="23"/>
            <x v="282"/>
            <x v="607"/>
            <x v="888"/>
            <x v="911"/>
            <x v="1349"/>
            <x v="1373"/>
            <x v="1399"/>
            <x v="1428"/>
          </reference>
        </references>
      </pivotArea>
    </format>
    <format dxfId="8224">
      <pivotArea dataOnly="0" labelOnly="1" grandRow="1" outline="0" fieldPosition="0"/>
    </format>
    <format dxfId="8223">
      <pivotArea dataOnly="0" labelOnly="1" outline="0" fieldPosition="0">
        <references count="2">
          <reference field="0" count="1" selected="0">
            <x v="13"/>
          </reference>
          <reference field="1" count="1">
            <x v="10"/>
          </reference>
        </references>
      </pivotArea>
    </format>
    <format dxfId="8222">
      <pivotArea dataOnly="0" labelOnly="1" outline="0" fieldPosition="0">
        <references count="2">
          <reference field="0" count="1" selected="0">
            <x v="23"/>
          </reference>
          <reference field="1" count="1">
            <x v="187"/>
          </reference>
        </references>
      </pivotArea>
    </format>
    <format dxfId="8221">
      <pivotArea dataOnly="0" labelOnly="1" outline="0" fieldPosition="0">
        <references count="2">
          <reference field="0" count="1" selected="0">
            <x v="282"/>
          </reference>
          <reference field="1" count="1">
            <x v="205"/>
          </reference>
        </references>
      </pivotArea>
    </format>
    <format dxfId="8220">
      <pivotArea dataOnly="0" labelOnly="1" outline="0" fieldPosition="0">
        <references count="2">
          <reference field="0" count="1" selected="0">
            <x v="607"/>
          </reference>
          <reference field="1" count="1">
            <x v="242"/>
          </reference>
        </references>
      </pivotArea>
    </format>
    <format dxfId="8219">
      <pivotArea dataOnly="0" labelOnly="1" outline="0" fieldPosition="0">
        <references count="2">
          <reference field="0" count="1" selected="0">
            <x v="888"/>
          </reference>
          <reference field="1" count="1">
            <x v="143"/>
          </reference>
        </references>
      </pivotArea>
    </format>
    <format dxfId="8218">
      <pivotArea dataOnly="0" labelOnly="1" outline="0" fieldPosition="0">
        <references count="2">
          <reference field="0" count="1" selected="0">
            <x v="911"/>
          </reference>
          <reference field="1" count="1">
            <x v="157"/>
          </reference>
        </references>
      </pivotArea>
    </format>
    <format dxfId="8217">
      <pivotArea dataOnly="0" labelOnly="1" outline="0" fieldPosition="0">
        <references count="2">
          <reference field="0" count="1" selected="0">
            <x v="1349"/>
          </reference>
          <reference field="1" count="1">
            <x v="252"/>
          </reference>
        </references>
      </pivotArea>
    </format>
    <format dxfId="8216">
      <pivotArea dataOnly="0" labelOnly="1" outline="0" fieldPosition="0">
        <references count="2">
          <reference field="0" count="1" selected="0">
            <x v="1373"/>
          </reference>
          <reference field="1" count="1">
            <x v="229"/>
          </reference>
        </references>
      </pivotArea>
    </format>
    <format dxfId="8215">
      <pivotArea dataOnly="0" labelOnly="1" outline="0" fieldPosition="0">
        <references count="2">
          <reference field="0" count="1" selected="0">
            <x v="1399"/>
          </reference>
          <reference field="1" count="1">
            <x v="70"/>
          </reference>
        </references>
      </pivotArea>
    </format>
    <format dxfId="8214">
      <pivotArea dataOnly="0" labelOnly="1" outline="0" fieldPosition="0">
        <references count="2">
          <reference field="0" count="1" selected="0">
            <x v="1428"/>
          </reference>
          <reference field="1" count="1">
            <x v="244"/>
          </reference>
        </references>
      </pivotArea>
    </format>
    <format dxfId="8213">
      <pivotArea dataOnly="0" labelOnly="1" outline="0" fieldPosition="0">
        <references count="3">
          <reference field="0" count="1" selected="0">
            <x v="13"/>
          </reference>
          <reference field="1" count="1" selected="0">
            <x v="10"/>
          </reference>
          <reference field="11" count="1">
            <x v="4"/>
          </reference>
        </references>
      </pivotArea>
    </format>
    <format dxfId="8212">
      <pivotArea dataOnly="0" labelOnly="1" outline="0" fieldPosition="0">
        <references count="4">
          <reference field="0" count="1" selected="0">
            <x v="13"/>
          </reference>
          <reference field="1" count="1" selected="0">
            <x v="10"/>
          </reference>
          <reference field="7" count="1">
            <x v="0"/>
          </reference>
          <reference field="11" count="1" selected="0">
            <x v="4"/>
          </reference>
        </references>
      </pivotArea>
    </format>
    <format dxfId="8211">
      <pivotArea dataOnly="0" labelOnly="1" outline="0" fieldPosition="0">
        <references count="4">
          <reference field="0" count="1" selected="0">
            <x v="23"/>
          </reference>
          <reference field="1" count="1" selected="0">
            <x v="187"/>
          </reference>
          <reference field="7" count="1">
            <x v="0"/>
          </reference>
          <reference field="11" count="1" selected="0">
            <x v="4"/>
          </reference>
        </references>
      </pivotArea>
    </format>
    <format dxfId="8210">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209">
      <pivotArea dataOnly="0" labelOnly="1" outline="0" fieldPosition="0">
        <references count="4">
          <reference field="0" count="1" selected="0">
            <x v="607"/>
          </reference>
          <reference field="1" count="1" selected="0">
            <x v="242"/>
          </reference>
          <reference field="7" count="1">
            <x v="0"/>
          </reference>
          <reference field="11" count="1" selected="0">
            <x v="4"/>
          </reference>
        </references>
      </pivotArea>
    </format>
    <format dxfId="8208">
      <pivotArea dataOnly="0" labelOnly="1" outline="0" fieldPosition="0">
        <references count="4">
          <reference field="0" count="1" selected="0">
            <x v="888"/>
          </reference>
          <reference field="1" count="1" selected="0">
            <x v="143"/>
          </reference>
          <reference field="7" count="1">
            <x v="3"/>
          </reference>
          <reference field="11" count="1" selected="0">
            <x v="4"/>
          </reference>
        </references>
      </pivotArea>
    </format>
    <format dxfId="8207">
      <pivotArea dataOnly="0" labelOnly="1" outline="0" fieldPosition="0">
        <references count="4">
          <reference field="0" count="1" selected="0">
            <x v="911"/>
          </reference>
          <reference field="1" count="1" selected="0">
            <x v="157"/>
          </reference>
          <reference field="7" count="1">
            <x v="1"/>
          </reference>
          <reference field="11" count="1" selected="0">
            <x v="4"/>
          </reference>
        </references>
      </pivotArea>
    </format>
    <format dxfId="8206">
      <pivotArea dataOnly="0" labelOnly="1" outline="0" fieldPosition="0">
        <references count="4">
          <reference field="0" count="1" selected="0">
            <x v="1349"/>
          </reference>
          <reference field="1" count="1" selected="0">
            <x v="252"/>
          </reference>
          <reference field="7" count="1">
            <x v="0"/>
          </reference>
          <reference field="11" count="1" selected="0">
            <x v="4"/>
          </reference>
        </references>
      </pivotArea>
    </format>
    <format dxfId="8205">
      <pivotArea dataOnly="0" labelOnly="1" outline="0" fieldPosition="0">
        <references count="4">
          <reference field="0" count="1" selected="0">
            <x v="1373"/>
          </reference>
          <reference field="1" count="1" selected="0">
            <x v="229"/>
          </reference>
          <reference field="7" count="1">
            <x v="1"/>
          </reference>
          <reference field="11" count="1" selected="0">
            <x v="4"/>
          </reference>
        </references>
      </pivotArea>
    </format>
    <format dxfId="8204">
      <pivotArea dataOnly="0" labelOnly="1" outline="0" fieldPosition="0">
        <references count="4">
          <reference field="0" count="1" selected="0">
            <x v="1399"/>
          </reference>
          <reference field="1" count="1" selected="0">
            <x v="70"/>
          </reference>
          <reference field="7" count="1">
            <x v="3"/>
          </reference>
          <reference field="11" count="1" selected="0">
            <x v="4"/>
          </reference>
        </references>
      </pivotArea>
    </format>
    <format dxfId="8203">
      <pivotArea dataOnly="0" labelOnly="1" outline="0" fieldPosition="0">
        <references count="4">
          <reference field="0" count="1" selected="0">
            <x v="1428"/>
          </reference>
          <reference field="1" count="1" selected="0">
            <x v="244"/>
          </reference>
          <reference field="7" count="1">
            <x v="3"/>
          </reference>
          <reference field="11" count="1" selected="0">
            <x v="4"/>
          </reference>
        </references>
      </pivotArea>
    </format>
    <format dxfId="8202">
      <pivotArea dataOnly="0" labelOnly="1" outline="0" axis="axisValues" fieldPosition="0"/>
    </format>
    <format dxfId="8200">
      <pivotArea outline="0" collapsedLevelsAreSubtotals="1" fieldPosition="0"/>
    </format>
    <format dxfId="8199">
      <pivotArea dataOnly="0" labelOnly="1" outline="0" fieldPosition="0">
        <references count="1">
          <reference field="0" count="10">
            <x v="13"/>
            <x v="23"/>
            <x v="282"/>
            <x v="607"/>
            <x v="888"/>
            <x v="911"/>
            <x v="1349"/>
            <x v="1373"/>
            <x v="1399"/>
            <x v="1428"/>
          </reference>
        </references>
      </pivotArea>
    </format>
    <format dxfId="8198">
      <pivotArea dataOnly="0" labelOnly="1" grandRow="1" outline="0" fieldPosition="0"/>
    </format>
    <format dxfId="8197">
      <pivotArea dataOnly="0" labelOnly="1" outline="0" fieldPosition="0">
        <references count="2">
          <reference field="0" count="1" selected="0">
            <x v="13"/>
          </reference>
          <reference field="1" count="1">
            <x v="10"/>
          </reference>
        </references>
      </pivotArea>
    </format>
    <format dxfId="8196">
      <pivotArea dataOnly="0" labelOnly="1" outline="0" fieldPosition="0">
        <references count="2">
          <reference field="0" count="1" selected="0">
            <x v="23"/>
          </reference>
          <reference field="1" count="1">
            <x v="187"/>
          </reference>
        </references>
      </pivotArea>
    </format>
    <format dxfId="8195">
      <pivotArea dataOnly="0" labelOnly="1" outline="0" fieldPosition="0">
        <references count="2">
          <reference field="0" count="1" selected="0">
            <x v="282"/>
          </reference>
          <reference field="1" count="1">
            <x v="205"/>
          </reference>
        </references>
      </pivotArea>
    </format>
    <format dxfId="8194">
      <pivotArea dataOnly="0" labelOnly="1" outline="0" fieldPosition="0">
        <references count="2">
          <reference field="0" count="1" selected="0">
            <x v="607"/>
          </reference>
          <reference field="1" count="1">
            <x v="242"/>
          </reference>
        </references>
      </pivotArea>
    </format>
    <format dxfId="8193">
      <pivotArea dataOnly="0" labelOnly="1" outline="0" fieldPosition="0">
        <references count="2">
          <reference field="0" count="1" selected="0">
            <x v="888"/>
          </reference>
          <reference field="1" count="1">
            <x v="143"/>
          </reference>
        </references>
      </pivotArea>
    </format>
    <format dxfId="8192">
      <pivotArea dataOnly="0" labelOnly="1" outline="0" fieldPosition="0">
        <references count="2">
          <reference field="0" count="1" selected="0">
            <x v="911"/>
          </reference>
          <reference field="1" count="1">
            <x v="157"/>
          </reference>
        </references>
      </pivotArea>
    </format>
    <format dxfId="8191">
      <pivotArea dataOnly="0" labelOnly="1" outline="0" fieldPosition="0">
        <references count="2">
          <reference field="0" count="1" selected="0">
            <x v="1349"/>
          </reference>
          <reference field="1" count="1">
            <x v="252"/>
          </reference>
        </references>
      </pivotArea>
    </format>
    <format dxfId="8190">
      <pivotArea dataOnly="0" labelOnly="1" outline="0" fieldPosition="0">
        <references count="2">
          <reference field="0" count="1" selected="0">
            <x v="1373"/>
          </reference>
          <reference field="1" count="1">
            <x v="229"/>
          </reference>
        </references>
      </pivotArea>
    </format>
    <format dxfId="8189">
      <pivotArea dataOnly="0" labelOnly="1" outline="0" fieldPosition="0">
        <references count="2">
          <reference field="0" count="1" selected="0">
            <x v="1399"/>
          </reference>
          <reference field="1" count="1">
            <x v="70"/>
          </reference>
        </references>
      </pivotArea>
    </format>
    <format dxfId="8188">
      <pivotArea dataOnly="0" labelOnly="1" outline="0" fieldPosition="0">
        <references count="2">
          <reference field="0" count="1" selected="0">
            <x v="1428"/>
          </reference>
          <reference field="1" count="1">
            <x v="244"/>
          </reference>
        </references>
      </pivotArea>
    </format>
    <format dxfId="8187">
      <pivotArea dataOnly="0" labelOnly="1" outline="0" fieldPosition="0">
        <references count="3">
          <reference field="0" count="1" selected="0">
            <x v="13"/>
          </reference>
          <reference field="1" count="1" selected="0">
            <x v="10"/>
          </reference>
          <reference field="11" count="1">
            <x v="4"/>
          </reference>
        </references>
      </pivotArea>
    </format>
    <format dxfId="8186">
      <pivotArea dataOnly="0" labelOnly="1" outline="0" fieldPosition="0">
        <references count="4">
          <reference field="0" count="1" selected="0">
            <x v="13"/>
          </reference>
          <reference field="1" count="1" selected="0">
            <x v="10"/>
          </reference>
          <reference field="7" count="1">
            <x v="0"/>
          </reference>
          <reference field="11" count="1" selected="0">
            <x v="4"/>
          </reference>
        </references>
      </pivotArea>
    </format>
    <format dxfId="8185">
      <pivotArea dataOnly="0" labelOnly="1" outline="0" fieldPosition="0">
        <references count="4">
          <reference field="0" count="1" selected="0">
            <x v="23"/>
          </reference>
          <reference field="1" count="1" selected="0">
            <x v="187"/>
          </reference>
          <reference field="7" count="1">
            <x v="0"/>
          </reference>
          <reference field="11" count="1" selected="0">
            <x v="4"/>
          </reference>
        </references>
      </pivotArea>
    </format>
    <format dxfId="8184">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8183">
      <pivotArea dataOnly="0" labelOnly="1" outline="0" fieldPosition="0">
        <references count="4">
          <reference field="0" count="1" selected="0">
            <x v="607"/>
          </reference>
          <reference field="1" count="1" selected="0">
            <x v="242"/>
          </reference>
          <reference field="7" count="1">
            <x v="0"/>
          </reference>
          <reference field="11" count="1" selected="0">
            <x v="4"/>
          </reference>
        </references>
      </pivotArea>
    </format>
    <format dxfId="8182">
      <pivotArea dataOnly="0" labelOnly="1" outline="0" fieldPosition="0">
        <references count="4">
          <reference field="0" count="1" selected="0">
            <x v="888"/>
          </reference>
          <reference field="1" count="1" selected="0">
            <x v="143"/>
          </reference>
          <reference field="7" count="1">
            <x v="3"/>
          </reference>
          <reference field="11" count="1" selected="0">
            <x v="4"/>
          </reference>
        </references>
      </pivotArea>
    </format>
    <format dxfId="8181">
      <pivotArea dataOnly="0" labelOnly="1" outline="0" fieldPosition="0">
        <references count="4">
          <reference field="0" count="1" selected="0">
            <x v="911"/>
          </reference>
          <reference field="1" count="1" selected="0">
            <x v="157"/>
          </reference>
          <reference field="7" count="1">
            <x v="1"/>
          </reference>
          <reference field="11" count="1" selected="0">
            <x v="4"/>
          </reference>
        </references>
      </pivotArea>
    </format>
    <format dxfId="8180">
      <pivotArea dataOnly="0" labelOnly="1" outline="0" fieldPosition="0">
        <references count="4">
          <reference field="0" count="1" selected="0">
            <x v="1349"/>
          </reference>
          <reference field="1" count="1" selected="0">
            <x v="252"/>
          </reference>
          <reference field="7" count="1">
            <x v="0"/>
          </reference>
          <reference field="11" count="1" selected="0">
            <x v="4"/>
          </reference>
        </references>
      </pivotArea>
    </format>
    <format dxfId="8179">
      <pivotArea dataOnly="0" labelOnly="1" outline="0" fieldPosition="0">
        <references count="4">
          <reference field="0" count="1" selected="0">
            <x v="1373"/>
          </reference>
          <reference field="1" count="1" selected="0">
            <x v="229"/>
          </reference>
          <reference field="7" count="1">
            <x v="1"/>
          </reference>
          <reference field="11" count="1" selected="0">
            <x v="4"/>
          </reference>
        </references>
      </pivotArea>
    </format>
    <format dxfId="8178">
      <pivotArea dataOnly="0" labelOnly="1" outline="0" fieldPosition="0">
        <references count="4">
          <reference field="0" count="1" selected="0">
            <x v="1399"/>
          </reference>
          <reference field="1" count="1" selected="0">
            <x v="70"/>
          </reference>
          <reference field="7" count="1">
            <x v="3"/>
          </reference>
          <reference field="11" count="1" selected="0">
            <x v="4"/>
          </reference>
        </references>
      </pivotArea>
    </format>
    <format dxfId="8177">
      <pivotArea dataOnly="0" labelOnly="1" outline="0" fieldPosition="0">
        <references count="4">
          <reference field="0" count="1" selected="0">
            <x v="1428"/>
          </reference>
          <reference field="1" count="1" selected="0">
            <x v="244"/>
          </reference>
          <reference field="7" count="1">
            <x v="3"/>
          </reference>
          <reference field="11" count="1" selected="0">
            <x v="4"/>
          </reference>
        </references>
      </pivotArea>
    </format>
    <format dxfId="7863">
      <pivotArea type="all" dataOnly="0" outline="0" fieldPosition="0"/>
    </format>
    <format dxfId="7862">
      <pivotArea outline="0" collapsedLevelsAreSubtotals="1" fieldPosition="0"/>
    </format>
    <format dxfId="7861">
      <pivotArea field="0" type="button" dataOnly="0" labelOnly="1" outline="0" axis="axisRow" fieldPosition="0"/>
    </format>
    <format dxfId="7860">
      <pivotArea field="1" type="button" dataOnly="0" labelOnly="1" outline="0" axis="axisRow" fieldPosition="1"/>
    </format>
    <format dxfId="7859">
      <pivotArea field="11" type="button" dataOnly="0" labelOnly="1" outline="0" axis="axisRow" fieldPosition="2"/>
    </format>
    <format dxfId="7858">
      <pivotArea field="7" type="button" dataOnly="0" labelOnly="1" outline="0" axis="axisRow" fieldPosition="3"/>
    </format>
    <format dxfId="7857">
      <pivotArea dataOnly="0" labelOnly="1" outline="0" fieldPosition="0">
        <references count="1">
          <reference field="0" count="14">
            <x v="160"/>
            <x v="282"/>
            <x v="414"/>
            <x v="512"/>
            <x v="571"/>
            <x v="636"/>
            <x v="778"/>
            <x v="1105"/>
            <x v="1126"/>
            <x v="1133"/>
            <x v="1167"/>
            <x v="1394"/>
            <x v="1450"/>
            <x v="1476"/>
          </reference>
        </references>
      </pivotArea>
    </format>
    <format dxfId="7855">
      <pivotArea dataOnly="0" labelOnly="1" grandRow="1" outline="0" fieldPosition="0"/>
    </format>
    <format dxfId="7854">
      <pivotArea dataOnly="0" labelOnly="1" outline="0" fieldPosition="0">
        <references count="2">
          <reference field="0" count="1" selected="0">
            <x v="160"/>
          </reference>
          <reference field="1" count="1">
            <x v="93"/>
          </reference>
        </references>
      </pivotArea>
    </format>
    <format dxfId="7852">
      <pivotArea dataOnly="0" labelOnly="1" outline="0" fieldPosition="0">
        <references count="2">
          <reference field="0" count="1" selected="0">
            <x v="282"/>
          </reference>
          <reference field="1" count="1">
            <x v="205"/>
          </reference>
        </references>
      </pivotArea>
    </format>
    <format dxfId="7851">
      <pivotArea dataOnly="0" labelOnly="1" outline="0" fieldPosition="0">
        <references count="2">
          <reference field="0" count="1" selected="0">
            <x v="414"/>
          </reference>
          <reference field="1" count="1">
            <x v="124"/>
          </reference>
        </references>
      </pivotArea>
    </format>
    <format dxfId="7849">
      <pivotArea dataOnly="0" labelOnly="1" outline="0" fieldPosition="0">
        <references count="2">
          <reference field="0" count="1" selected="0">
            <x v="512"/>
          </reference>
          <reference field="1" count="1">
            <x v="133"/>
          </reference>
        </references>
      </pivotArea>
    </format>
    <format dxfId="7847">
      <pivotArea dataOnly="0" labelOnly="1" outline="0" fieldPosition="0">
        <references count="2">
          <reference field="0" count="1" selected="0">
            <x v="571"/>
          </reference>
          <reference field="1" count="1">
            <x v="169"/>
          </reference>
        </references>
      </pivotArea>
    </format>
    <format dxfId="7845">
      <pivotArea dataOnly="0" labelOnly="1" outline="0" fieldPosition="0">
        <references count="2">
          <reference field="0" count="1" selected="0">
            <x v="636"/>
          </reference>
          <reference field="1" count="1">
            <x v="165"/>
          </reference>
        </references>
      </pivotArea>
    </format>
    <format dxfId="7843">
      <pivotArea dataOnly="0" labelOnly="1" outline="0" fieldPosition="0">
        <references count="2">
          <reference field="0" count="1" selected="0">
            <x v="778"/>
          </reference>
          <reference field="1" count="1">
            <x v="36"/>
          </reference>
        </references>
      </pivotArea>
    </format>
    <format dxfId="7841">
      <pivotArea dataOnly="0" labelOnly="1" outline="0" fieldPosition="0">
        <references count="2">
          <reference field="0" count="1" selected="0">
            <x v="1105"/>
          </reference>
          <reference field="1" count="1">
            <x v="138"/>
          </reference>
        </references>
      </pivotArea>
    </format>
    <format dxfId="7839">
      <pivotArea dataOnly="0" labelOnly="1" outline="0" fieldPosition="0">
        <references count="2">
          <reference field="0" count="1" selected="0">
            <x v="1126"/>
          </reference>
          <reference field="1" count="1">
            <x v="163"/>
          </reference>
        </references>
      </pivotArea>
    </format>
    <format dxfId="7837">
      <pivotArea dataOnly="0" labelOnly="1" outline="0" fieldPosition="0">
        <references count="2">
          <reference field="0" count="1" selected="0">
            <x v="1133"/>
          </reference>
          <reference field="1" count="1">
            <x v="217"/>
          </reference>
        </references>
      </pivotArea>
    </format>
    <format dxfId="7835">
      <pivotArea dataOnly="0" labelOnly="1" outline="0" fieldPosition="0">
        <references count="2">
          <reference field="0" count="1" selected="0">
            <x v="1167"/>
          </reference>
          <reference field="1" count="1">
            <x v="69"/>
          </reference>
        </references>
      </pivotArea>
    </format>
    <format dxfId="7833">
      <pivotArea dataOnly="0" labelOnly="1" outline="0" fieldPosition="0">
        <references count="2">
          <reference field="0" count="1" selected="0">
            <x v="1394"/>
          </reference>
          <reference field="1" count="1">
            <x v="241"/>
          </reference>
        </references>
      </pivotArea>
    </format>
    <format dxfId="7831">
      <pivotArea dataOnly="0" labelOnly="1" outline="0" fieldPosition="0">
        <references count="2">
          <reference field="0" count="1" selected="0">
            <x v="1450"/>
          </reference>
          <reference field="1" count="1">
            <x v="264"/>
          </reference>
        </references>
      </pivotArea>
    </format>
    <format dxfId="7829">
      <pivotArea dataOnly="0" labelOnly="1" outline="0" fieldPosition="0">
        <references count="2">
          <reference field="0" count="1" selected="0">
            <x v="1476"/>
          </reference>
          <reference field="1" count="1">
            <x v="161"/>
          </reference>
        </references>
      </pivotArea>
    </format>
    <format dxfId="7827">
      <pivotArea dataOnly="0" labelOnly="1" outline="0" fieldPosition="0">
        <references count="3">
          <reference field="0" count="1" selected="0">
            <x v="160"/>
          </reference>
          <reference field="1" count="1" selected="0">
            <x v="93"/>
          </reference>
          <reference field="11" count="1">
            <x v="4"/>
          </reference>
        </references>
      </pivotArea>
    </format>
    <format dxfId="7825">
      <pivotArea dataOnly="0" labelOnly="1" outline="0" fieldPosition="0">
        <references count="4">
          <reference field="0" count="1" selected="0">
            <x v="160"/>
          </reference>
          <reference field="1" count="1" selected="0">
            <x v="93"/>
          </reference>
          <reference field="7" count="1">
            <x v="1"/>
          </reference>
          <reference field="11" count="1" selected="0">
            <x v="4"/>
          </reference>
        </references>
      </pivotArea>
    </format>
    <format dxfId="7823">
      <pivotArea dataOnly="0" labelOnly="1" outline="0" fieldPosition="0">
        <references count="4">
          <reference field="0" count="1" selected="0">
            <x v="282"/>
          </reference>
          <reference field="1" count="1" selected="0">
            <x v="205"/>
          </reference>
          <reference field="7" count="1">
            <x v="0"/>
          </reference>
          <reference field="11" count="1" selected="0">
            <x v="4"/>
          </reference>
        </references>
      </pivotArea>
    </format>
    <format dxfId="7822">
      <pivotArea dataOnly="0" labelOnly="1" outline="0" fieldPosition="0">
        <references count="4">
          <reference field="0" count="1" selected="0">
            <x v="414"/>
          </reference>
          <reference field="1" count="1" selected="0">
            <x v="124"/>
          </reference>
          <reference field="7" count="1">
            <x v="0"/>
          </reference>
          <reference field="11" count="1" selected="0">
            <x v="4"/>
          </reference>
        </references>
      </pivotArea>
    </format>
    <format dxfId="7820">
      <pivotArea dataOnly="0" labelOnly="1" outline="0" fieldPosition="0">
        <references count="4">
          <reference field="0" count="1" selected="0">
            <x v="512"/>
          </reference>
          <reference field="1" count="1" selected="0">
            <x v="133"/>
          </reference>
          <reference field="7" count="1">
            <x v="1"/>
          </reference>
          <reference field="11" count="1" selected="0">
            <x v="4"/>
          </reference>
        </references>
      </pivotArea>
    </format>
    <format dxfId="7818">
      <pivotArea dataOnly="0" labelOnly="1" outline="0" fieldPosition="0">
        <references count="4">
          <reference field="0" count="1" selected="0">
            <x v="571"/>
          </reference>
          <reference field="1" count="1" selected="0">
            <x v="169"/>
          </reference>
          <reference field="7" count="1">
            <x v="1"/>
          </reference>
          <reference field="11" count="1" selected="0">
            <x v="4"/>
          </reference>
        </references>
      </pivotArea>
    </format>
    <format dxfId="7816">
      <pivotArea dataOnly="0" labelOnly="1" outline="0" fieldPosition="0">
        <references count="4">
          <reference field="0" count="1" selected="0">
            <x v="636"/>
          </reference>
          <reference field="1" count="1" selected="0">
            <x v="165"/>
          </reference>
          <reference field="7" count="1">
            <x v="3"/>
          </reference>
          <reference field="11" count="1" selected="0">
            <x v="4"/>
          </reference>
        </references>
      </pivotArea>
    </format>
    <format dxfId="7814">
      <pivotArea dataOnly="0" labelOnly="1" outline="0" fieldPosition="0">
        <references count="4">
          <reference field="0" count="1" selected="0">
            <x v="778"/>
          </reference>
          <reference field="1" count="1" selected="0">
            <x v="36"/>
          </reference>
          <reference field="7" count="1">
            <x v="1"/>
          </reference>
          <reference field="11" count="1" selected="0">
            <x v="4"/>
          </reference>
        </references>
      </pivotArea>
    </format>
    <format dxfId="7812">
      <pivotArea dataOnly="0" labelOnly="1" outline="0" fieldPosition="0">
        <references count="4">
          <reference field="0" count="1" selected="0">
            <x v="1105"/>
          </reference>
          <reference field="1" count="1" selected="0">
            <x v="138"/>
          </reference>
          <reference field="7" count="1">
            <x v="1"/>
          </reference>
          <reference field="11" count="1" selected="0">
            <x v="4"/>
          </reference>
        </references>
      </pivotArea>
    </format>
    <format dxfId="7810">
      <pivotArea dataOnly="0" labelOnly="1" outline="0" fieldPosition="0">
        <references count="4">
          <reference field="0" count="1" selected="0">
            <x v="1126"/>
          </reference>
          <reference field="1" count="1" selected="0">
            <x v="163"/>
          </reference>
          <reference field="7" count="1">
            <x v="3"/>
          </reference>
          <reference field="11" count="1" selected="0">
            <x v="4"/>
          </reference>
        </references>
      </pivotArea>
    </format>
    <format dxfId="7808">
      <pivotArea dataOnly="0" labelOnly="1" outline="0" fieldPosition="0">
        <references count="4">
          <reference field="0" count="1" selected="0">
            <x v="1133"/>
          </reference>
          <reference field="1" count="1" selected="0">
            <x v="217"/>
          </reference>
          <reference field="7" count="1">
            <x v="1"/>
          </reference>
          <reference field="11" count="1" selected="0">
            <x v="4"/>
          </reference>
        </references>
      </pivotArea>
    </format>
    <format dxfId="7806">
      <pivotArea dataOnly="0" labelOnly="1" outline="0" fieldPosition="0">
        <references count="4">
          <reference field="0" count="1" selected="0">
            <x v="1167"/>
          </reference>
          <reference field="1" count="1" selected="0">
            <x v="69"/>
          </reference>
          <reference field="7" count="1">
            <x v="1"/>
          </reference>
          <reference field="11" count="1" selected="0">
            <x v="4"/>
          </reference>
        </references>
      </pivotArea>
    </format>
    <format dxfId="7804">
      <pivotArea dataOnly="0" labelOnly="1" outline="0" fieldPosition="0">
        <references count="4">
          <reference field="0" count="1" selected="0">
            <x v="1394"/>
          </reference>
          <reference field="1" count="1" selected="0">
            <x v="241"/>
          </reference>
          <reference field="7" count="1">
            <x v="0"/>
          </reference>
          <reference field="11" count="1" selected="0">
            <x v="4"/>
          </reference>
        </references>
      </pivotArea>
    </format>
    <format dxfId="7802">
      <pivotArea dataOnly="0" labelOnly="1" outline="0" fieldPosition="0">
        <references count="4">
          <reference field="0" count="1" selected="0">
            <x v="1450"/>
          </reference>
          <reference field="1" count="1" selected="0">
            <x v="264"/>
          </reference>
          <reference field="7" count="1">
            <x v="0"/>
          </reference>
          <reference field="11" count="1" selected="0">
            <x v="4"/>
          </reference>
        </references>
      </pivotArea>
    </format>
    <format dxfId="7800">
      <pivotArea dataOnly="0" labelOnly="1" outline="0" fieldPosition="0">
        <references count="4">
          <reference field="0" count="1" selected="0">
            <x v="1476"/>
          </reference>
          <reference field="1" count="1" selected="0">
            <x v="161"/>
          </reference>
          <reference field="7" count="1">
            <x v="3"/>
          </reference>
          <reference field="11" count="1" selected="0">
            <x v="4"/>
          </reference>
        </references>
      </pivotArea>
    </format>
    <format dxfId="7798">
      <pivotArea dataOnly="0" labelOnly="1" outline="0" axis="axisValues" fieldPosition="0"/>
    </format>
    <format dxfId="6504">
      <pivotArea type="all" dataOnly="0" outline="0" fieldPosition="0"/>
    </format>
    <format dxfId="6503">
      <pivotArea outline="0" collapsedLevelsAreSubtotals="1" fieldPosition="0"/>
    </format>
    <format dxfId="6502">
      <pivotArea field="0" type="button" dataOnly="0" labelOnly="1" outline="0" axis="axisRow" fieldPosition="0"/>
    </format>
    <format dxfId="6501">
      <pivotArea field="1" type="button" dataOnly="0" labelOnly="1" outline="0" axis="axisRow" fieldPosition="1"/>
    </format>
    <format dxfId="6500">
      <pivotArea field="11" type="button" dataOnly="0" labelOnly="1" outline="0" axis="axisRow" fieldPosition="2"/>
    </format>
    <format dxfId="6499">
      <pivotArea field="7" type="button" dataOnly="0" labelOnly="1" outline="0" axis="axisRow" fieldPosition="3"/>
    </format>
    <format dxfId="6498">
      <pivotArea dataOnly="0" labelOnly="1" outline="0" fieldPosition="0">
        <references count="1">
          <reference field="0" count="10">
            <x v="367"/>
            <x v="587"/>
            <x v="776"/>
            <x v="1104"/>
            <x v="1112"/>
            <x v="1175"/>
            <x v="1261"/>
            <x v="1320"/>
            <x v="1338"/>
            <x v="1360"/>
          </reference>
        </references>
      </pivotArea>
    </format>
    <format dxfId="6497">
      <pivotArea dataOnly="0" labelOnly="1" grandRow="1" outline="0" fieldPosition="0"/>
    </format>
    <format dxfId="6496">
      <pivotArea dataOnly="0" labelOnly="1" outline="0" fieldPosition="0">
        <references count="2">
          <reference field="0" count="1" selected="0">
            <x v="367"/>
          </reference>
          <reference field="1" count="1">
            <x v="252"/>
          </reference>
        </references>
      </pivotArea>
    </format>
    <format dxfId="6495">
      <pivotArea dataOnly="0" labelOnly="1" outline="0" fieldPosition="0">
        <references count="2">
          <reference field="0" count="1" selected="0">
            <x v="587"/>
          </reference>
          <reference field="1" count="1">
            <x v="65"/>
          </reference>
        </references>
      </pivotArea>
    </format>
    <format dxfId="6494">
      <pivotArea dataOnly="0" labelOnly="1" outline="0" fieldPosition="0">
        <references count="2">
          <reference field="0" count="1" selected="0">
            <x v="776"/>
          </reference>
          <reference field="1" count="1">
            <x v="285"/>
          </reference>
        </references>
      </pivotArea>
    </format>
    <format dxfId="6493">
      <pivotArea dataOnly="0" labelOnly="1" outline="0" fieldPosition="0">
        <references count="2">
          <reference field="0" count="1" selected="0">
            <x v="1104"/>
          </reference>
          <reference field="1" count="1">
            <x v="168"/>
          </reference>
        </references>
      </pivotArea>
    </format>
    <format dxfId="6492">
      <pivotArea dataOnly="0" labelOnly="1" outline="0" fieldPosition="0">
        <references count="2">
          <reference field="0" count="1" selected="0">
            <x v="1112"/>
          </reference>
          <reference field="1" count="1">
            <x v="172"/>
          </reference>
        </references>
      </pivotArea>
    </format>
    <format dxfId="6491">
      <pivotArea dataOnly="0" labelOnly="1" outline="0" fieldPosition="0">
        <references count="2">
          <reference field="0" count="1" selected="0">
            <x v="1175"/>
          </reference>
          <reference field="1" count="1">
            <x v="13"/>
          </reference>
        </references>
      </pivotArea>
    </format>
    <format dxfId="6490">
      <pivotArea dataOnly="0" labelOnly="1" outline="0" fieldPosition="0">
        <references count="2">
          <reference field="0" count="1" selected="0">
            <x v="1261"/>
          </reference>
          <reference field="1" count="1">
            <x v="139"/>
          </reference>
        </references>
      </pivotArea>
    </format>
    <format dxfId="6489">
      <pivotArea dataOnly="0" labelOnly="1" outline="0" fieldPosition="0">
        <references count="2">
          <reference field="0" count="1" selected="0">
            <x v="1320"/>
          </reference>
          <reference field="1" count="1">
            <x v="25"/>
          </reference>
        </references>
      </pivotArea>
    </format>
    <format dxfId="6488">
      <pivotArea dataOnly="0" labelOnly="1" outline="0" fieldPosition="0">
        <references count="2">
          <reference field="0" count="1" selected="0">
            <x v="1338"/>
          </reference>
          <reference field="1" count="1">
            <x v="46"/>
          </reference>
        </references>
      </pivotArea>
    </format>
    <format dxfId="6487">
      <pivotArea dataOnly="0" labelOnly="1" outline="0" fieldPosition="0">
        <references count="2">
          <reference field="0" count="1" selected="0">
            <x v="1360"/>
          </reference>
          <reference field="1" count="1">
            <x v="186"/>
          </reference>
        </references>
      </pivotArea>
    </format>
    <format dxfId="6486">
      <pivotArea dataOnly="0" labelOnly="1" outline="0" fieldPosition="0">
        <references count="3">
          <reference field="0" count="1" selected="0">
            <x v="367"/>
          </reference>
          <reference field="1" count="1" selected="0">
            <x v="252"/>
          </reference>
          <reference field="11" count="1">
            <x v="2"/>
          </reference>
        </references>
      </pivotArea>
    </format>
    <format dxfId="6485">
      <pivotArea dataOnly="0" labelOnly="1" outline="0" fieldPosition="0">
        <references count="3">
          <reference field="0" count="1" selected="0">
            <x v="587"/>
          </reference>
          <reference field="1" count="1" selected="0">
            <x v="65"/>
          </reference>
          <reference field="11" count="1">
            <x v="0"/>
          </reference>
        </references>
      </pivotArea>
    </format>
    <format dxfId="6484">
      <pivotArea dataOnly="0" labelOnly="1" outline="0" fieldPosition="0">
        <references count="3">
          <reference field="0" count="1" selected="0">
            <x v="776"/>
          </reference>
          <reference field="1" count="1" selected="0">
            <x v="285"/>
          </reference>
          <reference field="11" count="1">
            <x v="2"/>
          </reference>
        </references>
      </pivotArea>
    </format>
    <format dxfId="6483">
      <pivotArea dataOnly="0" labelOnly="1" outline="0" fieldPosition="0">
        <references count="3">
          <reference field="0" count="1" selected="0">
            <x v="1104"/>
          </reference>
          <reference field="1" count="1" selected="0">
            <x v="168"/>
          </reference>
          <reference field="11" count="1">
            <x v="3"/>
          </reference>
        </references>
      </pivotArea>
    </format>
    <format dxfId="6482">
      <pivotArea dataOnly="0" labelOnly="1" outline="0" fieldPosition="0">
        <references count="3">
          <reference field="0" count="1" selected="0">
            <x v="1112"/>
          </reference>
          <reference field="1" count="1" selected="0">
            <x v="172"/>
          </reference>
          <reference field="11" count="1">
            <x v="0"/>
          </reference>
        </references>
      </pivotArea>
    </format>
    <format dxfId="6481">
      <pivotArea dataOnly="0" labelOnly="1" outline="0" fieldPosition="0">
        <references count="3">
          <reference field="0" count="1" selected="0">
            <x v="1175"/>
          </reference>
          <reference field="1" count="1" selected="0">
            <x v="13"/>
          </reference>
          <reference field="11" count="1">
            <x v="2"/>
          </reference>
        </references>
      </pivotArea>
    </format>
    <format dxfId="6480">
      <pivotArea dataOnly="0" labelOnly="1" outline="0" fieldPosition="0">
        <references count="3">
          <reference field="0" count="1" selected="0">
            <x v="1360"/>
          </reference>
          <reference field="1" count="1" selected="0">
            <x v="186"/>
          </reference>
          <reference field="11" count="1">
            <x v="1"/>
          </reference>
        </references>
      </pivotArea>
    </format>
    <format dxfId="6479">
      <pivotArea dataOnly="0" labelOnly="1" outline="0" fieldPosition="0">
        <references count="4">
          <reference field="0" count="1" selected="0">
            <x v="367"/>
          </reference>
          <reference field="1" count="1" selected="0">
            <x v="252"/>
          </reference>
          <reference field="7" count="1">
            <x v="4"/>
          </reference>
          <reference field="11" count="1" selected="0">
            <x v="2"/>
          </reference>
        </references>
      </pivotArea>
    </format>
    <format dxfId="6478">
      <pivotArea dataOnly="0" labelOnly="1" outline="0" fieldPosition="0">
        <references count="4">
          <reference field="0" count="1" selected="0">
            <x v="587"/>
          </reference>
          <reference field="1" count="1" selected="0">
            <x v="65"/>
          </reference>
          <reference field="7" count="1">
            <x v="2"/>
          </reference>
          <reference field="11" count="1" selected="0">
            <x v="0"/>
          </reference>
        </references>
      </pivotArea>
    </format>
    <format dxfId="6477">
      <pivotArea dataOnly="0" labelOnly="1" outline="0" fieldPosition="0">
        <references count="4">
          <reference field="0" count="1" selected="0">
            <x v="776"/>
          </reference>
          <reference field="1" count="1" selected="0">
            <x v="285"/>
          </reference>
          <reference field="7" count="1">
            <x v="2"/>
          </reference>
          <reference field="11" count="1" selected="0">
            <x v="2"/>
          </reference>
        </references>
      </pivotArea>
    </format>
    <format dxfId="6476">
      <pivotArea dataOnly="0" labelOnly="1" outline="0" fieldPosition="0">
        <references count="4">
          <reference field="0" count="1" selected="0">
            <x v="1104"/>
          </reference>
          <reference field="1" count="1" selected="0">
            <x v="168"/>
          </reference>
          <reference field="7" count="1">
            <x v="2"/>
          </reference>
          <reference field="11" count="1" selected="0">
            <x v="3"/>
          </reference>
        </references>
      </pivotArea>
    </format>
    <format dxfId="6475">
      <pivotArea dataOnly="0" labelOnly="1" outline="0" fieldPosition="0">
        <references count="4">
          <reference field="0" count="1" selected="0">
            <x v="1112"/>
          </reference>
          <reference field="1" count="1" selected="0">
            <x v="172"/>
          </reference>
          <reference field="7" count="1">
            <x v="1"/>
          </reference>
          <reference field="11" count="1" selected="0">
            <x v="0"/>
          </reference>
        </references>
      </pivotArea>
    </format>
    <format dxfId="6474">
      <pivotArea dataOnly="0" labelOnly="1" outline="0" fieldPosition="0">
        <references count="4">
          <reference field="0" count="1" selected="0">
            <x v="1175"/>
          </reference>
          <reference field="1" count="1" selected="0">
            <x v="13"/>
          </reference>
          <reference field="7" count="1">
            <x v="1"/>
          </reference>
          <reference field="11" count="1" selected="0">
            <x v="2"/>
          </reference>
        </references>
      </pivotArea>
    </format>
    <format dxfId="6473">
      <pivotArea dataOnly="0" labelOnly="1" outline="0" fieldPosition="0">
        <references count="4">
          <reference field="0" count="1" selected="0">
            <x v="1261"/>
          </reference>
          <reference field="1" count="1" selected="0">
            <x v="139"/>
          </reference>
          <reference field="7" count="1">
            <x v="1"/>
          </reference>
          <reference field="11" count="1" selected="0">
            <x v="2"/>
          </reference>
        </references>
      </pivotArea>
    </format>
    <format dxfId="6472">
      <pivotArea dataOnly="0" labelOnly="1" outline="0" fieldPosition="0">
        <references count="4">
          <reference field="0" count="1" selected="0">
            <x v="1320"/>
          </reference>
          <reference field="1" count="1" selected="0">
            <x v="25"/>
          </reference>
          <reference field="7" count="1">
            <x v="2"/>
          </reference>
          <reference field="11" count="1" selected="0">
            <x v="2"/>
          </reference>
        </references>
      </pivotArea>
    </format>
    <format dxfId="6471">
      <pivotArea dataOnly="0" labelOnly="1" outline="0" fieldPosition="0">
        <references count="4">
          <reference field="0" count="1" selected="0">
            <x v="1338"/>
          </reference>
          <reference field="1" count="1" selected="0">
            <x v="46"/>
          </reference>
          <reference field="7" count="1">
            <x v="2"/>
          </reference>
          <reference field="11" count="1" selected="0">
            <x v="2"/>
          </reference>
        </references>
      </pivotArea>
    </format>
    <format dxfId="6470">
      <pivotArea dataOnly="0" labelOnly="1" outline="0" fieldPosition="0">
        <references count="4">
          <reference field="0" count="1" selected="0">
            <x v="1360"/>
          </reference>
          <reference field="1" count="1" selected="0">
            <x v="186"/>
          </reference>
          <reference field="7" count="1">
            <x v="1"/>
          </reference>
          <reference field="11" count="1" selected="0">
            <x v="1"/>
          </reference>
        </references>
      </pivotArea>
    </format>
    <format dxfId="6469">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FB935-86E9-403A-B5BE-AC87E6D57F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vice_Used" colHeaderCaption="Clean_Status">
  <location ref="B35:I42" firstHeaderRow="1" firstDataRow="2" firstDataCol="1"/>
  <pivotFields count="15">
    <pivotField dataField="1" showAll="0"/>
    <pivotField showAll="0"/>
    <pivotField showAll="0"/>
    <pivotField showAll="0"/>
    <pivotField showAll="0">
      <items count="1500">
        <item x="545"/>
        <item x="531"/>
        <item x="681"/>
        <item x="821"/>
        <item x="648"/>
        <item x="1230"/>
        <item x="298"/>
        <item x="1250"/>
        <item x="12"/>
        <item x="1082"/>
        <item x="330"/>
        <item x="676"/>
        <item x="217"/>
        <item x="550"/>
        <item x="1346"/>
        <item x="998"/>
        <item x="680"/>
        <item x="668"/>
        <item x="995"/>
        <item x="454"/>
        <item x="835"/>
        <item x="1471"/>
        <item x="730"/>
        <item x="627"/>
        <item x="649"/>
        <item x="1307"/>
        <item x="592"/>
        <item x="1284"/>
        <item x="1139"/>
        <item x="1182"/>
        <item x="600"/>
        <item x="1079"/>
        <item x="227"/>
        <item x="127"/>
        <item x="1384"/>
        <item x="230"/>
        <item x="1212"/>
        <item x="1098"/>
        <item x="1456"/>
        <item x="1081"/>
        <item x="1110"/>
        <item x="851"/>
        <item x="950"/>
        <item x="796"/>
        <item x="994"/>
        <item x="802"/>
        <item x="117"/>
        <item x="401"/>
        <item x="95"/>
        <item x="677"/>
        <item x="388"/>
        <item x="306"/>
        <item x="770"/>
        <item x="581"/>
        <item x="968"/>
        <item x="413"/>
        <item x="786"/>
        <item x="463"/>
        <item x="978"/>
        <item x="772"/>
        <item x="746"/>
        <item x="1397"/>
        <item x="248"/>
        <item x="265"/>
        <item x="103"/>
        <item x="478"/>
        <item x="971"/>
        <item x="125"/>
        <item x="215"/>
        <item x="850"/>
        <item x="130"/>
        <item x="752"/>
        <item x="653"/>
        <item x="1214"/>
        <item x="26"/>
        <item x="1375"/>
        <item x="793"/>
        <item x="1104"/>
        <item x="1077"/>
        <item x="174"/>
        <item x="1150"/>
        <item x="1319"/>
        <item x="1488"/>
        <item x="1351"/>
        <item x="1407"/>
        <item x="258"/>
        <item x="916"/>
        <item x="742"/>
        <item x="400"/>
        <item x="688"/>
        <item x="1359"/>
        <item x="373"/>
        <item x="1154"/>
        <item x="1235"/>
        <item x="663"/>
        <item x="650"/>
        <item x="1244"/>
        <item x="1389"/>
        <item x="526"/>
        <item x="151"/>
        <item x="1303"/>
        <item x="840"/>
        <item x="1251"/>
        <item x="1107"/>
        <item x="1108"/>
        <item x="743"/>
        <item x="972"/>
        <item x="948"/>
        <item x="1202"/>
        <item x="5"/>
        <item x="722"/>
        <item x="8"/>
        <item x="661"/>
        <item x="171"/>
        <item x="540"/>
        <item x="1195"/>
        <item x="277"/>
        <item x="863"/>
        <item x="1058"/>
        <item x="453"/>
        <item x="1420"/>
        <item x="1287"/>
        <item x="1288"/>
        <item x="794"/>
        <item x="624"/>
        <item x="89"/>
        <item x="963"/>
        <item x="1067"/>
        <item x="620"/>
        <item x="970"/>
        <item x="773"/>
        <item x="1022"/>
        <item x="686"/>
        <item x="497"/>
        <item x="602"/>
        <item x="214"/>
        <item x="488"/>
        <item x="223"/>
        <item x="902"/>
        <item x="1292"/>
        <item x="320"/>
        <item x="1180"/>
        <item x="637"/>
        <item x="1015"/>
        <item x="517"/>
        <item x="1388"/>
        <item x="1089"/>
        <item x="738"/>
        <item x="1424"/>
        <item x="399"/>
        <item x="1335"/>
        <item x="664"/>
        <item x="102"/>
        <item x="562"/>
        <item x="1053"/>
        <item x="591"/>
        <item x="1372"/>
        <item x="598"/>
        <item x="98"/>
        <item x="1376"/>
        <item x="292"/>
        <item x="1332"/>
        <item x="853"/>
        <item x="1390"/>
        <item x="360"/>
        <item x="737"/>
        <item x="1144"/>
        <item x="1316"/>
        <item x="704"/>
        <item x="279"/>
        <item x="1199"/>
        <item x="695"/>
        <item x="262"/>
        <item x="1455"/>
        <item x="269"/>
        <item x="639"/>
        <item x="78"/>
        <item x="658"/>
        <item x="168"/>
        <item x="1206"/>
        <item x="917"/>
        <item x="882"/>
        <item x="75"/>
        <item x="1362"/>
        <item x="254"/>
        <item x="462"/>
        <item x="607"/>
        <item x="577"/>
        <item x="735"/>
        <item x="290"/>
        <item x="898"/>
        <item x="435"/>
        <item x="758"/>
        <item x="1394"/>
        <item x="922"/>
        <item x="45"/>
        <item x="621"/>
        <item x="480"/>
        <item x="556"/>
        <item x="1140"/>
        <item x="959"/>
        <item x="19"/>
        <item x="544"/>
        <item x="1469"/>
        <item x="1143"/>
        <item x="1216"/>
        <item x="514"/>
        <item x="308"/>
        <item x="257"/>
        <item x="879"/>
        <item x="870"/>
        <item x="1039"/>
        <item x="236"/>
        <item x="1425"/>
        <item x="954"/>
        <item x="378"/>
        <item x="192"/>
        <item x="527"/>
        <item x="933"/>
        <item x="571"/>
        <item x="1149"/>
        <item x="1430"/>
        <item x="808"/>
        <item x="129"/>
        <item x="1008"/>
        <item x="557"/>
        <item x="1086"/>
        <item x="645"/>
        <item x="1296"/>
        <item x="476"/>
        <item x="683"/>
        <item x="1369"/>
        <item x="389"/>
        <item x="1125"/>
        <item x="377"/>
        <item x="1285"/>
        <item x="297"/>
        <item x="707"/>
        <item x="1128"/>
        <item x="839"/>
        <item x="706"/>
        <item x="369"/>
        <item x="1243"/>
        <item x="1014"/>
        <item x="1109"/>
        <item x="804"/>
        <item x="79"/>
        <item x="1167"/>
        <item x="35"/>
        <item x="1178"/>
        <item x="470"/>
        <item x="1228"/>
        <item x="1418"/>
        <item x="424"/>
        <item x="471"/>
        <item x="430"/>
        <item x="1353"/>
        <item x="1153"/>
        <item x="391"/>
        <item x="883"/>
        <item x="1278"/>
        <item x="622"/>
        <item x="85"/>
        <item x="634"/>
        <item x="113"/>
        <item x="481"/>
        <item x="437"/>
        <item x="181"/>
        <item x="714"/>
        <item x="1318"/>
        <item x="1240"/>
        <item x="552"/>
        <item x="710"/>
        <item x="1055"/>
        <item x="529"/>
        <item x="1246"/>
        <item x="572"/>
        <item x="977"/>
        <item x="633"/>
        <item x="740"/>
        <item x="1256"/>
        <item x="820"/>
        <item x="1040"/>
        <item x="1428"/>
        <item x="698"/>
        <item x="1072"/>
        <item x="301"/>
        <item x="90"/>
        <item x="547"/>
        <item x="996"/>
        <item x="533"/>
        <item x="1265"/>
        <item x="955"/>
        <item x="436"/>
        <item x="1467"/>
        <item x="67"/>
        <item x="1249"/>
        <item x="560"/>
        <item x="810"/>
        <item x="455"/>
        <item x="329"/>
        <item x="496"/>
        <item x="705"/>
        <item x="105"/>
        <item x="2"/>
        <item x="1059"/>
        <item x="559"/>
        <item x="1124"/>
        <item x="443"/>
        <item x="218"/>
        <item x="1155"/>
        <item x="1025"/>
        <item x="729"/>
        <item x="575"/>
        <item x="317"/>
        <item x="137"/>
        <item x="211"/>
        <item x="1406"/>
        <item x="789"/>
        <item x="1402"/>
        <item x="1062"/>
        <item x="268"/>
        <item x="143"/>
        <item x="197"/>
        <item x="1478"/>
        <item x="719"/>
        <item x="912"/>
        <item x="931"/>
        <item x="652"/>
        <item x="237"/>
        <item x="156"/>
        <item x="1464"/>
        <item x="220"/>
        <item x="387"/>
        <item x="896"/>
        <item x="1373"/>
        <item x="873"/>
        <item x="201"/>
        <item x="1116"/>
        <item x="1326"/>
        <item x="295"/>
        <item x="68"/>
        <item x="1437"/>
        <item x="1325"/>
        <item x="123"/>
        <item x="613"/>
        <item x="644"/>
        <item x="13"/>
        <item x="1398"/>
        <item x="715"/>
        <item x="964"/>
        <item x="776"/>
        <item x="1169"/>
        <item x="406"/>
        <item x="60"/>
        <item x="1336"/>
        <item x="1134"/>
        <item x="855"/>
        <item x="1415"/>
        <item x="1322"/>
        <item x="984"/>
        <item x="36"/>
        <item x="629"/>
        <item x="270"/>
        <item x="988"/>
        <item x="83"/>
        <item x="1097"/>
        <item x="565"/>
        <item x="861"/>
        <item x="914"/>
        <item x="643"/>
        <item x="632"/>
        <item x="842"/>
        <item x="449"/>
        <item x="1363"/>
        <item x="1440"/>
        <item x="1102"/>
        <item x="467"/>
        <item x="315"/>
        <item x="854"/>
        <item x="782"/>
        <item x="941"/>
        <item x="748"/>
        <item x="597"/>
        <item x="1317"/>
        <item x="448"/>
        <item x="997"/>
        <item x="724"/>
        <item x="626"/>
        <item x="1494"/>
        <item x="22"/>
        <item x="792"/>
        <item x="405"/>
        <item x="148"/>
        <item x="1450"/>
        <item x="23"/>
        <item x="981"/>
        <item x="1315"/>
        <item x="1254"/>
        <item x="235"/>
        <item x="1377"/>
        <item x="1275"/>
        <item x="1476"/>
        <item x="1063"/>
        <item x="1038"/>
        <item x="1173"/>
        <item x="349"/>
        <item x="1161"/>
        <item x="439"/>
        <item x="824"/>
        <item x="47"/>
        <item x="410"/>
        <item x="1334"/>
        <item x="38"/>
        <item x="25"/>
        <item x="451"/>
        <item x="302"/>
        <item x="445"/>
        <item x="124"/>
        <item x="1020"/>
        <item x="790"/>
        <item x="175"/>
        <item x="1242"/>
        <item x="1031"/>
        <item x="865"/>
        <item x="915"/>
        <item x="41"/>
        <item x="969"/>
        <item x="238"/>
        <item x="1432"/>
        <item x="1054"/>
        <item x="1239"/>
        <item x="1313"/>
        <item x="423"/>
        <item x="674"/>
        <item x="732"/>
        <item x="414"/>
        <item x="1129"/>
        <item x="1130"/>
        <item x="16"/>
        <item x="669"/>
        <item x="1078"/>
        <item x="338"/>
        <item x="799"/>
        <item x="81"/>
        <item x="1308"/>
        <item x="532"/>
        <item x="128"/>
        <item x="880"/>
        <item x="487"/>
        <item x="418"/>
        <item x="394"/>
        <item x="86"/>
        <item x="178"/>
        <item x="267"/>
        <item x="1136"/>
        <item x="1069"/>
        <item x="836"/>
        <item x="482"/>
        <item x="1272"/>
        <item x="1366"/>
        <item x="1100"/>
        <item x="1460"/>
        <item x="180"/>
        <item x="259"/>
        <item x="749"/>
        <item x="989"/>
        <item x="1340"/>
        <item x="601"/>
        <item x="718"/>
        <item x="1241"/>
        <item x="136"/>
        <item x="570"/>
        <item x="1271"/>
        <item x="73"/>
        <item x="475"/>
        <item x="1004"/>
        <item x="177"/>
        <item x="221"/>
        <item x="97"/>
        <item x="1343"/>
        <item x="1399"/>
        <item x="1480"/>
        <item x="780"/>
        <item x="731"/>
        <item x="66"/>
        <item x="1044"/>
        <item x="379"/>
        <item x="1416"/>
        <item x="826"/>
        <item x="1442"/>
        <item x="1032"/>
        <item x="116"/>
        <item x="1099"/>
        <item x="1045"/>
        <item x="655"/>
        <item x="1223"/>
        <item x="662"/>
        <item x="1203"/>
        <item x="1298"/>
        <item x="816"/>
        <item x="848"/>
        <item x="894"/>
        <item x="245"/>
        <item x="548"/>
        <item x="285"/>
        <item x="647"/>
        <item x="901"/>
        <item x="121"/>
        <item x="555"/>
        <item x="1481"/>
        <item x="219"/>
        <item x="1146"/>
        <item x="1483"/>
        <item x="135"/>
        <item x="1138"/>
        <item x="57"/>
        <item x="51"/>
        <item x="906"/>
        <item x="142"/>
        <item x="830"/>
        <item x="1300"/>
        <item x="783"/>
        <item x="4"/>
        <item x="587"/>
        <item x="1472"/>
        <item x="159"/>
        <item x="357"/>
        <item x="778"/>
        <item x="589"/>
        <item x="271"/>
        <item x="404"/>
        <item x="182"/>
        <item x="244"/>
        <item x="133"/>
        <item x="675"/>
        <item x="204"/>
        <item x="754"/>
        <item x="477"/>
        <item x="325"/>
        <item x="777"/>
        <item x="49"/>
        <item x="727"/>
        <item x="500"/>
        <item x="1083"/>
        <item x="1262"/>
        <item x="720"/>
        <item x="656"/>
        <item x="1190"/>
        <item x="762"/>
        <item x="537"/>
        <item x="1291"/>
        <item x="1417"/>
        <item x="999"/>
        <item x="96"/>
        <item x="1323"/>
        <item x="166"/>
        <item x="1238"/>
        <item x="207"/>
        <item x="1354"/>
        <item x="1145"/>
        <item x="1380"/>
        <item x="852"/>
        <item x="50"/>
        <item x="198"/>
        <item x="55"/>
        <item x="1018"/>
        <item x="479"/>
        <item x="892"/>
        <item x="1492"/>
        <item x="1454"/>
        <item x="886"/>
        <item x="1321"/>
        <item x="1482"/>
        <item x="937"/>
        <item x="1289"/>
        <item x="52"/>
        <item x="494"/>
        <item x="1159"/>
        <item x="293"/>
        <item x="949"/>
        <item x="957"/>
        <item x="505"/>
        <item x="992"/>
        <item x="261"/>
        <item x="300"/>
        <item x="769"/>
        <item x="0"/>
        <item x="1122"/>
        <item x="34"/>
        <item x="703"/>
        <item x="636"/>
        <item x="146"/>
        <item x="535"/>
        <item x="465"/>
        <item x="750"/>
        <item x="974"/>
        <item x="1001"/>
        <item x="231"/>
        <item x="925"/>
        <item x="1016"/>
        <item x="576"/>
        <item x="610"/>
        <item x="1320"/>
        <item x="510"/>
        <item x="687"/>
        <item x="1452"/>
        <item x="345"/>
        <item x="952"/>
        <item x="263"/>
        <item x="490"/>
        <item x="1355"/>
        <item x="1127"/>
        <item x="665"/>
        <item x="186"/>
        <item x="986"/>
        <item x="580"/>
        <item x="232"/>
        <item x="1283"/>
        <item x="935"/>
        <item x="1290"/>
        <item x="450"/>
        <item x="138"/>
        <item x="493"/>
        <item x="1423"/>
        <item x="1392"/>
        <item x="1273"/>
        <item x="464"/>
        <item x="699"/>
        <item x="311"/>
        <item x="1232"/>
        <item x="341"/>
        <item x="1314"/>
        <item x="1264"/>
        <item x="876"/>
        <item x="1293"/>
        <item x="291"/>
        <item x="1027"/>
        <item x="1147"/>
        <item x="755"/>
        <item x="1401"/>
        <item x="869"/>
        <item x="1090"/>
        <item x="1057"/>
        <item x="27"/>
        <item x="1013"/>
        <item x="907"/>
        <item x="160"/>
        <item x="1036"/>
        <item x="723"/>
        <item x="336"/>
        <item x="1268"/>
        <item x="534"/>
        <item x="582"/>
        <item x="318"/>
        <item x="809"/>
        <item x="1119"/>
        <item x="53"/>
        <item x="1393"/>
        <item x="1005"/>
        <item x="179"/>
        <item x="951"/>
        <item x="1218"/>
        <item x="716"/>
        <item x="438"/>
        <item x="1088"/>
        <item x="1411"/>
        <item x="1448"/>
        <item x="1000"/>
        <item x="189"/>
        <item x="611"/>
        <item x="618"/>
        <item x="1085"/>
        <item x="965"/>
        <item x="339"/>
        <item x="1441"/>
        <item x="709"/>
        <item x="1152"/>
        <item x="427"/>
        <item x="1066"/>
        <item x="266"/>
        <item x="1210"/>
        <item x="700"/>
        <item x="1439"/>
        <item x="593"/>
        <item x="813"/>
        <item x="296"/>
        <item x="702"/>
        <item x="825"/>
        <item x="784"/>
        <item x="921"/>
        <item x="831"/>
        <item x="193"/>
        <item x="657"/>
        <item x="1024"/>
        <item x="154"/>
        <item x="1200"/>
        <item x="501"/>
        <item x="17"/>
        <item x="1352"/>
        <item x="768"/>
        <item x="1259"/>
        <item x="1361"/>
        <item x="801"/>
        <item x="1489"/>
        <item x="521"/>
        <item x="492"/>
        <item x="1017"/>
        <item x="344"/>
        <item x="282"/>
        <item x="666"/>
        <item x="614"/>
        <item x="202"/>
        <item x="1157"/>
        <item x="1434"/>
        <item x="829"/>
        <item x="741"/>
        <item x="864"/>
        <item x="1201"/>
        <item x="1341"/>
        <item x="1427"/>
        <item x="376"/>
        <item x="1324"/>
        <item x="1224"/>
        <item x="256"/>
        <item x="798"/>
        <item x="167"/>
        <item x="331"/>
        <item x="29"/>
        <item x="635"/>
        <item x="834"/>
        <item x="39"/>
        <item x="1093"/>
        <item x="522"/>
        <item x="857"/>
        <item x="800"/>
        <item x="1060"/>
        <item x="393"/>
        <item x="1095"/>
        <item x="525"/>
        <item x="1412"/>
        <item x="936"/>
        <item x="899"/>
        <item x="1274"/>
        <item x="630"/>
        <item x="1191"/>
        <item x="1339"/>
        <item x="392"/>
        <item x="566"/>
        <item x="838"/>
        <item x="983"/>
        <item x="489"/>
        <item x="844"/>
        <item x="210"/>
        <item x="431"/>
        <item x="371"/>
        <item x="240"/>
        <item x="307"/>
        <item x="1231"/>
        <item x="1479"/>
        <item x="1096"/>
        <item x="711"/>
        <item x="1295"/>
        <item x="1035"/>
        <item x="785"/>
        <item x="1132"/>
        <item x="874"/>
        <item x="641"/>
        <item x="1444"/>
        <item x="324"/>
        <item x="1342"/>
        <item x="190"/>
        <item x="1151"/>
        <item x="56"/>
        <item x="366"/>
        <item x="1222"/>
        <item x="805"/>
        <item x="346"/>
        <item x="651"/>
        <item x="1227"/>
        <item x="1470"/>
        <item x="422"/>
        <item x="1496"/>
        <item x="1103"/>
        <item x="558"/>
        <item x="511"/>
        <item x="1311"/>
        <item x="65"/>
        <item x="169"/>
        <item x="890"/>
        <item x="194"/>
        <item x="889"/>
        <item x="659"/>
        <item x="1047"/>
        <item x="1160"/>
        <item x="979"/>
        <item x="538"/>
        <item x="733"/>
        <item x="1404"/>
        <item x="107"/>
        <item x="242"/>
        <item x="1010"/>
        <item x="806"/>
        <item x="109"/>
        <item x="845"/>
        <item x="157"/>
        <item x="682"/>
        <item x="1002"/>
        <item x="818"/>
        <item x="250"/>
        <item x="172"/>
        <item x="1113"/>
        <item x="316"/>
        <item x="332"/>
        <item x="1174"/>
        <item x="203"/>
        <item x="294"/>
        <item x="1286"/>
        <item x="764"/>
        <item x="153"/>
        <item x="1056"/>
        <item x="1076"/>
        <item x="759"/>
        <item x="274"/>
        <item x="573"/>
        <item x="1260"/>
        <item x="444"/>
        <item x="456"/>
        <item x="310"/>
        <item x="987"/>
        <item x="588"/>
        <item x="1193"/>
        <item x="1164"/>
        <item x="1029"/>
        <item x="312"/>
        <item x="888"/>
        <item x="165"/>
        <item x="781"/>
        <item x="1304"/>
        <item x="1381"/>
        <item x="1486"/>
        <item x="594"/>
        <item x="428"/>
        <item x="1257"/>
        <item x="416"/>
        <item x="272"/>
        <item x="1465"/>
        <item x="585"/>
        <item x="384"/>
        <item x="1400"/>
        <item x="429"/>
        <item x="1409"/>
        <item x="871"/>
        <item x="908"/>
        <item x="946"/>
        <item x="745"/>
        <item x="721"/>
        <item x="807"/>
        <item x="1396"/>
        <item x="241"/>
        <item x="518"/>
        <item x="184"/>
        <item x="340"/>
        <item x="1263"/>
        <item x="884"/>
        <item x="24"/>
        <item x="1007"/>
        <item x="976"/>
        <item x="945"/>
        <item x="1162"/>
        <item x="134"/>
        <item x="1338"/>
        <item x="966"/>
        <item x="942"/>
        <item x="1205"/>
        <item x="1213"/>
        <item x="509"/>
        <item x="1023"/>
        <item x="249"/>
        <item x="43"/>
        <item x="725"/>
        <item x="1459"/>
        <item x="409"/>
        <item x="305"/>
        <item x="961"/>
        <item x="1237"/>
        <item x="104"/>
        <item x="1133"/>
        <item x="993"/>
        <item x="354"/>
        <item x="229"/>
        <item x="756"/>
        <item x="568"/>
        <item x="195"/>
        <item x="145"/>
        <item x="9"/>
        <item x="900"/>
        <item x="1266"/>
        <item x="1413"/>
        <item x="390"/>
        <item x="930"/>
        <item x="506"/>
        <item x="605"/>
        <item x="460"/>
        <item x="91"/>
        <item x="70"/>
        <item x="200"/>
        <item x="155"/>
        <item x="1112"/>
        <item x="163"/>
        <item x="1170"/>
        <item x="929"/>
        <item x="760"/>
        <item x="1028"/>
        <item x="685"/>
        <item x="442"/>
        <item x="126"/>
        <item x="322"/>
        <item x="1046"/>
        <item x="595"/>
        <item x="99"/>
        <item x="359"/>
        <item x="875"/>
        <item x="485"/>
        <item x="519"/>
        <item x="574"/>
        <item x="1074"/>
        <item x="1075"/>
        <item x="543"/>
        <item x="334"/>
        <item x="860"/>
        <item x="287"/>
        <item x="1383"/>
        <item x="412"/>
        <item x="1252"/>
        <item x="1189"/>
        <item x="862"/>
        <item x="918"/>
        <item x="321"/>
        <item x="1073"/>
        <item x="255"/>
        <item x="1371"/>
        <item x="697"/>
        <item x="278"/>
        <item x="619"/>
        <item x="1443"/>
        <item x="811"/>
        <item x="352"/>
        <item x="1395"/>
        <item x="841"/>
        <item x="1158"/>
        <item x="397"/>
        <item x="1179"/>
        <item x="333"/>
        <item x="530"/>
        <item x="474"/>
        <item x="960"/>
        <item x="1309"/>
        <item x="956"/>
        <item x="299"/>
        <item x="1207"/>
        <item x="891"/>
        <item x="751"/>
        <item x="1475"/>
        <item x="1348"/>
        <item x="1447"/>
        <item x="383"/>
        <item x="1358"/>
        <item x="76"/>
        <item x="1208"/>
        <item x="913"/>
        <item x="108"/>
        <item x="303"/>
        <item x="708"/>
        <item x="284"/>
        <item x="452"/>
        <item x="849"/>
        <item x="507"/>
        <item x="1068"/>
        <item x="712"/>
        <item x="398"/>
        <item x="1487"/>
        <item x="30"/>
        <item x="1163"/>
        <item x="1221"/>
        <item x="222"/>
        <item x="640"/>
        <item x="1091"/>
        <item x="926"/>
        <item x="691"/>
        <item x="328"/>
        <item x="1247"/>
        <item x="528"/>
        <item x="209"/>
        <item x="1003"/>
        <item x="1374"/>
        <item x="122"/>
        <item x="243"/>
        <item x="728"/>
        <item x="351"/>
        <item x="408"/>
        <item x="1421"/>
        <item x="1148"/>
        <item x="161"/>
        <item x="1049"/>
        <item x="713"/>
        <item x="672"/>
        <item x="975"/>
        <item x="118"/>
        <item x="893"/>
        <item x="59"/>
        <item x="187"/>
        <item x="1050"/>
        <item x="10"/>
        <item x="1463"/>
        <item x="940"/>
        <item x="1226"/>
        <item x="1115"/>
        <item x="251"/>
        <item x="396"/>
        <item x="905"/>
        <item x="1034"/>
        <item x="797"/>
        <item x="554"/>
        <item x="546"/>
        <item x="48"/>
        <item x="1165"/>
        <item x="15"/>
        <item x="757"/>
        <item x="878"/>
        <item x="1446"/>
        <item x="765"/>
        <item x="846"/>
        <item x="1137"/>
        <item x="323"/>
        <item x="395"/>
        <item x="1177"/>
        <item x="1253"/>
        <item x="1171"/>
        <item x="766"/>
        <item x="1433"/>
        <item x="512"/>
        <item x="1064"/>
        <item x="812"/>
        <item x="1071"/>
        <item x="87"/>
        <item x="503"/>
        <item x="461"/>
        <item x="212"/>
        <item x="885"/>
        <item x="1330"/>
        <item x="32"/>
        <item x="1236"/>
        <item x="319"/>
        <item x="1142"/>
        <item x="843"/>
        <item x="1198"/>
        <item x="520"/>
        <item x="458"/>
        <item x="326"/>
        <item x="828"/>
        <item x="191"/>
        <item x="1211"/>
        <item x="355"/>
        <item x="1209"/>
        <item x="642"/>
        <item x="276"/>
        <item x="1468"/>
        <item x="1391"/>
        <item x="909"/>
        <item x="1087"/>
        <item x="660"/>
        <item x="233"/>
        <item x="693"/>
        <item x="33"/>
        <item x="1197"/>
        <item x="457"/>
        <item x="603"/>
        <item x="584"/>
        <item x="612"/>
        <item x="441"/>
        <item x="88"/>
        <item x="1009"/>
        <item x="1414"/>
        <item x="1474"/>
        <item x="44"/>
        <item x="1357"/>
        <item x="1021"/>
        <item x="1498"/>
        <item x="631"/>
        <item x="962"/>
        <item x="1356"/>
        <item x="910"/>
        <item x="1485"/>
        <item x="1186"/>
        <item x="380"/>
        <item x="583"/>
        <item x="144"/>
        <item x="689"/>
        <item x="84"/>
        <item x="1006"/>
        <item x="1131"/>
        <item x="1233"/>
        <item x="903"/>
        <item x="967"/>
        <item x="1183"/>
        <item x="1333"/>
        <item x="239"/>
        <item x="115"/>
        <item x="426"/>
        <item x="164"/>
        <item x="1080"/>
        <item x="6"/>
        <item x="684"/>
        <item x="774"/>
        <item x="1344"/>
        <item x="120"/>
        <item x="228"/>
        <item x="1386"/>
        <item x="1364"/>
        <item x="21"/>
        <item x="779"/>
        <item x="363"/>
        <item x="1106"/>
        <item x="1033"/>
        <item x="82"/>
        <item x="421"/>
        <item x="170"/>
        <item x="608"/>
        <item x="367"/>
        <item x="904"/>
        <item x="491"/>
        <item x="1453"/>
        <item x="466"/>
        <item x="114"/>
        <item x="158"/>
        <item x="72"/>
        <item x="1370"/>
        <item x="111"/>
        <item x="867"/>
        <item x="273"/>
        <item x="1294"/>
        <item x="473"/>
        <item x="101"/>
        <item x="791"/>
        <item x="678"/>
        <item x="213"/>
        <item x="1276"/>
        <item x="763"/>
        <item x="365"/>
        <item x="472"/>
        <item x="119"/>
        <item x="31"/>
        <item x="1337"/>
        <item x="1462"/>
        <item x="1493"/>
        <item x="1312"/>
        <item x="596"/>
        <item x="1410"/>
        <item x="856"/>
        <item x="1114"/>
        <item x="1269"/>
        <item x="1135"/>
        <item x="80"/>
        <item x="1215"/>
        <item x="350"/>
        <item x="1422"/>
        <item x="1331"/>
        <item x="71"/>
        <item x="872"/>
        <item x="469"/>
        <item x="205"/>
        <item x="1306"/>
        <item x="1449"/>
        <item x="1461"/>
        <item x="185"/>
        <item x="924"/>
        <item x="286"/>
        <item x="667"/>
        <item x="1405"/>
        <item x="578"/>
        <item x="1270"/>
        <item x="923"/>
        <item x="150"/>
        <item x="304"/>
        <item x="726"/>
        <item x="1378"/>
        <item x="147"/>
        <item x="1194"/>
        <item x="1041"/>
        <item x="313"/>
        <item x="407"/>
        <item x="93"/>
        <item x="1219"/>
        <item x="1299"/>
        <item x="162"/>
        <item x="1279"/>
        <item x="1345"/>
        <item x="814"/>
        <item x="563"/>
        <item x="92"/>
        <item x="895"/>
        <item x="934"/>
        <item x="347"/>
        <item x="196"/>
        <item x="670"/>
        <item x="264"/>
        <item x="827"/>
        <item x="1184"/>
        <item x="524"/>
        <item x="468"/>
        <item x="767"/>
        <item x="1477"/>
        <item x="823"/>
        <item x="696"/>
        <item x="1438"/>
        <item x="260"/>
        <item x="788"/>
        <item x="40"/>
        <item x="1061"/>
        <item x="314"/>
        <item x="939"/>
        <item x="54"/>
        <item x="20"/>
        <item x="822"/>
        <item x="744"/>
        <item x="1408"/>
        <item x="1141"/>
        <item x="382"/>
        <item x="1379"/>
        <item x="343"/>
        <item x="139"/>
        <item x="420"/>
        <item x="523"/>
        <item x="1070"/>
        <item x="140"/>
        <item x="638"/>
        <item x="504"/>
        <item x="1255"/>
        <item x="513"/>
        <item x="692"/>
        <item x="1426"/>
        <item x="1458"/>
        <item x="1052"/>
        <item x="381"/>
        <item x="362"/>
        <item x="1280"/>
        <item x="1030"/>
        <item x="775"/>
        <item x="1048"/>
        <item x="199"/>
        <item x="599"/>
        <item x="803"/>
        <item x="736"/>
        <item x="928"/>
        <item x="982"/>
        <item x="615"/>
        <item x="817"/>
        <item x="1466"/>
        <item x="1248"/>
        <item x="1101"/>
        <item x="932"/>
        <item x="673"/>
        <item x="415"/>
        <item x="348"/>
        <item x="335"/>
        <item x="920"/>
        <item x="281"/>
        <item x="980"/>
        <item x="1327"/>
        <item x="771"/>
        <item x="1092"/>
        <item x="309"/>
        <item x="361"/>
        <item x="131"/>
        <item x="1258"/>
        <item x="579"/>
        <item x="717"/>
        <item x="28"/>
        <item x="795"/>
        <item x="337"/>
        <item x="183"/>
        <item x="173"/>
        <item x="280"/>
        <item x="958"/>
        <item x="1451"/>
        <item x="69"/>
        <item x="1123"/>
        <item x="1012"/>
        <item x="1261"/>
        <item x="484"/>
        <item x="42"/>
        <item x="564"/>
        <item x="1175"/>
        <item x="623"/>
        <item x="815"/>
        <item x="858"/>
        <item x="434"/>
        <item x="486"/>
        <item x="609"/>
        <item x="327"/>
        <item x="225"/>
        <item x="3"/>
        <item x="1188"/>
        <item x="1126"/>
        <item x="432"/>
        <item x="943"/>
        <item x="1217"/>
        <item x="1431"/>
        <item x="1225"/>
        <item x="753"/>
        <item x="671"/>
        <item x="1350"/>
        <item x="1365"/>
        <item x="541"/>
        <item x="877"/>
        <item x="1328"/>
        <item x="919"/>
        <item x="567"/>
        <item x="604"/>
        <item x="1118"/>
        <item x="1367"/>
        <item x="1382"/>
        <item x="734"/>
        <item x="1457"/>
        <item x="1065"/>
        <item x="508"/>
        <item x="283"/>
        <item x="1491"/>
        <item x="356"/>
        <item x="342"/>
        <item x="1051"/>
        <item x="1310"/>
        <item x="832"/>
        <item x="446"/>
        <item x="515"/>
        <item x="679"/>
        <item x="252"/>
        <item x="368"/>
        <item x="7"/>
        <item x="881"/>
        <item x="1277"/>
        <item x="694"/>
        <item x="590"/>
        <item x="224"/>
        <item x="1105"/>
        <item x="64"/>
        <item x="411"/>
        <item x="208"/>
        <item x="887"/>
        <item x="1349"/>
        <item x="1387"/>
        <item x="617"/>
        <item x="1196"/>
        <item x="1204"/>
        <item x="761"/>
        <item x="152"/>
        <item x="586"/>
        <item x="18"/>
        <item x="106"/>
        <item x="739"/>
        <item x="374"/>
        <item x="402"/>
        <item x="1156"/>
        <item x="990"/>
        <item x="37"/>
        <item x="375"/>
        <item x="1011"/>
        <item x="372"/>
        <item x="539"/>
        <item x="1166"/>
        <item x="188"/>
        <item x="616"/>
        <item x="1360"/>
        <item x="1019"/>
        <item x="847"/>
        <item x="1497"/>
        <item x="112"/>
        <item x="1495"/>
        <item x="14"/>
        <item x="247"/>
        <item x="1043"/>
        <item x="498"/>
        <item x="1429"/>
        <item x="1181"/>
        <item x="536"/>
        <item x="654"/>
        <item x="938"/>
        <item x="1026"/>
        <item x="1220"/>
        <item x="1037"/>
        <item x="370"/>
        <item x="358"/>
        <item x="1229"/>
        <item x="1435"/>
        <item x="226"/>
        <item x="1120"/>
        <item x="868"/>
        <item x="1329"/>
        <item x="289"/>
        <item x="1121"/>
        <item x="897"/>
        <item x="58"/>
        <item x="1281"/>
        <item x="625"/>
        <item x="216"/>
        <item x="46"/>
        <item x="1484"/>
        <item x="1185"/>
        <item x="1347"/>
        <item x="425"/>
        <item x="176"/>
        <item x="1419"/>
        <item x="833"/>
        <item x="1385"/>
        <item x="433"/>
        <item x="94"/>
        <item x="141"/>
        <item x="1245"/>
        <item x="646"/>
        <item x="234"/>
        <item x="1282"/>
        <item x="1297"/>
        <item x="561"/>
        <item x="403"/>
        <item x="991"/>
        <item x="502"/>
        <item x="911"/>
        <item x="1192"/>
        <item x="1403"/>
        <item x="495"/>
        <item x="1445"/>
        <item x="149"/>
        <item x="1172"/>
        <item x="385"/>
        <item x="11"/>
        <item x="1042"/>
        <item x="549"/>
        <item x="288"/>
        <item x="74"/>
        <item x="944"/>
        <item x="747"/>
        <item x="110"/>
        <item x="246"/>
        <item x="1176"/>
        <item x="1473"/>
        <item x="1305"/>
        <item x="206"/>
        <item x="1368"/>
        <item x="459"/>
        <item x="1094"/>
        <item x="569"/>
        <item x="61"/>
        <item x="275"/>
        <item x="985"/>
        <item x="819"/>
        <item x="483"/>
        <item x="1187"/>
        <item x="1111"/>
        <item x="63"/>
        <item x="947"/>
        <item x="386"/>
        <item x="837"/>
        <item x="353"/>
        <item x="364"/>
        <item x="1302"/>
        <item x="553"/>
        <item x="440"/>
        <item x="1084"/>
        <item x="1436"/>
        <item x="447"/>
        <item x="1117"/>
        <item x="1168"/>
        <item x="1"/>
        <item x="1301"/>
        <item x="551"/>
        <item x="866"/>
        <item x="953"/>
        <item x="516"/>
        <item x="100"/>
        <item x="542"/>
        <item x="701"/>
        <item x="787"/>
        <item x="690"/>
        <item x="1267"/>
        <item x="927"/>
        <item x="628"/>
        <item x="1234"/>
        <item x="499"/>
        <item x="253"/>
        <item x="606"/>
        <item x="859"/>
        <item x="132"/>
        <item x="419"/>
        <item x="973"/>
        <item x="417"/>
        <item x="62"/>
        <item x="77"/>
        <item x="1490"/>
        <item t="default"/>
      </items>
    </pivotField>
    <pivotField showAll="0">
      <items count="6">
        <item x="4"/>
        <item x="1"/>
        <item x="2"/>
        <item x="0"/>
        <item x="3"/>
        <item t="default"/>
      </items>
    </pivotField>
    <pivotField showAll="0"/>
    <pivotField axis="axisRow" showAll="0">
      <items count="6">
        <item x="4"/>
        <item x="2"/>
        <item x="0"/>
        <item x="3"/>
        <item x="1"/>
        <item t="default"/>
      </items>
    </pivotField>
    <pivotField showAll="0"/>
    <pivotField axis="axisCol" showAll="0">
      <items count="7">
        <item x="3"/>
        <item x="0"/>
        <item x="5"/>
        <item x="2"/>
        <item x="4"/>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9"/>
  </colFields>
  <colItems count="7">
    <i>
      <x/>
    </i>
    <i>
      <x v="1"/>
    </i>
    <i>
      <x v="2"/>
    </i>
    <i>
      <x v="3"/>
    </i>
    <i>
      <x v="4"/>
    </i>
    <i>
      <x v="5"/>
    </i>
    <i t="grand">
      <x/>
    </i>
  </colItems>
  <dataFields count="1">
    <dataField name=" Order_ID" fld="0" subtotal="count" baseField="7" baseItem="0"/>
  </dataFields>
  <chartFormats count="7">
    <chartFormat chart="11" format="13" series="1">
      <pivotArea type="data" outline="0" fieldPosition="0">
        <references count="2">
          <reference field="4294967294" count="1" selected="0">
            <x v="0"/>
          </reference>
          <reference field="9" count="1" selected="0">
            <x v="0"/>
          </reference>
        </references>
      </pivotArea>
    </chartFormat>
    <chartFormat chart="11" format="14" series="1">
      <pivotArea type="data" outline="0" fieldPosition="0">
        <references count="2">
          <reference field="4294967294" count="1" selected="0">
            <x v="0"/>
          </reference>
          <reference field="9" count="1" selected="0">
            <x v="1"/>
          </reference>
        </references>
      </pivotArea>
    </chartFormat>
    <chartFormat chart="11" format="15" series="1">
      <pivotArea type="data" outline="0" fieldPosition="0">
        <references count="2">
          <reference field="4294967294" count="1" selected="0">
            <x v="0"/>
          </reference>
          <reference field="9" count="1" selected="0">
            <x v="2"/>
          </reference>
        </references>
      </pivotArea>
    </chartFormat>
    <chartFormat chart="11" format="16" series="1">
      <pivotArea type="data" outline="0" fieldPosition="0">
        <references count="2">
          <reference field="4294967294" count="1" selected="0">
            <x v="0"/>
          </reference>
          <reference field="9" count="1" selected="0">
            <x v="3"/>
          </reference>
        </references>
      </pivotArea>
    </chartFormat>
    <chartFormat chart="11" format="17" series="1">
      <pivotArea type="data" outline="0" fieldPosition="0">
        <references count="2">
          <reference field="4294967294" count="1" selected="0">
            <x v="0"/>
          </reference>
          <reference field="9" count="1" selected="0">
            <x v="4"/>
          </reference>
        </references>
      </pivotArea>
    </chartFormat>
    <chartFormat chart="11" format="18" series="1">
      <pivotArea type="data" outline="0" fieldPosition="0">
        <references count="2">
          <reference field="4294967294" count="1" selected="0">
            <x v="0"/>
          </reference>
          <reference field="9" count="1" selected="0">
            <x v="5"/>
          </reference>
        </references>
      </pivotArea>
    </chartFormat>
    <chartFormat chart="11"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42D89B-4626-4FBE-A893-F2C591D216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Order_Country">
  <location ref="B20:C28" firstHeaderRow="1" firstDataRow="1" firstDataCol="1"/>
  <pivotFields count="15">
    <pivotField dataField="1" showAll="0"/>
    <pivotField showAll="0"/>
    <pivotField showAll="0"/>
    <pivotField showAll="0"/>
    <pivotField showAll="0">
      <items count="1500">
        <item x="545"/>
        <item x="531"/>
        <item x="681"/>
        <item x="821"/>
        <item x="648"/>
        <item x="1230"/>
        <item x="298"/>
        <item x="1250"/>
        <item x="12"/>
        <item x="1082"/>
        <item x="330"/>
        <item x="676"/>
        <item x="217"/>
        <item x="550"/>
        <item x="1346"/>
        <item x="998"/>
        <item x="680"/>
        <item x="668"/>
        <item x="995"/>
        <item x="454"/>
        <item x="835"/>
        <item x="1471"/>
        <item x="730"/>
        <item x="627"/>
        <item x="649"/>
        <item x="1307"/>
        <item x="592"/>
        <item x="1284"/>
        <item x="1139"/>
        <item x="1182"/>
        <item x="600"/>
        <item x="1079"/>
        <item x="227"/>
        <item x="127"/>
        <item x="1384"/>
        <item x="230"/>
        <item x="1212"/>
        <item x="1098"/>
        <item x="1456"/>
        <item x="1081"/>
        <item x="1110"/>
        <item x="851"/>
        <item x="950"/>
        <item x="796"/>
        <item x="994"/>
        <item x="802"/>
        <item x="117"/>
        <item x="401"/>
        <item x="95"/>
        <item x="677"/>
        <item x="388"/>
        <item x="306"/>
        <item x="770"/>
        <item x="581"/>
        <item x="968"/>
        <item x="413"/>
        <item x="786"/>
        <item x="463"/>
        <item x="978"/>
        <item x="772"/>
        <item x="746"/>
        <item x="1397"/>
        <item x="248"/>
        <item x="265"/>
        <item x="103"/>
        <item x="478"/>
        <item x="971"/>
        <item x="125"/>
        <item x="215"/>
        <item x="850"/>
        <item x="130"/>
        <item x="752"/>
        <item x="653"/>
        <item x="1214"/>
        <item x="26"/>
        <item x="1375"/>
        <item x="793"/>
        <item x="1104"/>
        <item x="1077"/>
        <item x="174"/>
        <item x="1150"/>
        <item x="1319"/>
        <item x="1488"/>
        <item x="1351"/>
        <item x="1407"/>
        <item x="258"/>
        <item x="916"/>
        <item x="742"/>
        <item x="400"/>
        <item x="688"/>
        <item x="1359"/>
        <item x="373"/>
        <item x="1154"/>
        <item x="1235"/>
        <item x="663"/>
        <item x="650"/>
        <item x="1244"/>
        <item x="1389"/>
        <item x="526"/>
        <item x="151"/>
        <item x="1303"/>
        <item x="840"/>
        <item x="1251"/>
        <item x="1107"/>
        <item x="1108"/>
        <item x="743"/>
        <item x="972"/>
        <item x="948"/>
        <item x="1202"/>
        <item x="5"/>
        <item x="722"/>
        <item x="8"/>
        <item x="661"/>
        <item x="171"/>
        <item x="540"/>
        <item x="1195"/>
        <item x="277"/>
        <item x="863"/>
        <item x="1058"/>
        <item x="453"/>
        <item x="1420"/>
        <item x="1287"/>
        <item x="1288"/>
        <item x="794"/>
        <item x="624"/>
        <item x="89"/>
        <item x="963"/>
        <item x="1067"/>
        <item x="620"/>
        <item x="970"/>
        <item x="773"/>
        <item x="1022"/>
        <item x="686"/>
        <item x="497"/>
        <item x="602"/>
        <item x="214"/>
        <item x="488"/>
        <item x="223"/>
        <item x="902"/>
        <item x="1292"/>
        <item x="320"/>
        <item x="1180"/>
        <item x="637"/>
        <item x="1015"/>
        <item x="517"/>
        <item x="1388"/>
        <item x="1089"/>
        <item x="738"/>
        <item x="1424"/>
        <item x="399"/>
        <item x="1335"/>
        <item x="664"/>
        <item x="102"/>
        <item x="562"/>
        <item x="1053"/>
        <item x="591"/>
        <item x="1372"/>
        <item x="598"/>
        <item x="98"/>
        <item x="1376"/>
        <item x="292"/>
        <item x="1332"/>
        <item x="853"/>
        <item x="1390"/>
        <item x="360"/>
        <item x="737"/>
        <item x="1144"/>
        <item x="1316"/>
        <item x="704"/>
        <item x="279"/>
        <item x="1199"/>
        <item x="695"/>
        <item x="262"/>
        <item x="1455"/>
        <item x="269"/>
        <item x="639"/>
        <item x="78"/>
        <item x="658"/>
        <item x="168"/>
        <item x="1206"/>
        <item x="917"/>
        <item x="882"/>
        <item x="75"/>
        <item x="1362"/>
        <item x="254"/>
        <item x="462"/>
        <item x="607"/>
        <item x="577"/>
        <item x="735"/>
        <item x="290"/>
        <item x="898"/>
        <item x="435"/>
        <item x="758"/>
        <item x="1394"/>
        <item x="922"/>
        <item x="45"/>
        <item x="621"/>
        <item x="480"/>
        <item x="556"/>
        <item x="1140"/>
        <item x="959"/>
        <item x="19"/>
        <item x="544"/>
        <item x="1469"/>
        <item x="1143"/>
        <item x="1216"/>
        <item x="514"/>
        <item x="308"/>
        <item x="257"/>
        <item x="879"/>
        <item x="870"/>
        <item x="1039"/>
        <item x="236"/>
        <item x="1425"/>
        <item x="954"/>
        <item x="378"/>
        <item x="192"/>
        <item x="527"/>
        <item x="933"/>
        <item x="571"/>
        <item x="1149"/>
        <item x="1430"/>
        <item x="808"/>
        <item x="129"/>
        <item x="1008"/>
        <item x="557"/>
        <item x="1086"/>
        <item x="645"/>
        <item x="1296"/>
        <item x="476"/>
        <item x="683"/>
        <item x="1369"/>
        <item x="389"/>
        <item x="1125"/>
        <item x="377"/>
        <item x="1285"/>
        <item x="297"/>
        <item x="707"/>
        <item x="1128"/>
        <item x="839"/>
        <item x="706"/>
        <item x="369"/>
        <item x="1243"/>
        <item x="1014"/>
        <item x="1109"/>
        <item x="804"/>
        <item x="79"/>
        <item x="1167"/>
        <item x="35"/>
        <item x="1178"/>
        <item x="470"/>
        <item x="1228"/>
        <item x="1418"/>
        <item x="424"/>
        <item x="471"/>
        <item x="430"/>
        <item x="1353"/>
        <item x="1153"/>
        <item x="391"/>
        <item x="883"/>
        <item x="1278"/>
        <item x="622"/>
        <item x="85"/>
        <item x="634"/>
        <item x="113"/>
        <item x="481"/>
        <item x="437"/>
        <item x="181"/>
        <item x="714"/>
        <item x="1318"/>
        <item x="1240"/>
        <item x="552"/>
        <item x="710"/>
        <item x="1055"/>
        <item x="529"/>
        <item x="1246"/>
        <item x="572"/>
        <item x="977"/>
        <item x="633"/>
        <item x="740"/>
        <item x="1256"/>
        <item x="820"/>
        <item x="1040"/>
        <item x="1428"/>
        <item x="698"/>
        <item x="1072"/>
        <item x="301"/>
        <item x="90"/>
        <item x="547"/>
        <item x="996"/>
        <item x="533"/>
        <item x="1265"/>
        <item x="955"/>
        <item x="436"/>
        <item x="1467"/>
        <item x="67"/>
        <item x="1249"/>
        <item x="560"/>
        <item x="810"/>
        <item x="455"/>
        <item x="329"/>
        <item x="496"/>
        <item x="705"/>
        <item x="105"/>
        <item x="2"/>
        <item x="1059"/>
        <item x="559"/>
        <item x="1124"/>
        <item x="443"/>
        <item x="218"/>
        <item x="1155"/>
        <item x="1025"/>
        <item x="729"/>
        <item x="575"/>
        <item x="317"/>
        <item x="137"/>
        <item x="211"/>
        <item x="1406"/>
        <item x="789"/>
        <item x="1402"/>
        <item x="1062"/>
        <item x="268"/>
        <item x="143"/>
        <item x="197"/>
        <item x="1478"/>
        <item x="719"/>
        <item x="912"/>
        <item x="931"/>
        <item x="652"/>
        <item x="237"/>
        <item x="156"/>
        <item x="1464"/>
        <item x="220"/>
        <item x="387"/>
        <item x="896"/>
        <item x="1373"/>
        <item x="873"/>
        <item x="201"/>
        <item x="1116"/>
        <item x="1326"/>
        <item x="295"/>
        <item x="68"/>
        <item x="1437"/>
        <item x="1325"/>
        <item x="123"/>
        <item x="613"/>
        <item x="644"/>
        <item x="13"/>
        <item x="1398"/>
        <item x="715"/>
        <item x="964"/>
        <item x="776"/>
        <item x="1169"/>
        <item x="406"/>
        <item x="60"/>
        <item x="1336"/>
        <item x="1134"/>
        <item x="855"/>
        <item x="1415"/>
        <item x="1322"/>
        <item x="984"/>
        <item x="36"/>
        <item x="629"/>
        <item x="270"/>
        <item x="988"/>
        <item x="83"/>
        <item x="1097"/>
        <item x="565"/>
        <item x="861"/>
        <item x="914"/>
        <item x="643"/>
        <item x="632"/>
        <item x="842"/>
        <item x="449"/>
        <item x="1363"/>
        <item x="1440"/>
        <item x="1102"/>
        <item x="467"/>
        <item x="315"/>
        <item x="854"/>
        <item x="782"/>
        <item x="941"/>
        <item x="748"/>
        <item x="597"/>
        <item x="1317"/>
        <item x="448"/>
        <item x="997"/>
        <item x="724"/>
        <item x="626"/>
        <item x="1494"/>
        <item x="22"/>
        <item x="792"/>
        <item x="405"/>
        <item x="148"/>
        <item x="1450"/>
        <item x="23"/>
        <item x="981"/>
        <item x="1315"/>
        <item x="1254"/>
        <item x="235"/>
        <item x="1377"/>
        <item x="1275"/>
        <item x="1476"/>
        <item x="1063"/>
        <item x="1038"/>
        <item x="1173"/>
        <item x="349"/>
        <item x="1161"/>
        <item x="439"/>
        <item x="824"/>
        <item x="47"/>
        <item x="410"/>
        <item x="1334"/>
        <item x="38"/>
        <item x="25"/>
        <item x="451"/>
        <item x="302"/>
        <item x="445"/>
        <item x="124"/>
        <item x="1020"/>
        <item x="790"/>
        <item x="175"/>
        <item x="1242"/>
        <item x="1031"/>
        <item x="865"/>
        <item x="915"/>
        <item x="41"/>
        <item x="969"/>
        <item x="238"/>
        <item x="1432"/>
        <item x="1054"/>
        <item x="1239"/>
        <item x="1313"/>
        <item x="423"/>
        <item x="674"/>
        <item x="732"/>
        <item x="414"/>
        <item x="1129"/>
        <item x="1130"/>
        <item x="16"/>
        <item x="669"/>
        <item x="1078"/>
        <item x="338"/>
        <item x="799"/>
        <item x="81"/>
        <item x="1308"/>
        <item x="532"/>
        <item x="128"/>
        <item x="880"/>
        <item x="487"/>
        <item x="418"/>
        <item x="394"/>
        <item x="86"/>
        <item x="178"/>
        <item x="267"/>
        <item x="1136"/>
        <item x="1069"/>
        <item x="836"/>
        <item x="482"/>
        <item x="1272"/>
        <item x="1366"/>
        <item x="1100"/>
        <item x="1460"/>
        <item x="180"/>
        <item x="259"/>
        <item x="749"/>
        <item x="989"/>
        <item x="1340"/>
        <item x="601"/>
        <item x="718"/>
        <item x="1241"/>
        <item x="136"/>
        <item x="570"/>
        <item x="1271"/>
        <item x="73"/>
        <item x="475"/>
        <item x="1004"/>
        <item x="177"/>
        <item x="221"/>
        <item x="97"/>
        <item x="1343"/>
        <item x="1399"/>
        <item x="1480"/>
        <item x="780"/>
        <item x="731"/>
        <item x="66"/>
        <item x="1044"/>
        <item x="379"/>
        <item x="1416"/>
        <item x="826"/>
        <item x="1442"/>
        <item x="1032"/>
        <item x="116"/>
        <item x="1099"/>
        <item x="1045"/>
        <item x="655"/>
        <item x="1223"/>
        <item x="662"/>
        <item x="1203"/>
        <item x="1298"/>
        <item x="816"/>
        <item x="848"/>
        <item x="894"/>
        <item x="245"/>
        <item x="548"/>
        <item x="285"/>
        <item x="647"/>
        <item x="901"/>
        <item x="121"/>
        <item x="555"/>
        <item x="1481"/>
        <item x="219"/>
        <item x="1146"/>
        <item x="1483"/>
        <item x="135"/>
        <item x="1138"/>
        <item x="57"/>
        <item x="51"/>
        <item x="906"/>
        <item x="142"/>
        <item x="830"/>
        <item x="1300"/>
        <item x="783"/>
        <item x="4"/>
        <item x="587"/>
        <item x="1472"/>
        <item x="159"/>
        <item x="357"/>
        <item x="778"/>
        <item x="589"/>
        <item x="271"/>
        <item x="404"/>
        <item x="182"/>
        <item x="244"/>
        <item x="133"/>
        <item x="675"/>
        <item x="204"/>
        <item x="754"/>
        <item x="477"/>
        <item x="325"/>
        <item x="777"/>
        <item x="49"/>
        <item x="727"/>
        <item x="500"/>
        <item x="1083"/>
        <item x="1262"/>
        <item x="720"/>
        <item x="656"/>
        <item x="1190"/>
        <item x="762"/>
        <item x="537"/>
        <item x="1291"/>
        <item x="1417"/>
        <item x="999"/>
        <item x="96"/>
        <item x="1323"/>
        <item x="166"/>
        <item x="1238"/>
        <item x="207"/>
        <item x="1354"/>
        <item x="1145"/>
        <item x="1380"/>
        <item x="852"/>
        <item x="50"/>
        <item x="198"/>
        <item x="55"/>
        <item x="1018"/>
        <item x="479"/>
        <item x="892"/>
        <item x="1492"/>
        <item x="1454"/>
        <item x="886"/>
        <item x="1321"/>
        <item x="1482"/>
        <item x="937"/>
        <item x="1289"/>
        <item x="52"/>
        <item x="494"/>
        <item x="1159"/>
        <item x="293"/>
        <item x="949"/>
        <item x="957"/>
        <item x="505"/>
        <item x="992"/>
        <item x="261"/>
        <item x="300"/>
        <item x="769"/>
        <item x="0"/>
        <item x="1122"/>
        <item x="34"/>
        <item x="703"/>
        <item x="636"/>
        <item x="146"/>
        <item x="535"/>
        <item x="465"/>
        <item x="750"/>
        <item x="974"/>
        <item x="1001"/>
        <item x="231"/>
        <item x="925"/>
        <item x="1016"/>
        <item x="576"/>
        <item x="610"/>
        <item x="1320"/>
        <item x="510"/>
        <item x="687"/>
        <item x="1452"/>
        <item x="345"/>
        <item x="952"/>
        <item x="263"/>
        <item x="490"/>
        <item x="1355"/>
        <item x="1127"/>
        <item x="665"/>
        <item x="186"/>
        <item x="986"/>
        <item x="580"/>
        <item x="232"/>
        <item x="1283"/>
        <item x="935"/>
        <item x="1290"/>
        <item x="450"/>
        <item x="138"/>
        <item x="493"/>
        <item x="1423"/>
        <item x="1392"/>
        <item x="1273"/>
        <item x="464"/>
        <item x="699"/>
        <item x="311"/>
        <item x="1232"/>
        <item x="341"/>
        <item x="1314"/>
        <item x="1264"/>
        <item x="876"/>
        <item x="1293"/>
        <item x="291"/>
        <item x="1027"/>
        <item x="1147"/>
        <item x="755"/>
        <item x="1401"/>
        <item x="869"/>
        <item x="1090"/>
        <item x="1057"/>
        <item x="27"/>
        <item x="1013"/>
        <item x="907"/>
        <item x="160"/>
        <item x="1036"/>
        <item x="723"/>
        <item x="336"/>
        <item x="1268"/>
        <item x="534"/>
        <item x="582"/>
        <item x="318"/>
        <item x="809"/>
        <item x="1119"/>
        <item x="53"/>
        <item x="1393"/>
        <item x="1005"/>
        <item x="179"/>
        <item x="951"/>
        <item x="1218"/>
        <item x="716"/>
        <item x="438"/>
        <item x="1088"/>
        <item x="1411"/>
        <item x="1448"/>
        <item x="1000"/>
        <item x="189"/>
        <item x="611"/>
        <item x="618"/>
        <item x="1085"/>
        <item x="965"/>
        <item x="339"/>
        <item x="1441"/>
        <item x="709"/>
        <item x="1152"/>
        <item x="427"/>
        <item x="1066"/>
        <item x="266"/>
        <item x="1210"/>
        <item x="700"/>
        <item x="1439"/>
        <item x="593"/>
        <item x="813"/>
        <item x="296"/>
        <item x="702"/>
        <item x="825"/>
        <item x="784"/>
        <item x="921"/>
        <item x="831"/>
        <item x="193"/>
        <item x="657"/>
        <item x="1024"/>
        <item x="154"/>
        <item x="1200"/>
        <item x="501"/>
        <item x="17"/>
        <item x="1352"/>
        <item x="768"/>
        <item x="1259"/>
        <item x="1361"/>
        <item x="801"/>
        <item x="1489"/>
        <item x="521"/>
        <item x="492"/>
        <item x="1017"/>
        <item x="344"/>
        <item x="282"/>
        <item x="666"/>
        <item x="614"/>
        <item x="202"/>
        <item x="1157"/>
        <item x="1434"/>
        <item x="829"/>
        <item x="741"/>
        <item x="864"/>
        <item x="1201"/>
        <item x="1341"/>
        <item x="1427"/>
        <item x="376"/>
        <item x="1324"/>
        <item x="1224"/>
        <item x="256"/>
        <item x="798"/>
        <item x="167"/>
        <item x="331"/>
        <item x="29"/>
        <item x="635"/>
        <item x="834"/>
        <item x="39"/>
        <item x="1093"/>
        <item x="522"/>
        <item x="857"/>
        <item x="800"/>
        <item x="1060"/>
        <item x="393"/>
        <item x="1095"/>
        <item x="525"/>
        <item x="1412"/>
        <item x="936"/>
        <item x="899"/>
        <item x="1274"/>
        <item x="630"/>
        <item x="1191"/>
        <item x="1339"/>
        <item x="392"/>
        <item x="566"/>
        <item x="838"/>
        <item x="983"/>
        <item x="489"/>
        <item x="844"/>
        <item x="210"/>
        <item x="431"/>
        <item x="371"/>
        <item x="240"/>
        <item x="307"/>
        <item x="1231"/>
        <item x="1479"/>
        <item x="1096"/>
        <item x="711"/>
        <item x="1295"/>
        <item x="1035"/>
        <item x="785"/>
        <item x="1132"/>
        <item x="874"/>
        <item x="641"/>
        <item x="1444"/>
        <item x="324"/>
        <item x="1342"/>
        <item x="190"/>
        <item x="1151"/>
        <item x="56"/>
        <item x="366"/>
        <item x="1222"/>
        <item x="805"/>
        <item x="346"/>
        <item x="651"/>
        <item x="1227"/>
        <item x="1470"/>
        <item x="422"/>
        <item x="1496"/>
        <item x="1103"/>
        <item x="558"/>
        <item x="511"/>
        <item x="1311"/>
        <item x="65"/>
        <item x="169"/>
        <item x="890"/>
        <item x="194"/>
        <item x="889"/>
        <item x="659"/>
        <item x="1047"/>
        <item x="1160"/>
        <item x="979"/>
        <item x="538"/>
        <item x="733"/>
        <item x="1404"/>
        <item x="107"/>
        <item x="242"/>
        <item x="1010"/>
        <item x="806"/>
        <item x="109"/>
        <item x="845"/>
        <item x="157"/>
        <item x="682"/>
        <item x="1002"/>
        <item x="818"/>
        <item x="250"/>
        <item x="172"/>
        <item x="1113"/>
        <item x="316"/>
        <item x="332"/>
        <item x="1174"/>
        <item x="203"/>
        <item x="294"/>
        <item x="1286"/>
        <item x="764"/>
        <item x="153"/>
        <item x="1056"/>
        <item x="1076"/>
        <item x="759"/>
        <item x="274"/>
        <item x="573"/>
        <item x="1260"/>
        <item x="444"/>
        <item x="456"/>
        <item x="310"/>
        <item x="987"/>
        <item x="588"/>
        <item x="1193"/>
        <item x="1164"/>
        <item x="1029"/>
        <item x="312"/>
        <item x="888"/>
        <item x="165"/>
        <item x="781"/>
        <item x="1304"/>
        <item x="1381"/>
        <item x="1486"/>
        <item x="594"/>
        <item x="428"/>
        <item x="1257"/>
        <item x="416"/>
        <item x="272"/>
        <item x="1465"/>
        <item x="585"/>
        <item x="384"/>
        <item x="1400"/>
        <item x="429"/>
        <item x="1409"/>
        <item x="871"/>
        <item x="908"/>
        <item x="946"/>
        <item x="745"/>
        <item x="721"/>
        <item x="807"/>
        <item x="1396"/>
        <item x="241"/>
        <item x="518"/>
        <item x="184"/>
        <item x="340"/>
        <item x="1263"/>
        <item x="884"/>
        <item x="24"/>
        <item x="1007"/>
        <item x="976"/>
        <item x="945"/>
        <item x="1162"/>
        <item x="134"/>
        <item x="1338"/>
        <item x="966"/>
        <item x="942"/>
        <item x="1205"/>
        <item x="1213"/>
        <item x="509"/>
        <item x="1023"/>
        <item x="249"/>
        <item x="43"/>
        <item x="725"/>
        <item x="1459"/>
        <item x="409"/>
        <item x="305"/>
        <item x="961"/>
        <item x="1237"/>
        <item x="104"/>
        <item x="1133"/>
        <item x="993"/>
        <item x="354"/>
        <item x="229"/>
        <item x="756"/>
        <item x="568"/>
        <item x="195"/>
        <item x="145"/>
        <item x="9"/>
        <item x="900"/>
        <item x="1266"/>
        <item x="1413"/>
        <item x="390"/>
        <item x="930"/>
        <item x="506"/>
        <item x="605"/>
        <item x="460"/>
        <item x="91"/>
        <item x="70"/>
        <item x="200"/>
        <item x="155"/>
        <item x="1112"/>
        <item x="163"/>
        <item x="1170"/>
        <item x="929"/>
        <item x="760"/>
        <item x="1028"/>
        <item x="685"/>
        <item x="442"/>
        <item x="126"/>
        <item x="322"/>
        <item x="1046"/>
        <item x="595"/>
        <item x="99"/>
        <item x="359"/>
        <item x="875"/>
        <item x="485"/>
        <item x="519"/>
        <item x="574"/>
        <item x="1074"/>
        <item x="1075"/>
        <item x="543"/>
        <item x="334"/>
        <item x="860"/>
        <item x="287"/>
        <item x="1383"/>
        <item x="412"/>
        <item x="1252"/>
        <item x="1189"/>
        <item x="862"/>
        <item x="918"/>
        <item x="321"/>
        <item x="1073"/>
        <item x="255"/>
        <item x="1371"/>
        <item x="697"/>
        <item x="278"/>
        <item x="619"/>
        <item x="1443"/>
        <item x="811"/>
        <item x="352"/>
        <item x="1395"/>
        <item x="841"/>
        <item x="1158"/>
        <item x="397"/>
        <item x="1179"/>
        <item x="333"/>
        <item x="530"/>
        <item x="474"/>
        <item x="960"/>
        <item x="1309"/>
        <item x="956"/>
        <item x="299"/>
        <item x="1207"/>
        <item x="891"/>
        <item x="751"/>
        <item x="1475"/>
        <item x="1348"/>
        <item x="1447"/>
        <item x="383"/>
        <item x="1358"/>
        <item x="76"/>
        <item x="1208"/>
        <item x="913"/>
        <item x="108"/>
        <item x="303"/>
        <item x="708"/>
        <item x="284"/>
        <item x="452"/>
        <item x="849"/>
        <item x="507"/>
        <item x="1068"/>
        <item x="712"/>
        <item x="398"/>
        <item x="1487"/>
        <item x="30"/>
        <item x="1163"/>
        <item x="1221"/>
        <item x="222"/>
        <item x="640"/>
        <item x="1091"/>
        <item x="926"/>
        <item x="691"/>
        <item x="328"/>
        <item x="1247"/>
        <item x="528"/>
        <item x="209"/>
        <item x="1003"/>
        <item x="1374"/>
        <item x="122"/>
        <item x="243"/>
        <item x="728"/>
        <item x="351"/>
        <item x="408"/>
        <item x="1421"/>
        <item x="1148"/>
        <item x="161"/>
        <item x="1049"/>
        <item x="713"/>
        <item x="672"/>
        <item x="975"/>
        <item x="118"/>
        <item x="893"/>
        <item x="59"/>
        <item x="187"/>
        <item x="1050"/>
        <item x="10"/>
        <item x="1463"/>
        <item x="940"/>
        <item x="1226"/>
        <item x="1115"/>
        <item x="251"/>
        <item x="396"/>
        <item x="905"/>
        <item x="1034"/>
        <item x="797"/>
        <item x="554"/>
        <item x="546"/>
        <item x="48"/>
        <item x="1165"/>
        <item x="15"/>
        <item x="757"/>
        <item x="878"/>
        <item x="1446"/>
        <item x="765"/>
        <item x="846"/>
        <item x="1137"/>
        <item x="323"/>
        <item x="395"/>
        <item x="1177"/>
        <item x="1253"/>
        <item x="1171"/>
        <item x="766"/>
        <item x="1433"/>
        <item x="512"/>
        <item x="1064"/>
        <item x="812"/>
        <item x="1071"/>
        <item x="87"/>
        <item x="503"/>
        <item x="461"/>
        <item x="212"/>
        <item x="885"/>
        <item x="1330"/>
        <item x="32"/>
        <item x="1236"/>
        <item x="319"/>
        <item x="1142"/>
        <item x="843"/>
        <item x="1198"/>
        <item x="520"/>
        <item x="458"/>
        <item x="326"/>
        <item x="828"/>
        <item x="191"/>
        <item x="1211"/>
        <item x="355"/>
        <item x="1209"/>
        <item x="642"/>
        <item x="276"/>
        <item x="1468"/>
        <item x="1391"/>
        <item x="909"/>
        <item x="1087"/>
        <item x="660"/>
        <item x="233"/>
        <item x="693"/>
        <item x="33"/>
        <item x="1197"/>
        <item x="457"/>
        <item x="603"/>
        <item x="584"/>
        <item x="612"/>
        <item x="441"/>
        <item x="88"/>
        <item x="1009"/>
        <item x="1414"/>
        <item x="1474"/>
        <item x="44"/>
        <item x="1357"/>
        <item x="1021"/>
        <item x="1498"/>
        <item x="631"/>
        <item x="962"/>
        <item x="1356"/>
        <item x="910"/>
        <item x="1485"/>
        <item x="1186"/>
        <item x="380"/>
        <item x="583"/>
        <item x="144"/>
        <item x="689"/>
        <item x="84"/>
        <item x="1006"/>
        <item x="1131"/>
        <item x="1233"/>
        <item x="903"/>
        <item x="967"/>
        <item x="1183"/>
        <item x="1333"/>
        <item x="239"/>
        <item x="115"/>
        <item x="426"/>
        <item x="164"/>
        <item x="1080"/>
        <item x="6"/>
        <item x="684"/>
        <item x="774"/>
        <item x="1344"/>
        <item x="120"/>
        <item x="228"/>
        <item x="1386"/>
        <item x="1364"/>
        <item x="21"/>
        <item x="779"/>
        <item x="363"/>
        <item x="1106"/>
        <item x="1033"/>
        <item x="82"/>
        <item x="421"/>
        <item x="170"/>
        <item x="608"/>
        <item x="367"/>
        <item x="904"/>
        <item x="491"/>
        <item x="1453"/>
        <item x="466"/>
        <item x="114"/>
        <item x="158"/>
        <item x="72"/>
        <item x="1370"/>
        <item x="111"/>
        <item x="867"/>
        <item x="273"/>
        <item x="1294"/>
        <item x="473"/>
        <item x="101"/>
        <item x="791"/>
        <item x="678"/>
        <item x="213"/>
        <item x="1276"/>
        <item x="763"/>
        <item x="365"/>
        <item x="472"/>
        <item x="119"/>
        <item x="31"/>
        <item x="1337"/>
        <item x="1462"/>
        <item x="1493"/>
        <item x="1312"/>
        <item x="596"/>
        <item x="1410"/>
        <item x="856"/>
        <item x="1114"/>
        <item x="1269"/>
        <item x="1135"/>
        <item x="80"/>
        <item x="1215"/>
        <item x="350"/>
        <item x="1422"/>
        <item x="1331"/>
        <item x="71"/>
        <item x="872"/>
        <item x="469"/>
        <item x="205"/>
        <item x="1306"/>
        <item x="1449"/>
        <item x="1461"/>
        <item x="185"/>
        <item x="924"/>
        <item x="286"/>
        <item x="667"/>
        <item x="1405"/>
        <item x="578"/>
        <item x="1270"/>
        <item x="923"/>
        <item x="150"/>
        <item x="304"/>
        <item x="726"/>
        <item x="1378"/>
        <item x="147"/>
        <item x="1194"/>
        <item x="1041"/>
        <item x="313"/>
        <item x="407"/>
        <item x="93"/>
        <item x="1219"/>
        <item x="1299"/>
        <item x="162"/>
        <item x="1279"/>
        <item x="1345"/>
        <item x="814"/>
        <item x="563"/>
        <item x="92"/>
        <item x="895"/>
        <item x="934"/>
        <item x="347"/>
        <item x="196"/>
        <item x="670"/>
        <item x="264"/>
        <item x="827"/>
        <item x="1184"/>
        <item x="524"/>
        <item x="468"/>
        <item x="767"/>
        <item x="1477"/>
        <item x="823"/>
        <item x="696"/>
        <item x="1438"/>
        <item x="260"/>
        <item x="788"/>
        <item x="40"/>
        <item x="1061"/>
        <item x="314"/>
        <item x="939"/>
        <item x="54"/>
        <item x="20"/>
        <item x="822"/>
        <item x="744"/>
        <item x="1408"/>
        <item x="1141"/>
        <item x="382"/>
        <item x="1379"/>
        <item x="343"/>
        <item x="139"/>
        <item x="420"/>
        <item x="523"/>
        <item x="1070"/>
        <item x="140"/>
        <item x="638"/>
        <item x="504"/>
        <item x="1255"/>
        <item x="513"/>
        <item x="692"/>
        <item x="1426"/>
        <item x="1458"/>
        <item x="1052"/>
        <item x="381"/>
        <item x="362"/>
        <item x="1280"/>
        <item x="1030"/>
        <item x="775"/>
        <item x="1048"/>
        <item x="199"/>
        <item x="599"/>
        <item x="803"/>
        <item x="736"/>
        <item x="928"/>
        <item x="982"/>
        <item x="615"/>
        <item x="817"/>
        <item x="1466"/>
        <item x="1248"/>
        <item x="1101"/>
        <item x="932"/>
        <item x="673"/>
        <item x="415"/>
        <item x="348"/>
        <item x="335"/>
        <item x="920"/>
        <item x="281"/>
        <item x="980"/>
        <item x="1327"/>
        <item x="771"/>
        <item x="1092"/>
        <item x="309"/>
        <item x="361"/>
        <item x="131"/>
        <item x="1258"/>
        <item x="579"/>
        <item x="717"/>
        <item x="28"/>
        <item x="795"/>
        <item x="337"/>
        <item x="183"/>
        <item x="173"/>
        <item x="280"/>
        <item x="958"/>
        <item x="1451"/>
        <item x="69"/>
        <item x="1123"/>
        <item x="1012"/>
        <item x="1261"/>
        <item x="484"/>
        <item x="42"/>
        <item x="564"/>
        <item x="1175"/>
        <item x="623"/>
        <item x="815"/>
        <item x="858"/>
        <item x="434"/>
        <item x="486"/>
        <item x="609"/>
        <item x="327"/>
        <item x="225"/>
        <item x="3"/>
        <item x="1188"/>
        <item x="1126"/>
        <item x="432"/>
        <item x="943"/>
        <item x="1217"/>
        <item x="1431"/>
        <item x="1225"/>
        <item x="753"/>
        <item x="671"/>
        <item x="1350"/>
        <item x="1365"/>
        <item x="541"/>
        <item x="877"/>
        <item x="1328"/>
        <item x="919"/>
        <item x="567"/>
        <item x="604"/>
        <item x="1118"/>
        <item x="1367"/>
        <item x="1382"/>
        <item x="734"/>
        <item x="1457"/>
        <item x="1065"/>
        <item x="508"/>
        <item x="283"/>
        <item x="1491"/>
        <item x="356"/>
        <item x="342"/>
        <item x="1051"/>
        <item x="1310"/>
        <item x="832"/>
        <item x="446"/>
        <item x="515"/>
        <item x="679"/>
        <item x="252"/>
        <item x="368"/>
        <item x="7"/>
        <item x="881"/>
        <item x="1277"/>
        <item x="694"/>
        <item x="590"/>
        <item x="224"/>
        <item x="1105"/>
        <item x="64"/>
        <item x="411"/>
        <item x="208"/>
        <item x="887"/>
        <item x="1349"/>
        <item x="1387"/>
        <item x="617"/>
        <item x="1196"/>
        <item x="1204"/>
        <item x="761"/>
        <item x="152"/>
        <item x="586"/>
        <item x="18"/>
        <item x="106"/>
        <item x="739"/>
        <item x="374"/>
        <item x="402"/>
        <item x="1156"/>
        <item x="990"/>
        <item x="37"/>
        <item x="375"/>
        <item x="1011"/>
        <item x="372"/>
        <item x="539"/>
        <item x="1166"/>
        <item x="188"/>
        <item x="616"/>
        <item x="1360"/>
        <item x="1019"/>
        <item x="847"/>
        <item x="1497"/>
        <item x="112"/>
        <item x="1495"/>
        <item x="14"/>
        <item x="247"/>
        <item x="1043"/>
        <item x="498"/>
        <item x="1429"/>
        <item x="1181"/>
        <item x="536"/>
        <item x="654"/>
        <item x="938"/>
        <item x="1026"/>
        <item x="1220"/>
        <item x="1037"/>
        <item x="370"/>
        <item x="358"/>
        <item x="1229"/>
        <item x="1435"/>
        <item x="226"/>
        <item x="1120"/>
        <item x="868"/>
        <item x="1329"/>
        <item x="289"/>
        <item x="1121"/>
        <item x="897"/>
        <item x="58"/>
        <item x="1281"/>
        <item x="625"/>
        <item x="216"/>
        <item x="46"/>
        <item x="1484"/>
        <item x="1185"/>
        <item x="1347"/>
        <item x="425"/>
        <item x="176"/>
        <item x="1419"/>
        <item x="833"/>
        <item x="1385"/>
        <item x="433"/>
        <item x="94"/>
        <item x="141"/>
        <item x="1245"/>
        <item x="646"/>
        <item x="234"/>
        <item x="1282"/>
        <item x="1297"/>
        <item x="561"/>
        <item x="403"/>
        <item x="991"/>
        <item x="502"/>
        <item x="911"/>
        <item x="1192"/>
        <item x="1403"/>
        <item x="495"/>
        <item x="1445"/>
        <item x="149"/>
        <item x="1172"/>
        <item x="385"/>
        <item x="11"/>
        <item x="1042"/>
        <item x="549"/>
        <item x="288"/>
        <item x="74"/>
        <item x="944"/>
        <item x="747"/>
        <item x="110"/>
        <item x="246"/>
        <item x="1176"/>
        <item x="1473"/>
        <item x="1305"/>
        <item x="206"/>
        <item x="1368"/>
        <item x="459"/>
        <item x="1094"/>
        <item x="569"/>
        <item x="61"/>
        <item x="275"/>
        <item x="985"/>
        <item x="819"/>
        <item x="483"/>
        <item x="1187"/>
        <item x="1111"/>
        <item x="63"/>
        <item x="947"/>
        <item x="386"/>
        <item x="837"/>
        <item x="353"/>
        <item x="364"/>
        <item x="1302"/>
        <item x="553"/>
        <item x="440"/>
        <item x="1084"/>
        <item x="1436"/>
        <item x="447"/>
        <item x="1117"/>
        <item x="1168"/>
        <item x="1"/>
        <item x="1301"/>
        <item x="551"/>
        <item x="866"/>
        <item x="953"/>
        <item x="516"/>
        <item x="100"/>
        <item x="542"/>
        <item x="701"/>
        <item x="787"/>
        <item x="690"/>
        <item x="1267"/>
        <item x="927"/>
        <item x="628"/>
        <item x="1234"/>
        <item x="499"/>
        <item x="253"/>
        <item x="606"/>
        <item x="859"/>
        <item x="132"/>
        <item x="419"/>
        <item x="973"/>
        <item x="417"/>
        <item x="62"/>
        <item x="77"/>
        <item x="1490"/>
        <item t="default"/>
      </items>
    </pivotField>
    <pivotField showAll="0">
      <items count="6">
        <item x="4"/>
        <item x="1"/>
        <item x="2"/>
        <item x="0"/>
        <item x="3"/>
        <item t="default"/>
      </items>
    </pivotField>
    <pivotField axis="axisRow" showAll="0">
      <items count="8">
        <item x="0"/>
        <item x="4"/>
        <item x="6"/>
        <item x="5"/>
        <item x="1"/>
        <item x="2"/>
        <item x="3"/>
        <item t="default"/>
      </items>
    </pivotField>
    <pivotField showAll="0"/>
    <pivotField showAll="0"/>
    <pivotField showAll="0">
      <items count="7">
        <item x="3"/>
        <item x="0"/>
        <item x="5"/>
        <item x="2"/>
        <item x="4"/>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Count of Order_ID" fld="0" subtotal="count" baseField="0" baseItem="0"/>
  </dataFields>
  <chartFormats count="8">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6" count="1" selected="0">
            <x v="0"/>
          </reference>
        </references>
      </pivotArea>
    </chartFormat>
    <chartFormat chart="6" format="1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2">
          <reference field="4294967294" count="1" selected="0">
            <x v="0"/>
          </reference>
          <reference field="6" count="1" selected="0">
            <x v="2"/>
          </reference>
        </references>
      </pivotArea>
    </chartFormat>
    <chartFormat chart="6" format="13">
      <pivotArea type="data" outline="0" fieldPosition="0">
        <references count="2">
          <reference field="4294967294" count="1" selected="0">
            <x v="0"/>
          </reference>
          <reference field="6" count="1" selected="0">
            <x v="3"/>
          </reference>
        </references>
      </pivotArea>
    </chartFormat>
    <chartFormat chart="6" format="14">
      <pivotArea type="data" outline="0" fieldPosition="0">
        <references count="2">
          <reference field="4294967294" count="1" selected="0">
            <x v="0"/>
          </reference>
          <reference field="6" count="1" selected="0">
            <x v="4"/>
          </reference>
        </references>
      </pivotArea>
    </chartFormat>
    <chartFormat chart="6" format="15">
      <pivotArea type="data" outline="0" fieldPosition="0">
        <references count="2">
          <reference field="4294967294" count="1" selected="0">
            <x v="0"/>
          </reference>
          <reference field="6" count="1" selected="0">
            <x v="5"/>
          </reference>
        </references>
      </pivotArea>
    </chartFormat>
    <chartFormat chart="6"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E27CCC-4DE5-4E2E-8BF9-97BF83E755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B5:C11" firstHeaderRow="1" firstDataRow="1" firstDataCol="1"/>
  <pivotFields count="15">
    <pivotField showAll="0"/>
    <pivotField showAll="0"/>
    <pivotField showAll="0"/>
    <pivotField showAll="0"/>
    <pivotField showAll="0">
      <items count="1500">
        <item x="545"/>
        <item x="531"/>
        <item x="681"/>
        <item x="821"/>
        <item x="648"/>
        <item x="1230"/>
        <item x="298"/>
        <item x="1250"/>
        <item x="12"/>
        <item x="1082"/>
        <item x="330"/>
        <item x="676"/>
        <item x="217"/>
        <item x="550"/>
        <item x="1346"/>
        <item x="998"/>
        <item x="680"/>
        <item x="668"/>
        <item x="995"/>
        <item x="454"/>
        <item x="835"/>
        <item x="1471"/>
        <item x="730"/>
        <item x="627"/>
        <item x="649"/>
        <item x="1307"/>
        <item x="592"/>
        <item x="1284"/>
        <item x="1139"/>
        <item x="1182"/>
        <item x="600"/>
        <item x="1079"/>
        <item x="227"/>
        <item x="127"/>
        <item x="1384"/>
        <item x="230"/>
        <item x="1212"/>
        <item x="1098"/>
        <item x="1456"/>
        <item x="1081"/>
        <item x="1110"/>
        <item x="851"/>
        <item x="950"/>
        <item x="796"/>
        <item x="994"/>
        <item x="802"/>
        <item x="117"/>
        <item x="401"/>
        <item x="95"/>
        <item x="677"/>
        <item x="388"/>
        <item x="306"/>
        <item x="770"/>
        <item x="581"/>
        <item x="968"/>
        <item x="413"/>
        <item x="786"/>
        <item x="463"/>
        <item x="978"/>
        <item x="772"/>
        <item x="746"/>
        <item x="1397"/>
        <item x="248"/>
        <item x="265"/>
        <item x="103"/>
        <item x="478"/>
        <item x="971"/>
        <item x="125"/>
        <item x="215"/>
        <item x="850"/>
        <item x="130"/>
        <item x="752"/>
        <item x="653"/>
        <item x="1214"/>
        <item x="26"/>
        <item x="1375"/>
        <item x="793"/>
        <item x="1104"/>
        <item x="1077"/>
        <item x="174"/>
        <item x="1150"/>
        <item x="1319"/>
        <item x="1488"/>
        <item x="1351"/>
        <item x="1407"/>
        <item x="258"/>
        <item x="916"/>
        <item x="742"/>
        <item x="400"/>
        <item x="688"/>
        <item x="1359"/>
        <item x="373"/>
        <item x="1154"/>
        <item x="1235"/>
        <item x="663"/>
        <item x="650"/>
        <item x="1244"/>
        <item x="1389"/>
        <item x="526"/>
        <item x="151"/>
        <item x="1303"/>
        <item x="840"/>
        <item x="1251"/>
        <item x="1107"/>
        <item x="1108"/>
        <item x="743"/>
        <item x="972"/>
        <item x="948"/>
        <item x="1202"/>
        <item x="5"/>
        <item x="722"/>
        <item x="8"/>
        <item x="661"/>
        <item x="171"/>
        <item x="540"/>
        <item x="1195"/>
        <item x="277"/>
        <item x="863"/>
        <item x="1058"/>
        <item x="453"/>
        <item x="1420"/>
        <item x="1287"/>
        <item x="1288"/>
        <item x="794"/>
        <item x="624"/>
        <item x="89"/>
        <item x="963"/>
        <item x="1067"/>
        <item x="620"/>
        <item x="970"/>
        <item x="773"/>
        <item x="1022"/>
        <item x="686"/>
        <item x="497"/>
        <item x="602"/>
        <item x="214"/>
        <item x="488"/>
        <item x="223"/>
        <item x="902"/>
        <item x="1292"/>
        <item x="320"/>
        <item x="1180"/>
        <item x="637"/>
        <item x="1015"/>
        <item x="517"/>
        <item x="1388"/>
        <item x="1089"/>
        <item x="738"/>
        <item x="1424"/>
        <item x="399"/>
        <item x="1335"/>
        <item x="664"/>
        <item x="102"/>
        <item x="562"/>
        <item x="1053"/>
        <item x="591"/>
        <item x="1372"/>
        <item x="598"/>
        <item x="98"/>
        <item x="1376"/>
        <item x="292"/>
        <item x="1332"/>
        <item x="853"/>
        <item x="1390"/>
        <item x="360"/>
        <item x="737"/>
        <item x="1144"/>
        <item x="1316"/>
        <item x="704"/>
        <item x="279"/>
        <item x="1199"/>
        <item x="695"/>
        <item x="262"/>
        <item x="1455"/>
        <item x="269"/>
        <item x="639"/>
        <item x="78"/>
        <item x="658"/>
        <item x="168"/>
        <item x="1206"/>
        <item x="917"/>
        <item x="882"/>
        <item x="75"/>
        <item x="1362"/>
        <item x="254"/>
        <item x="462"/>
        <item x="607"/>
        <item x="577"/>
        <item x="735"/>
        <item x="290"/>
        <item x="898"/>
        <item x="435"/>
        <item x="758"/>
        <item x="1394"/>
        <item x="922"/>
        <item x="45"/>
        <item x="621"/>
        <item x="480"/>
        <item x="556"/>
        <item x="1140"/>
        <item x="959"/>
        <item x="19"/>
        <item x="544"/>
        <item x="1469"/>
        <item x="1143"/>
        <item x="1216"/>
        <item x="514"/>
        <item x="308"/>
        <item x="257"/>
        <item x="879"/>
        <item x="870"/>
        <item x="1039"/>
        <item x="236"/>
        <item x="1425"/>
        <item x="954"/>
        <item x="378"/>
        <item x="192"/>
        <item x="527"/>
        <item x="933"/>
        <item x="571"/>
        <item x="1149"/>
        <item x="1430"/>
        <item x="808"/>
        <item x="129"/>
        <item x="1008"/>
        <item x="557"/>
        <item x="1086"/>
        <item x="645"/>
        <item x="1296"/>
        <item x="476"/>
        <item x="683"/>
        <item x="1369"/>
        <item x="389"/>
        <item x="1125"/>
        <item x="377"/>
        <item x="1285"/>
        <item x="297"/>
        <item x="707"/>
        <item x="1128"/>
        <item x="839"/>
        <item x="706"/>
        <item x="369"/>
        <item x="1243"/>
        <item x="1014"/>
        <item x="1109"/>
        <item x="804"/>
        <item x="79"/>
        <item x="1167"/>
        <item x="35"/>
        <item x="1178"/>
        <item x="470"/>
        <item x="1228"/>
        <item x="1418"/>
        <item x="424"/>
        <item x="471"/>
        <item x="430"/>
        <item x="1353"/>
        <item x="1153"/>
        <item x="391"/>
        <item x="883"/>
        <item x="1278"/>
        <item x="622"/>
        <item x="85"/>
        <item x="634"/>
        <item x="113"/>
        <item x="481"/>
        <item x="437"/>
        <item x="181"/>
        <item x="714"/>
        <item x="1318"/>
        <item x="1240"/>
        <item x="552"/>
        <item x="710"/>
        <item x="1055"/>
        <item x="529"/>
        <item x="1246"/>
        <item x="572"/>
        <item x="977"/>
        <item x="633"/>
        <item x="740"/>
        <item x="1256"/>
        <item x="820"/>
        <item x="1040"/>
        <item x="1428"/>
        <item x="698"/>
        <item x="1072"/>
        <item x="301"/>
        <item x="90"/>
        <item x="547"/>
        <item x="996"/>
        <item x="533"/>
        <item x="1265"/>
        <item x="955"/>
        <item x="436"/>
        <item x="1467"/>
        <item x="67"/>
        <item x="1249"/>
        <item x="560"/>
        <item x="810"/>
        <item x="455"/>
        <item x="329"/>
        <item x="496"/>
        <item x="705"/>
        <item x="105"/>
        <item x="2"/>
        <item x="1059"/>
        <item x="559"/>
        <item x="1124"/>
        <item x="443"/>
        <item x="218"/>
        <item x="1155"/>
        <item x="1025"/>
        <item x="729"/>
        <item x="575"/>
        <item x="317"/>
        <item x="137"/>
        <item x="211"/>
        <item x="1406"/>
        <item x="789"/>
        <item x="1402"/>
        <item x="1062"/>
        <item x="268"/>
        <item x="143"/>
        <item x="197"/>
        <item x="1478"/>
        <item x="719"/>
        <item x="912"/>
        <item x="931"/>
        <item x="652"/>
        <item x="237"/>
        <item x="156"/>
        <item x="1464"/>
        <item x="220"/>
        <item x="387"/>
        <item x="896"/>
        <item x="1373"/>
        <item x="873"/>
        <item x="201"/>
        <item x="1116"/>
        <item x="1326"/>
        <item x="295"/>
        <item x="68"/>
        <item x="1437"/>
        <item x="1325"/>
        <item x="123"/>
        <item x="613"/>
        <item x="644"/>
        <item x="13"/>
        <item x="1398"/>
        <item x="715"/>
        <item x="964"/>
        <item x="776"/>
        <item x="1169"/>
        <item x="406"/>
        <item x="60"/>
        <item x="1336"/>
        <item x="1134"/>
        <item x="855"/>
        <item x="1415"/>
        <item x="1322"/>
        <item x="984"/>
        <item x="36"/>
        <item x="629"/>
        <item x="270"/>
        <item x="988"/>
        <item x="83"/>
        <item x="1097"/>
        <item x="565"/>
        <item x="861"/>
        <item x="914"/>
        <item x="643"/>
        <item x="632"/>
        <item x="842"/>
        <item x="449"/>
        <item x="1363"/>
        <item x="1440"/>
        <item x="1102"/>
        <item x="467"/>
        <item x="315"/>
        <item x="854"/>
        <item x="782"/>
        <item x="941"/>
        <item x="748"/>
        <item x="597"/>
        <item x="1317"/>
        <item x="448"/>
        <item x="997"/>
        <item x="724"/>
        <item x="626"/>
        <item x="1494"/>
        <item x="22"/>
        <item x="792"/>
        <item x="405"/>
        <item x="148"/>
        <item x="1450"/>
        <item x="23"/>
        <item x="981"/>
        <item x="1315"/>
        <item x="1254"/>
        <item x="235"/>
        <item x="1377"/>
        <item x="1275"/>
        <item x="1476"/>
        <item x="1063"/>
        <item x="1038"/>
        <item x="1173"/>
        <item x="349"/>
        <item x="1161"/>
        <item x="439"/>
        <item x="824"/>
        <item x="47"/>
        <item x="410"/>
        <item x="1334"/>
        <item x="38"/>
        <item x="25"/>
        <item x="451"/>
        <item x="302"/>
        <item x="445"/>
        <item x="124"/>
        <item x="1020"/>
        <item x="790"/>
        <item x="175"/>
        <item x="1242"/>
        <item x="1031"/>
        <item x="865"/>
        <item x="915"/>
        <item x="41"/>
        <item x="969"/>
        <item x="238"/>
        <item x="1432"/>
        <item x="1054"/>
        <item x="1239"/>
        <item x="1313"/>
        <item x="423"/>
        <item x="674"/>
        <item x="732"/>
        <item x="414"/>
        <item x="1129"/>
        <item x="1130"/>
        <item x="16"/>
        <item x="669"/>
        <item x="1078"/>
        <item x="338"/>
        <item x="799"/>
        <item x="81"/>
        <item x="1308"/>
        <item x="532"/>
        <item x="128"/>
        <item x="880"/>
        <item x="487"/>
        <item x="418"/>
        <item x="394"/>
        <item x="86"/>
        <item x="178"/>
        <item x="267"/>
        <item x="1136"/>
        <item x="1069"/>
        <item x="836"/>
        <item x="482"/>
        <item x="1272"/>
        <item x="1366"/>
        <item x="1100"/>
        <item x="1460"/>
        <item x="180"/>
        <item x="259"/>
        <item x="749"/>
        <item x="989"/>
        <item x="1340"/>
        <item x="601"/>
        <item x="718"/>
        <item x="1241"/>
        <item x="136"/>
        <item x="570"/>
        <item x="1271"/>
        <item x="73"/>
        <item x="475"/>
        <item x="1004"/>
        <item x="177"/>
        <item x="221"/>
        <item x="97"/>
        <item x="1343"/>
        <item x="1399"/>
        <item x="1480"/>
        <item x="780"/>
        <item x="731"/>
        <item x="66"/>
        <item x="1044"/>
        <item x="379"/>
        <item x="1416"/>
        <item x="826"/>
        <item x="1442"/>
        <item x="1032"/>
        <item x="116"/>
        <item x="1099"/>
        <item x="1045"/>
        <item x="655"/>
        <item x="1223"/>
        <item x="662"/>
        <item x="1203"/>
        <item x="1298"/>
        <item x="816"/>
        <item x="848"/>
        <item x="894"/>
        <item x="245"/>
        <item x="548"/>
        <item x="285"/>
        <item x="647"/>
        <item x="901"/>
        <item x="121"/>
        <item x="555"/>
        <item x="1481"/>
        <item x="219"/>
        <item x="1146"/>
        <item x="1483"/>
        <item x="135"/>
        <item x="1138"/>
        <item x="57"/>
        <item x="51"/>
        <item x="906"/>
        <item x="142"/>
        <item x="830"/>
        <item x="1300"/>
        <item x="783"/>
        <item x="4"/>
        <item x="587"/>
        <item x="1472"/>
        <item x="159"/>
        <item x="357"/>
        <item x="778"/>
        <item x="589"/>
        <item x="271"/>
        <item x="404"/>
        <item x="182"/>
        <item x="244"/>
        <item x="133"/>
        <item x="675"/>
        <item x="204"/>
        <item x="754"/>
        <item x="477"/>
        <item x="325"/>
        <item x="777"/>
        <item x="49"/>
        <item x="727"/>
        <item x="500"/>
        <item x="1083"/>
        <item x="1262"/>
        <item x="720"/>
        <item x="656"/>
        <item x="1190"/>
        <item x="762"/>
        <item x="537"/>
        <item x="1291"/>
        <item x="1417"/>
        <item x="999"/>
        <item x="96"/>
        <item x="1323"/>
        <item x="166"/>
        <item x="1238"/>
        <item x="207"/>
        <item x="1354"/>
        <item x="1145"/>
        <item x="1380"/>
        <item x="852"/>
        <item x="50"/>
        <item x="198"/>
        <item x="55"/>
        <item x="1018"/>
        <item x="479"/>
        <item x="892"/>
        <item x="1492"/>
        <item x="1454"/>
        <item x="886"/>
        <item x="1321"/>
        <item x="1482"/>
        <item x="937"/>
        <item x="1289"/>
        <item x="52"/>
        <item x="494"/>
        <item x="1159"/>
        <item x="293"/>
        <item x="949"/>
        <item x="957"/>
        <item x="505"/>
        <item x="992"/>
        <item x="261"/>
        <item x="300"/>
        <item x="769"/>
        <item x="0"/>
        <item x="1122"/>
        <item x="34"/>
        <item x="703"/>
        <item x="636"/>
        <item x="146"/>
        <item x="535"/>
        <item x="465"/>
        <item x="750"/>
        <item x="974"/>
        <item x="1001"/>
        <item x="231"/>
        <item x="925"/>
        <item x="1016"/>
        <item x="576"/>
        <item x="610"/>
        <item x="1320"/>
        <item x="510"/>
        <item x="687"/>
        <item x="1452"/>
        <item x="345"/>
        <item x="952"/>
        <item x="263"/>
        <item x="490"/>
        <item x="1355"/>
        <item x="1127"/>
        <item x="665"/>
        <item x="186"/>
        <item x="986"/>
        <item x="580"/>
        <item x="232"/>
        <item x="1283"/>
        <item x="935"/>
        <item x="1290"/>
        <item x="450"/>
        <item x="138"/>
        <item x="493"/>
        <item x="1423"/>
        <item x="1392"/>
        <item x="1273"/>
        <item x="464"/>
        <item x="699"/>
        <item x="311"/>
        <item x="1232"/>
        <item x="341"/>
        <item x="1314"/>
        <item x="1264"/>
        <item x="876"/>
        <item x="1293"/>
        <item x="291"/>
        <item x="1027"/>
        <item x="1147"/>
        <item x="755"/>
        <item x="1401"/>
        <item x="869"/>
        <item x="1090"/>
        <item x="1057"/>
        <item x="27"/>
        <item x="1013"/>
        <item x="907"/>
        <item x="160"/>
        <item x="1036"/>
        <item x="723"/>
        <item x="336"/>
        <item x="1268"/>
        <item x="534"/>
        <item x="582"/>
        <item x="318"/>
        <item x="809"/>
        <item x="1119"/>
        <item x="53"/>
        <item x="1393"/>
        <item x="1005"/>
        <item x="179"/>
        <item x="951"/>
        <item x="1218"/>
        <item x="716"/>
        <item x="438"/>
        <item x="1088"/>
        <item x="1411"/>
        <item x="1448"/>
        <item x="1000"/>
        <item x="189"/>
        <item x="611"/>
        <item x="618"/>
        <item x="1085"/>
        <item x="965"/>
        <item x="339"/>
        <item x="1441"/>
        <item x="709"/>
        <item x="1152"/>
        <item x="427"/>
        <item x="1066"/>
        <item x="266"/>
        <item x="1210"/>
        <item x="700"/>
        <item x="1439"/>
        <item x="593"/>
        <item x="813"/>
        <item x="296"/>
        <item x="702"/>
        <item x="825"/>
        <item x="784"/>
        <item x="921"/>
        <item x="831"/>
        <item x="193"/>
        <item x="657"/>
        <item x="1024"/>
        <item x="154"/>
        <item x="1200"/>
        <item x="501"/>
        <item x="17"/>
        <item x="1352"/>
        <item x="768"/>
        <item x="1259"/>
        <item x="1361"/>
        <item x="801"/>
        <item x="1489"/>
        <item x="521"/>
        <item x="492"/>
        <item x="1017"/>
        <item x="344"/>
        <item x="282"/>
        <item x="666"/>
        <item x="614"/>
        <item x="202"/>
        <item x="1157"/>
        <item x="1434"/>
        <item x="829"/>
        <item x="741"/>
        <item x="864"/>
        <item x="1201"/>
        <item x="1341"/>
        <item x="1427"/>
        <item x="376"/>
        <item x="1324"/>
        <item x="1224"/>
        <item x="256"/>
        <item x="798"/>
        <item x="167"/>
        <item x="331"/>
        <item x="29"/>
        <item x="635"/>
        <item x="834"/>
        <item x="39"/>
        <item x="1093"/>
        <item x="522"/>
        <item x="857"/>
        <item x="800"/>
        <item x="1060"/>
        <item x="393"/>
        <item x="1095"/>
        <item x="525"/>
        <item x="1412"/>
        <item x="936"/>
        <item x="899"/>
        <item x="1274"/>
        <item x="630"/>
        <item x="1191"/>
        <item x="1339"/>
        <item x="392"/>
        <item x="566"/>
        <item x="838"/>
        <item x="983"/>
        <item x="489"/>
        <item x="844"/>
        <item x="210"/>
        <item x="431"/>
        <item x="371"/>
        <item x="240"/>
        <item x="307"/>
        <item x="1231"/>
        <item x="1479"/>
        <item x="1096"/>
        <item x="711"/>
        <item x="1295"/>
        <item x="1035"/>
        <item x="785"/>
        <item x="1132"/>
        <item x="874"/>
        <item x="641"/>
        <item x="1444"/>
        <item x="324"/>
        <item x="1342"/>
        <item x="190"/>
        <item x="1151"/>
        <item x="56"/>
        <item x="366"/>
        <item x="1222"/>
        <item x="805"/>
        <item x="346"/>
        <item x="651"/>
        <item x="1227"/>
        <item x="1470"/>
        <item x="422"/>
        <item x="1496"/>
        <item x="1103"/>
        <item x="558"/>
        <item x="511"/>
        <item x="1311"/>
        <item x="65"/>
        <item x="169"/>
        <item x="890"/>
        <item x="194"/>
        <item x="889"/>
        <item x="659"/>
        <item x="1047"/>
        <item x="1160"/>
        <item x="979"/>
        <item x="538"/>
        <item x="733"/>
        <item x="1404"/>
        <item x="107"/>
        <item x="242"/>
        <item x="1010"/>
        <item x="806"/>
        <item x="109"/>
        <item x="845"/>
        <item x="157"/>
        <item x="682"/>
        <item x="1002"/>
        <item x="818"/>
        <item x="250"/>
        <item x="172"/>
        <item x="1113"/>
        <item x="316"/>
        <item x="332"/>
        <item x="1174"/>
        <item x="203"/>
        <item x="294"/>
        <item x="1286"/>
        <item x="764"/>
        <item x="153"/>
        <item x="1056"/>
        <item x="1076"/>
        <item x="759"/>
        <item x="274"/>
        <item x="573"/>
        <item x="1260"/>
        <item x="444"/>
        <item x="456"/>
        <item x="310"/>
        <item x="987"/>
        <item x="588"/>
        <item x="1193"/>
        <item x="1164"/>
        <item x="1029"/>
        <item x="312"/>
        <item x="888"/>
        <item x="165"/>
        <item x="781"/>
        <item x="1304"/>
        <item x="1381"/>
        <item x="1486"/>
        <item x="594"/>
        <item x="428"/>
        <item x="1257"/>
        <item x="416"/>
        <item x="272"/>
        <item x="1465"/>
        <item x="585"/>
        <item x="384"/>
        <item x="1400"/>
        <item x="429"/>
        <item x="1409"/>
        <item x="871"/>
        <item x="908"/>
        <item x="946"/>
        <item x="745"/>
        <item x="721"/>
        <item x="807"/>
        <item x="1396"/>
        <item x="241"/>
        <item x="518"/>
        <item x="184"/>
        <item x="340"/>
        <item x="1263"/>
        <item x="884"/>
        <item x="24"/>
        <item x="1007"/>
        <item x="976"/>
        <item x="945"/>
        <item x="1162"/>
        <item x="134"/>
        <item x="1338"/>
        <item x="966"/>
        <item x="942"/>
        <item x="1205"/>
        <item x="1213"/>
        <item x="509"/>
        <item x="1023"/>
        <item x="249"/>
        <item x="43"/>
        <item x="725"/>
        <item x="1459"/>
        <item x="409"/>
        <item x="305"/>
        <item x="961"/>
        <item x="1237"/>
        <item x="104"/>
        <item x="1133"/>
        <item x="993"/>
        <item x="354"/>
        <item x="229"/>
        <item x="756"/>
        <item x="568"/>
        <item x="195"/>
        <item x="145"/>
        <item x="9"/>
        <item x="900"/>
        <item x="1266"/>
        <item x="1413"/>
        <item x="390"/>
        <item x="930"/>
        <item x="506"/>
        <item x="605"/>
        <item x="460"/>
        <item x="91"/>
        <item x="70"/>
        <item x="200"/>
        <item x="155"/>
        <item x="1112"/>
        <item x="163"/>
        <item x="1170"/>
        <item x="929"/>
        <item x="760"/>
        <item x="1028"/>
        <item x="685"/>
        <item x="442"/>
        <item x="126"/>
        <item x="322"/>
        <item x="1046"/>
        <item x="595"/>
        <item x="99"/>
        <item x="359"/>
        <item x="875"/>
        <item x="485"/>
        <item x="519"/>
        <item x="574"/>
        <item x="1074"/>
        <item x="1075"/>
        <item x="543"/>
        <item x="334"/>
        <item x="860"/>
        <item x="287"/>
        <item x="1383"/>
        <item x="412"/>
        <item x="1252"/>
        <item x="1189"/>
        <item x="862"/>
        <item x="918"/>
        <item x="321"/>
        <item x="1073"/>
        <item x="255"/>
        <item x="1371"/>
        <item x="697"/>
        <item x="278"/>
        <item x="619"/>
        <item x="1443"/>
        <item x="811"/>
        <item x="352"/>
        <item x="1395"/>
        <item x="841"/>
        <item x="1158"/>
        <item x="397"/>
        <item x="1179"/>
        <item x="333"/>
        <item x="530"/>
        <item x="474"/>
        <item x="960"/>
        <item x="1309"/>
        <item x="956"/>
        <item x="299"/>
        <item x="1207"/>
        <item x="891"/>
        <item x="751"/>
        <item x="1475"/>
        <item x="1348"/>
        <item x="1447"/>
        <item x="383"/>
        <item x="1358"/>
        <item x="76"/>
        <item x="1208"/>
        <item x="913"/>
        <item x="108"/>
        <item x="303"/>
        <item x="708"/>
        <item x="284"/>
        <item x="452"/>
        <item x="849"/>
        <item x="507"/>
        <item x="1068"/>
        <item x="712"/>
        <item x="398"/>
        <item x="1487"/>
        <item x="30"/>
        <item x="1163"/>
        <item x="1221"/>
        <item x="222"/>
        <item x="640"/>
        <item x="1091"/>
        <item x="926"/>
        <item x="691"/>
        <item x="328"/>
        <item x="1247"/>
        <item x="528"/>
        <item x="209"/>
        <item x="1003"/>
        <item x="1374"/>
        <item x="122"/>
        <item x="243"/>
        <item x="728"/>
        <item x="351"/>
        <item x="408"/>
        <item x="1421"/>
        <item x="1148"/>
        <item x="161"/>
        <item x="1049"/>
        <item x="713"/>
        <item x="672"/>
        <item x="975"/>
        <item x="118"/>
        <item x="893"/>
        <item x="59"/>
        <item x="187"/>
        <item x="1050"/>
        <item x="10"/>
        <item x="1463"/>
        <item x="940"/>
        <item x="1226"/>
        <item x="1115"/>
        <item x="251"/>
        <item x="396"/>
        <item x="905"/>
        <item x="1034"/>
        <item x="797"/>
        <item x="554"/>
        <item x="546"/>
        <item x="48"/>
        <item x="1165"/>
        <item x="15"/>
        <item x="757"/>
        <item x="878"/>
        <item x="1446"/>
        <item x="765"/>
        <item x="846"/>
        <item x="1137"/>
        <item x="323"/>
        <item x="395"/>
        <item x="1177"/>
        <item x="1253"/>
        <item x="1171"/>
        <item x="766"/>
        <item x="1433"/>
        <item x="512"/>
        <item x="1064"/>
        <item x="812"/>
        <item x="1071"/>
        <item x="87"/>
        <item x="503"/>
        <item x="461"/>
        <item x="212"/>
        <item x="885"/>
        <item x="1330"/>
        <item x="32"/>
        <item x="1236"/>
        <item x="319"/>
        <item x="1142"/>
        <item x="843"/>
        <item x="1198"/>
        <item x="520"/>
        <item x="458"/>
        <item x="326"/>
        <item x="828"/>
        <item x="191"/>
        <item x="1211"/>
        <item x="355"/>
        <item x="1209"/>
        <item x="642"/>
        <item x="276"/>
        <item x="1468"/>
        <item x="1391"/>
        <item x="909"/>
        <item x="1087"/>
        <item x="660"/>
        <item x="233"/>
        <item x="693"/>
        <item x="33"/>
        <item x="1197"/>
        <item x="457"/>
        <item x="603"/>
        <item x="584"/>
        <item x="612"/>
        <item x="441"/>
        <item x="88"/>
        <item x="1009"/>
        <item x="1414"/>
        <item x="1474"/>
        <item x="44"/>
        <item x="1357"/>
        <item x="1021"/>
        <item x="1498"/>
        <item x="631"/>
        <item x="962"/>
        <item x="1356"/>
        <item x="910"/>
        <item x="1485"/>
        <item x="1186"/>
        <item x="380"/>
        <item x="583"/>
        <item x="144"/>
        <item x="689"/>
        <item x="84"/>
        <item x="1006"/>
        <item x="1131"/>
        <item x="1233"/>
        <item x="903"/>
        <item x="967"/>
        <item x="1183"/>
        <item x="1333"/>
        <item x="239"/>
        <item x="115"/>
        <item x="426"/>
        <item x="164"/>
        <item x="1080"/>
        <item x="6"/>
        <item x="684"/>
        <item x="774"/>
        <item x="1344"/>
        <item x="120"/>
        <item x="228"/>
        <item x="1386"/>
        <item x="1364"/>
        <item x="21"/>
        <item x="779"/>
        <item x="363"/>
        <item x="1106"/>
        <item x="1033"/>
        <item x="82"/>
        <item x="421"/>
        <item x="170"/>
        <item x="608"/>
        <item x="367"/>
        <item x="904"/>
        <item x="491"/>
        <item x="1453"/>
        <item x="466"/>
        <item x="114"/>
        <item x="158"/>
        <item x="72"/>
        <item x="1370"/>
        <item x="111"/>
        <item x="867"/>
        <item x="273"/>
        <item x="1294"/>
        <item x="473"/>
        <item x="101"/>
        <item x="791"/>
        <item x="678"/>
        <item x="213"/>
        <item x="1276"/>
        <item x="763"/>
        <item x="365"/>
        <item x="472"/>
        <item x="119"/>
        <item x="31"/>
        <item x="1337"/>
        <item x="1462"/>
        <item x="1493"/>
        <item x="1312"/>
        <item x="596"/>
        <item x="1410"/>
        <item x="856"/>
        <item x="1114"/>
        <item x="1269"/>
        <item x="1135"/>
        <item x="80"/>
        <item x="1215"/>
        <item x="350"/>
        <item x="1422"/>
        <item x="1331"/>
        <item x="71"/>
        <item x="872"/>
        <item x="469"/>
        <item x="205"/>
        <item x="1306"/>
        <item x="1449"/>
        <item x="1461"/>
        <item x="185"/>
        <item x="924"/>
        <item x="286"/>
        <item x="667"/>
        <item x="1405"/>
        <item x="578"/>
        <item x="1270"/>
        <item x="923"/>
        <item x="150"/>
        <item x="304"/>
        <item x="726"/>
        <item x="1378"/>
        <item x="147"/>
        <item x="1194"/>
        <item x="1041"/>
        <item x="313"/>
        <item x="407"/>
        <item x="93"/>
        <item x="1219"/>
        <item x="1299"/>
        <item x="162"/>
        <item x="1279"/>
        <item x="1345"/>
        <item x="814"/>
        <item x="563"/>
        <item x="92"/>
        <item x="895"/>
        <item x="934"/>
        <item x="347"/>
        <item x="196"/>
        <item x="670"/>
        <item x="264"/>
        <item x="827"/>
        <item x="1184"/>
        <item x="524"/>
        <item x="468"/>
        <item x="767"/>
        <item x="1477"/>
        <item x="823"/>
        <item x="696"/>
        <item x="1438"/>
        <item x="260"/>
        <item x="788"/>
        <item x="40"/>
        <item x="1061"/>
        <item x="314"/>
        <item x="939"/>
        <item x="54"/>
        <item x="20"/>
        <item x="822"/>
        <item x="744"/>
        <item x="1408"/>
        <item x="1141"/>
        <item x="382"/>
        <item x="1379"/>
        <item x="343"/>
        <item x="139"/>
        <item x="420"/>
        <item x="523"/>
        <item x="1070"/>
        <item x="140"/>
        <item x="638"/>
        <item x="504"/>
        <item x="1255"/>
        <item x="513"/>
        <item x="692"/>
        <item x="1426"/>
        <item x="1458"/>
        <item x="1052"/>
        <item x="381"/>
        <item x="362"/>
        <item x="1280"/>
        <item x="1030"/>
        <item x="775"/>
        <item x="1048"/>
        <item x="199"/>
        <item x="599"/>
        <item x="803"/>
        <item x="736"/>
        <item x="928"/>
        <item x="982"/>
        <item x="615"/>
        <item x="817"/>
        <item x="1466"/>
        <item x="1248"/>
        <item x="1101"/>
        <item x="932"/>
        <item x="673"/>
        <item x="415"/>
        <item x="348"/>
        <item x="335"/>
        <item x="920"/>
        <item x="281"/>
        <item x="980"/>
        <item x="1327"/>
        <item x="771"/>
        <item x="1092"/>
        <item x="309"/>
        <item x="361"/>
        <item x="131"/>
        <item x="1258"/>
        <item x="579"/>
        <item x="717"/>
        <item x="28"/>
        <item x="795"/>
        <item x="337"/>
        <item x="183"/>
        <item x="173"/>
        <item x="280"/>
        <item x="958"/>
        <item x="1451"/>
        <item x="69"/>
        <item x="1123"/>
        <item x="1012"/>
        <item x="1261"/>
        <item x="484"/>
        <item x="42"/>
        <item x="564"/>
        <item x="1175"/>
        <item x="623"/>
        <item x="815"/>
        <item x="858"/>
        <item x="434"/>
        <item x="486"/>
        <item x="609"/>
        <item x="327"/>
        <item x="225"/>
        <item x="3"/>
        <item x="1188"/>
        <item x="1126"/>
        <item x="432"/>
        <item x="943"/>
        <item x="1217"/>
        <item x="1431"/>
        <item x="1225"/>
        <item x="753"/>
        <item x="671"/>
        <item x="1350"/>
        <item x="1365"/>
        <item x="541"/>
        <item x="877"/>
        <item x="1328"/>
        <item x="919"/>
        <item x="567"/>
        <item x="604"/>
        <item x="1118"/>
        <item x="1367"/>
        <item x="1382"/>
        <item x="734"/>
        <item x="1457"/>
        <item x="1065"/>
        <item x="508"/>
        <item x="283"/>
        <item x="1491"/>
        <item x="356"/>
        <item x="342"/>
        <item x="1051"/>
        <item x="1310"/>
        <item x="832"/>
        <item x="446"/>
        <item x="515"/>
        <item x="679"/>
        <item x="252"/>
        <item x="368"/>
        <item x="7"/>
        <item x="881"/>
        <item x="1277"/>
        <item x="694"/>
        <item x="590"/>
        <item x="224"/>
        <item x="1105"/>
        <item x="64"/>
        <item x="411"/>
        <item x="208"/>
        <item x="887"/>
        <item x="1349"/>
        <item x="1387"/>
        <item x="617"/>
        <item x="1196"/>
        <item x="1204"/>
        <item x="761"/>
        <item x="152"/>
        <item x="586"/>
        <item x="18"/>
        <item x="106"/>
        <item x="739"/>
        <item x="374"/>
        <item x="402"/>
        <item x="1156"/>
        <item x="990"/>
        <item x="37"/>
        <item x="375"/>
        <item x="1011"/>
        <item x="372"/>
        <item x="539"/>
        <item x="1166"/>
        <item x="188"/>
        <item x="616"/>
        <item x="1360"/>
        <item x="1019"/>
        <item x="847"/>
        <item x="1497"/>
        <item x="112"/>
        <item x="1495"/>
        <item x="14"/>
        <item x="247"/>
        <item x="1043"/>
        <item x="498"/>
        <item x="1429"/>
        <item x="1181"/>
        <item x="536"/>
        <item x="654"/>
        <item x="938"/>
        <item x="1026"/>
        <item x="1220"/>
        <item x="1037"/>
        <item x="370"/>
        <item x="358"/>
        <item x="1229"/>
        <item x="1435"/>
        <item x="226"/>
        <item x="1120"/>
        <item x="868"/>
        <item x="1329"/>
        <item x="289"/>
        <item x="1121"/>
        <item x="897"/>
        <item x="58"/>
        <item x="1281"/>
        <item x="625"/>
        <item x="216"/>
        <item x="46"/>
        <item x="1484"/>
        <item x="1185"/>
        <item x="1347"/>
        <item x="425"/>
        <item x="176"/>
        <item x="1419"/>
        <item x="833"/>
        <item x="1385"/>
        <item x="433"/>
        <item x="94"/>
        <item x="141"/>
        <item x="1245"/>
        <item x="646"/>
        <item x="234"/>
        <item x="1282"/>
        <item x="1297"/>
        <item x="561"/>
        <item x="403"/>
        <item x="991"/>
        <item x="502"/>
        <item x="911"/>
        <item x="1192"/>
        <item x="1403"/>
        <item x="495"/>
        <item x="1445"/>
        <item x="149"/>
        <item x="1172"/>
        <item x="385"/>
        <item x="11"/>
        <item x="1042"/>
        <item x="549"/>
        <item x="288"/>
        <item x="74"/>
        <item x="944"/>
        <item x="747"/>
        <item x="110"/>
        <item x="246"/>
        <item x="1176"/>
        <item x="1473"/>
        <item x="1305"/>
        <item x="206"/>
        <item x="1368"/>
        <item x="459"/>
        <item x="1094"/>
        <item x="569"/>
        <item x="61"/>
        <item x="275"/>
        <item x="985"/>
        <item x="819"/>
        <item x="483"/>
        <item x="1187"/>
        <item x="1111"/>
        <item x="63"/>
        <item x="947"/>
        <item x="386"/>
        <item x="837"/>
        <item x="353"/>
        <item x="364"/>
        <item x="1302"/>
        <item x="553"/>
        <item x="440"/>
        <item x="1084"/>
        <item x="1436"/>
        <item x="447"/>
        <item x="1117"/>
        <item x="1168"/>
        <item x="1"/>
        <item x="1301"/>
        <item x="551"/>
        <item x="866"/>
        <item x="953"/>
        <item x="516"/>
        <item x="100"/>
        <item x="542"/>
        <item x="701"/>
        <item x="787"/>
        <item x="690"/>
        <item x="1267"/>
        <item x="927"/>
        <item x="628"/>
        <item x="1234"/>
        <item x="499"/>
        <item x="253"/>
        <item x="606"/>
        <item x="859"/>
        <item x="132"/>
        <item x="419"/>
        <item x="973"/>
        <item x="417"/>
        <item x="62"/>
        <item x="77"/>
        <item x="1490"/>
        <item t="default"/>
      </items>
    </pivotField>
    <pivotField showAll="0">
      <items count="6">
        <item x="4"/>
        <item x="1"/>
        <item x="2"/>
        <item x="0"/>
        <item x="3"/>
        <item t="default"/>
      </items>
    </pivotField>
    <pivotField showAll="0"/>
    <pivotField showAll="0"/>
    <pivotField showAll="0"/>
    <pivotField showAll="0">
      <items count="7">
        <item x="3"/>
        <item x="0"/>
        <item x="5"/>
        <item x="2"/>
        <item x="4"/>
        <item x="1"/>
        <item t="default"/>
      </items>
    </pivotField>
    <pivotField showAll="0"/>
    <pivotField axis="axisRow" showAll="0">
      <items count="6">
        <item x="1"/>
        <item x="2"/>
        <item x="0"/>
        <item x="3"/>
        <item x="4"/>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Sum of Total_Revenue" fld="13" baseField="0" baseItem="0" numFmtId="164"/>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47E4F7-8D7F-4887-A06F-61F010B506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50:J63" firstHeaderRow="1" firstDataRow="1" firstDataCol="1" rowPageCount="1" colPageCount="1"/>
  <pivotFields count="15">
    <pivotField dataField="1" showAll="0"/>
    <pivotField showAll="0"/>
    <pivotField showAll="0"/>
    <pivotField showAll="0"/>
    <pivotField showAll="0">
      <items count="1500">
        <item x="545"/>
        <item x="531"/>
        <item x="681"/>
        <item x="821"/>
        <item x="648"/>
        <item x="1230"/>
        <item x="298"/>
        <item x="1250"/>
        <item x="12"/>
        <item x="1082"/>
        <item x="330"/>
        <item x="676"/>
        <item x="217"/>
        <item x="550"/>
        <item x="1346"/>
        <item x="998"/>
        <item x="680"/>
        <item x="668"/>
        <item x="995"/>
        <item x="454"/>
        <item x="835"/>
        <item x="1471"/>
        <item x="730"/>
        <item x="627"/>
        <item x="649"/>
        <item x="1307"/>
        <item x="592"/>
        <item x="1284"/>
        <item x="1139"/>
        <item x="1182"/>
        <item x="600"/>
        <item x="1079"/>
        <item x="227"/>
        <item x="127"/>
        <item x="1384"/>
        <item x="230"/>
        <item x="1212"/>
        <item x="1098"/>
        <item x="1456"/>
        <item x="1081"/>
        <item x="1110"/>
        <item x="851"/>
        <item x="950"/>
        <item x="796"/>
        <item x="994"/>
        <item x="802"/>
        <item x="117"/>
        <item x="401"/>
        <item x="95"/>
        <item x="677"/>
        <item x="388"/>
        <item x="306"/>
        <item x="770"/>
        <item x="581"/>
        <item x="968"/>
        <item x="413"/>
        <item x="786"/>
        <item x="463"/>
        <item x="978"/>
        <item x="772"/>
        <item x="746"/>
        <item x="1397"/>
        <item x="248"/>
        <item x="265"/>
        <item x="103"/>
        <item x="478"/>
        <item x="971"/>
        <item x="125"/>
        <item x="215"/>
        <item x="850"/>
        <item x="130"/>
        <item x="752"/>
        <item x="653"/>
        <item x="1214"/>
        <item x="26"/>
        <item x="1375"/>
        <item x="793"/>
        <item x="1104"/>
        <item x="1077"/>
        <item x="174"/>
        <item x="1150"/>
        <item x="1319"/>
        <item x="1488"/>
        <item x="1351"/>
        <item x="1407"/>
        <item x="258"/>
        <item x="916"/>
        <item x="742"/>
        <item x="400"/>
        <item x="688"/>
        <item x="1359"/>
        <item x="373"/>
        <item x="1154"/>
        <item x="1235"/>
        <item x="663"/>
        <item x="650"/>
        <item x="1244"/>
        <item x="1389"/>
        <item x="526"/>
        <item x="151"/>
        <item x="1303"/>
        <item x="840"/>
        <item x="1251"/>
        <item x="1107"/>
        <item x="1108"/>
        <item x="743"/>
        <item x="972"/>
        <item x="948"/>
        <item x="1202"/>
        <item x="5"/>
        <item x="722"/>
        <item x="8"/>
        <item x="661"/>
        <item x="171"/>
        <item x="540"/>
        <item x="1195"/>
        <item x="277"/>
        <item x="863"/>
        <item x="1058"/>
        <item x="453"/>
        <item x="1420"/>
        <item x="1287"/>
        <item x="1288"/>
        <item x="794"/>
        <item x="624"/>
        <item x="89"/>
        <item x="963"/>
        <item x="1067"/>
        <item x="620"/>
        <item x="970"/>
        <item x="773"/>
        <item x="1022"/>
        <item x="686"/>
        <item x="497"/>
        <item x="602"/>
        <item x="214"/>
        <item x="488"/>
        <item x="223"/>
        <item x="902"/>
        <item x="1292"/>
        <item x="320"/>
        <item x="1180"/>
        <item x="637"/>
        <item x="1015"/>
        <item x="517"/>
        <item x="1388"/>
        <item x="1089"/>
        <item x="738"/>
        <item x="1424"/>
        <item x="399"/>
        <item x="1335"/>
        <item x="664"/>
        <item x="102"/>
        <item x="562"/>
        <item x="1053"/>
        <item x="591"/>
        <item x="1372"/>
        <item x="598"/>
        <item x="98"/>
        <item x="1376"/>
        <item x="292"/>
        <item x="1332"/>
        <item x="853"/>
        <item x="1390"/>
        <item x="360"/>
        <item x="737"/>
        <item x="1144"/>
        <item x="1316"/>
        <item x="704"/>
        <item x="279"/>
        <item x="1199"/>
        <item x="695"/>
        <item x="262"/>
        <item x="1455"/>
        <item x="269"/>
        <item x="639"/>
        <item x="78"/>
        <item x="658"/>
        <item x="168"/>
        <item x="1206"/>
        <item x="917"/>
        <item x="882"/>
        <item x="75"/>
        <item x="1362"/>
        <item x="254"/>
        <item x="462"/>
        <item x="607"/>
        <item x="577"/>
        <item x="735"/>
        <item x="290"/>
        <item x="898"/>
        <item x="435"/>
        <item x="758"/>
        <item x="1394"/>
        <item x="922"/>
        <item x="45"/>
        <item x="621"/>
        <item x="480"/>
        <item x="556"/>
        <item x="1140"/>
        <item x="959"/>
        <item x="19"/>
        <item x="544"/>
        <item x="1469"/>
        <item x="1143"/>
        <item x="1216"/>
        <item x="514"/>
        <item x="308"/>
        <item x="257"/>
        <item x="879"/>
        <item x="870"/>
        <item x="1039"/>
        <item x="236"/>
        <item x="1425"/>
        <item x="954"/>
        <item x="378"/>
        <item x="192"/>
        <item x="527"/>
        <item x="933"/>
        <item x="571"/>
        <item x="1149"/>
        <item x="1430"/>
        <item x="808"/>
        <item x="129"/>
        <item x="1008"/>
        <item x="557"/>
        <item x="1086"/>
        <item x="645"/>
        <item x="1296"/>
        <item x="476"/>
        <item x="683"/>
        <item x="1369"/>
        <item x="389"/>
        <item x="1125"/>
        <item x="377"/>
        <item x="1285"/>
        <item x="297"/>
        <item x="707"/>
        <item x="1128"/>
        <item x="839"/>
        <item x="706"/>
        <item x="369"/>
        <item x="1243"/>
        <item x="1014"/>
        <item x="1109"/>
        <item x="804"/>
        <item x="79"/>
        <item x="1167"/>
        <item x="35"/>
        <item x="1178"/>
        <item x="470"/>
        <item x="1228"/>
        <item x="1418"/>
        <item x="424"/>
        <item x="471"/>
        <item x="430"/>
        <item x="1353"/>
        <item x="1153"/>
        <item x="391"/>
        <item x="883"/>
        <item x="1278"/>
        <item x="622"/>
        <item x="85"/>
        <item x="634"/>
        <item x="113"/>
        <item x="481"/>
        <item x="437"/>
        <item x="181"/>
        <item x="714"/>
        <item x="1318"/>
        <item x="1240"/>
        <item x="552"/>
        <item x="710"/>
        <item x="1055"/>
        <item x="529"/>
        <item x="1246"/>
        <item x="572"/>
        <item x="977"/>
        <item x="633"/>
        <item x="740"/>
        <item x="1256"/>
        <item x="820"/>
        <item x="1040"/>
        <item x="1428"/>
        <item x="698"/>
        <item x="1072"/>
        <item x="301"/>
        <item x="90"/>
        <item x="547"/>
        <item x="996"/>
        <item x="533"/>
        <item x="1265"/>
        <item x="955"/>
        <item x="436"/>
        <item x="1467"/>
        <item x="67"/>
        <item x="1249"/>
        <item x="560"/>
        <item x="810"/>
        <item x="455"/>
        <item x="329"/>
        <item x="496"/>
        <item x="705"/>
        <item x="105"/>
        <item x="2"/>
        <item x="1059"/>
        <item x="559"/>
        <item x="1124"/>
        <item x="443"/>
        <item x="218"/>
        <item x="1155"/>
        <item x="1025"/>
        <item x="729"/>
        <item x="575"/>
        <item x="317"/>
        <item x="137"/>
        <item x="211"/>
        <item x="1406"/>
        <item x="789"/>
        <item x="1402"/>
        <item x="1062"/>
        <item x="268"/>
        <item x="143"/>
        <item x="197"/>
        <item x="1478"/>
        <item x="719"/>
        <item x="912"/>
        <item x="931"/>
        <item x="652"/>
        <item x="237"/>
        <item x="156"/>
        <item x="1464"/>
        <item x="220"/>
        <item x="387"/>
        <item x="896"/>
        <item x="1373"/>
        <item x="873"/>
        <item x="201"/>
        <item x="1116"/>
        <item x="1326"/>
        <item x="295"/>
        <item x="68"/>
        <item x="1437"/>
        <item x="1325"/>
        <item x="123"/>
        <item x="613"/>
        <item x="644"/>
        <item x="13"/>
        <item x="1398"/>
        <item x="715"/>
        <item x="964"/>
        <item x="776"/>
        <item x="1169"/>
        <item x="406"/>
        <item x="60"/>
        <item x="1336"/>
        <item x="1134"/>
        <item x="855"/>
        <item x="1415"/>
        <item x="1322"/>
        <item x="984"/>
        <item x="36"/>
        <item x="629"/>
        <item x="270"/>
        <item x="988"/>
        <item x="83"/>
        <item x="1097"/>
        <item x="565"/>
        <item x="861"/>
        <item x="914"/>
        <item x="643"/>
        <item x="632"/>
        <item x="842"/>
        <item x="449"/>
        <item x="1363"/>
        <item x="1440"/>
        <item x="1102"/>
        <item x="467"/>
        <item x="315"/>
        <item x="854"/>
        <item x="782"/>
        <item x="941"/>
        <item x="748"/>
        <item x="597"/>
        <item x="1317"/>
        <item x="448"/>
        <item x="997"/>
        <item x="724"/>
        <item x="626"/>
        <item x="1494"/>
        <item x="22"/>
        <item x="792"/>
        <item x="405"/>
        <item x="148"/>
        <item x="1450"/>
        <item x="23"/>
        <item x="981"/>
        <item x="1315"/>
        <item x="1254"/>
        <item x="235"/>
        <item x="1377"/>
        <item x="1275"/>
        <item x="1476"/>
        <item x="1063"/>
        <item x="1038"/>
        <item x="1173"/>
        <item x="349"/>
        <item x="1161"/>
        <item x="439"/>
        <item x="824"/>
        <item x="47"/>
        <item x="410"/>
        <item x="1334"/>
        <item x="38"/>
        <item x="25"/>
        <item x="451"/>
        <item x="302"/>
        <item x="445"/>
        <item x="124"/>
        <item x="1020"/>
        <item x="790"/>
        <item x="175"/>
        <item x="1242"/>
        <item x="1031"/>
        <item x="865"/>
        <item x="915"/>
        <item x="41"/>
        <item x="969"/>
        <item x="238"/>
        <item x="1432"/>
        <item x="1054"/>
        <item x="1239"/>
        <item x="1313"/>
        <item x="423"/>
        <item x="674"/>
        <item x="732"/>
        <item x="414"/>
        <item x="1129"/>
        <item x="1130"/>
        <item x="16"/>
        <item x="669"/>
        <item x="1078"/>
        <item x="338"/>
        <item x="799"/>
        <item x="81"/>
        <item x="1308"/>
        <item x="532"/>
        <item x="128"/>
        <item x="880"/>
        <item x="487"/>
        <item x="418"/>
        <item x="394"/>
        <item x="86"/>
        <item x="178"/>
        <item x="267"/>
        <item x="1136"/>
        <item x="1069"/>
        <item x="836"/>
        <item x="482"/>
        <item x="1272"/>
        <item x="1366"/>
        <item x="1100"/>
        <item x="1460"/>
        <item x="180"/>
        <item x="259"/>
        <item x="749"/>
        <item x="989"/>
        <item x="1340"/>
        <item x="601"/>
        <item x="718"/>
        <item x="1241"/>
        <item x="136"/>
        <item x="570"/>
        <item x="1271"/>
        <item x="73"/>
        <item x="475"/>
        <item x="1004"/>
        <item x="177"/>
        <item x="221"/>
        <item x="97"/>
        <item x="1343"/>
        <item x="1399"/>
        <item x="1480"/>
        <item x="780"/>
        <item x="731"/>
        <item x="66"/>
        <item x="1044"/>
        <item x="379"/>
        <item x="1416"/>
        <item x="826"/>
        <item x="1442"/>
        <item x="1032"/>
        <item x="116"/>
        <item x="1099"/>
        <item x="1045"/>
        <item x="655"/>
        <item x="1223"/>
        <item x="662"/>
        <item x="1203"/>
        <item x="1298"/>
        <item x="816"/>
        <item x="848"/>
        <item x="894"/>
        <item x="245"/>
        <item x="548"/>
        <item x="285"/>
        <item x="647"/>
        <item x="901"/>
        <item x="121"/>
        <item x="555"/>
        <item x="1481"/>
        <item x="219"/>
        <item x="1146"/>
        <item x="1483"/>
        <item x="135"/>
        <item x="1138"/>
        <item x="57"/>
        <item x="51"/>
        <item x="906"/>
        <item x="142"/>
        <item x="830"/>
        <item x="1300"/>
        <item x="783"/>
        <item x="4"/>
        <item x="587"/>
        <item x="1472"/>
        <item x="159"/>
        <item x="357"/>
        <item x="778"/>
        <item x="589"/>
        <item x="271"/>
        <item x="404"/>
        <item x="182"/>
        <item x="244"/>
        <item x="133"/>
        <item x="675"/>
        <item x="204"/>
        <item x="754"/>
        <item x="477"/>
        <item x="325"/>
        <item x="777"/>
        <item x="49"/>
        <item x="727"/>
        <item x="500"/>
        <item x="1083"/>
        <item x="1262"/>
        <item x="720"/>
        <item x="656"/>
        <item x="1190"/>
        <item x="762"/>
        <item x="537"/>
        <item x="1291"/>
        <item x="1417"/>
        <item x="999"/>
        <item x="96"/>
        <item x="1323"/>
        <item x="166"/>
        <item x="1238"/>
        <item x="207"/>
        <item x="1354"/>
        <item x="1145"/>
        <item x="1380"/>
        <item x="852"/>
        <item x="50"/>
        <item x="198"/>
        <item x="55"/>
        <item x="1018"/>
        <item x="479"/>
        <item x="892"/>
        <item x="1492"/>
        <item x="1454"/>
        <item x="886"/>
        <item x="1321"/>
        <item x="1482"/>
        <item x="937"/>
        <item x="1289"/>
        <item x="52"/>
        <item x="494"/>
        <item x="1159"/>
        <item x="293"/>
        <item x="949"/>
        <item x="957"/>
        <item x="505"/>
        <item x="992"/>
        <item x="261"/>
        <item x="300"/>
        <item x="769"/>
        <item x="0"/>
        <item x="1122"/>
        <item x="34"/>
        <item x="703"/>
        <item x="636"/>
        <item x="146"/>
        <item x="535"/>
        <item x="465"/>
        <item x="750"/>
        <item x="974"/>
        <item x="1001"/>
        <item x="231"/>
        <item x="925"/>
        <item x="1016"/>
        <item x="576"/>
        <item x="610"/>
        <item x="1320"/>
        <item x="510"/>
        <item x="687"/>
        <item x="1452"/>
        <item x="345"/>
        <item x="952"/>
        <item x="263"/>
        <item x="490"/>
        <item x="1355"/>
        <item x="1127"/>
        <item x="665"/>
        <item x="186"/>
        <item x="986"/>
        <item x="580"/>
        <item x="232"/>
        <item x="1283"/>
        <item x="935"/>
        <item x="1290"/>
        <item x="450"/>
        <item x="138"/>
        <item x="493"/>
        <item x="1423"/>
        <item x="1392"/>
        <item x="1273"/>
        <item x="464"/>
        <item x="699"/>
        <item x="311"/>
        <item x="1232"/>
        <item x="341"/>
        <item x="1314"/>
        <item x="1264"/>
        <item x="876"/>
        <item x="1293"/>
        <item x="291"/>
        <item x="1027"/>
        <item x="1147"/>
        <item x="755"/>
        <item x="1401"/>
        <item x="869"/>
        <item x="1090"/>
        <item x="1057"/>
        <item x="27"/>
        <item x="1013"/>
        <item x="907"/>
        <item x="160"/>
        <item x="1036"/>
        <item x="723"/>
        <item x="336"/>
        <item x="1268"/>
        <item x="534"/>
        <item x="582"/>
        <item x="318"/>
        <item x="809"/>
        <item x="1119"/>
        <item x="53"/>
        <item x="1393"/>
        <item x="1005"/>
        <item x="179"/>
        <item x="951"/>
        <item x="1218"/>
        <item x="716"/>
        <item x="438"/>
        <item x="1088"/>
        <item x="1411"/>
        <item x="1448"/>
        <item x="1000"/>
        <item x="189"/>
        <item x="611"/>
        <item x="618"/>
        <item x="1085"/>
        <item x="965"/>
        <item x="339"/>
        <item x="1441"/>
        <item x="709"/>
        <item x="1152"/>
        <item x="427"/>
        <item x="1066"/>
        <item x="266"/>
        <item x="1210"/>
        <item x="700"/>
        <item x="1439"/>
        <item x="593"/>
        <item x="813"/>
        <item x="296"/>
        <item x="702"/>
        <item x="825"/>
        <item x="784"/>
        <item x="921"/>
        <item x="831"/>
        <item x="193"/>
        <item x="657"/>
        <item x="1024"/>
        <item x="154"/>
        <item x="1200"/>
        <item x="501"/>
        <item x="17"/>
        <item x="1352"/>
        <item x="768"/>
        <item x="1259"/>
        <item x="1361"/>
        <item x="801"/>
        <item x="1489"/>
        <item x="521"/>
        <item x="492"/>
        <item x="1017"/>
        <item x="344"/>
        <item x="282"/>
        <item x="666"/>
        <item x="614"/>
        <item x="202"/>
        <item x="1157"/>
        <item x="1434"/>
        <item x="829"/>
        <item x="741"/>
        <item x="864"/>
        <item x="1201"/>
        <item x="1341"/>
        <item x="1427"/>
        <item x="376"/>
        <item x="1324"/>
        <item x="1224"/>
        <item x="256"/>
        <item x="798"/>
        <item x="167"/>
        <item x="331"/>
        <item x="29"/>
        <item x="635"/>
        <item x="834"/>
        <item x="39"/>
        <item x="1093"/>
        <item x="522"/>
        <item x="857"/>
        <item x="800"/>
        <item x="1060"/>
        <item x="393"/>
        <item x="1095"/>
        <item x="525"/>
        <item x="1412"/>
        <item x="936"/>
        <item x="899"/>
        <item x="1274"/>
        <item x="630"/>
        <item x="1191"/>
        <item x="1339"/>
        <item x="392"/>
        <item x="566"/>
        <item x="838"/>
        <item x="983"/>
        <item x="489"/>
        <item x="844"/>
        <item x="210"/>
        <item x="431"/>
        <item x="371"/>
        <item x="240"/>
        <item x="307"/>
        <item x="1231"/>
        <item x="1479"/>
        <item x="1096"/>
        <item x="711"/>
        <item x="1295"/>
        <item x="1035"/>
        <item x="785"/>
        <item x="1132"/>
        <item x="874"/>
        <item x="641"/>
        <item x="1444"/>
        <item x="324"/>
        <item x="1342"/>
        <item x="190"/>
        <item x="1151"/>
        <item x="56"/>
        <item x="366"/>
        <item x="1222"/>
        <item x="805"/>
        <item x="346"/>
        <item x="651"/>
        <item x="1227"/>
        <item x="1470"/>
        <item x="422"/>
        <item x="1496"/>
        <item x="1103"/>
        <item x="558"/>
        <item x="511"/>
        <item x="1311"/>
        <item x="65"/>
        <item x="169"/>
        <item x="890"/>
        <item x="194"/>
        <item x="889"/>
        <item x="659"/>
        <item x="1047"/>
        <item x="1160"/>
        <item x="979"/>
        <item x="538"/>
        <item x="733"/>
        <item x="1404"/>
        <item x="107"/>
        <item x="242"/>
        <item x="1010"/>
        <item x="806"/>
        <item x="109"/>
        <item x="845"/>
        <item x="157"/>
        <item x="682"/>
        <item x="1002"/>
        <item x="818"/>
        <item x="250"/>
        <item x="172"/>
        <item x="1113"/>
        <item x="316"/>
        <item x="332"/>
        <item x="1174"/>
        <item x="203"/>
        <item x="294"/>
        <item x="1286"/>
        <item x="764"/>
        <item x="153"/>
        <item x="1056"/>
        <item x="1076"/>
        <item x="759"/>
        <item x="274"/>
        <item x="573"/>
        <item x="1260"/>
        <item x="444"/>
        <item x="456"/>
        <item x="310"/>
        <item x="987"/>
        <item x="588"/>
        <item x="1193"/>
        <item x="1164"/>
        <item x="1029"/>
        <item x="312"/>
        <item x="888"/>
        <item x="165"/>
        <item x="781"/>
        <item x="1304"/>
        <item x="1381"/>
        <item x="1486"/>
        <item x="594"/>
        <item x="428"/>
        <item x="1257"/>
        <item x="416"/>
        <item x="272"/>
        <item x="1465"/>
        <item x="585"/>
        <item x="384"/>
        <item x="1400"/>
        <item x="429"/>
        <item x="1409"/>
        <item x="871"/>
        <item x="908"/>
        <item x="946"/>
        <item x="745"/>
        <item x="721"/>
        <item x="807"/>
        <item x="1396"/>
        <item x="241"/>
        <item x="518"/>
        <item x="184"/>
        <item x="340"/>
        <item x="1263"/>
        <item x="884"/>
        <item x="24"/>
        <item x="1007"/>
        <item x="976"/>
        <item x="945"/>
        <item x="1162"/>
        <item x="134"/>
        <item x="1338"/>
        <item x="966"/>
        <item x="942"/>
        <item x="1205"/>
        <item x="1213"/>
        <item x="509"/>
        <item x="1023"/>
        <item x="249"/>
        <item x="43"/>
        <item x="725"/>
        <item x="1459"/>
        <item x="409"/>
        <item x="305"/>
        <item x="961"/>
        <item x="1237"/>
        <item x="104"/>
        <item x="1133"/>
        <item x="993"/>
        <item x="354"/>
        <item x="229"/>
        <item x="756"/>
        <item x="568"/>
        <item x="195"/>
        <item x="145"/>
        <item x="9"/>
        <item x="900"/>
        <item x="1266"/>
        <item x="1413"/>
        <item x="390"/>
        <item x="930"/>
        <item x="506"/>
        <item x="605"/>
        <item x="460"/>
        <item x="91"/>
        <item x="70"/>
        <item x="200"/>
        <item x="155"/>
        <item x="1112"/>
        <item x="163"/>
        <item x="1170"/>
        <item x="929"/>
        <item x="760"/>
        <item x="1028"/>
        <item x="685"/>
        <item x="442"/>
        <item x="126"/>
        <item x="322"/>
        <item x="1046"/>
        <item x="595"/>
        <item x="99"/>
        <item x="359"/>
        <item x="875"/>
        <item x="485"/>
        <item x="519"/>
        <item x="574"/>
        <item x="1074"/>
        <item x="1075"/>
        <item x="543"/>
        <item x="334"/>
        <item x="860"/>
        <item x="287"/>
        <item x="1383"/>
        <item x="412"/>
        <item x="1252"/>
        <item x="1189"/>
        <item x="862"/>
        <item x="918"/>
        <item x="321"/>
        <item x="1073"/>
        <item x="255"/>
        <item x="1371"/>
        <item x="697"/>
        <item x="278"/>
        <item x="619"/>
        <item x="1443"/>
        <item x="811"/>
        <item x="352"/>
        <item x="1395"/>
        <item x="841"/>
        <item x="1158"/>
        <item x="397"/>
        <item x="1179"/>
        <item x="333"/>
        <item x="530"/>
        <item x="474"/>
        <item x="960"/>
        <item x="1309"/>
        <item x="956"/>
        <item x="299"/>
        <item x="1207"/>
        <item x="891"/>
        <item x="751"/>
        <item x="1475"/>
        <item x="1348"/>
        <item x="1447"/>
        <item x="383"/>
        <item x="1358"/>
        <item x="76"/>
        <item x="1208"/>
        <item x="913"/>
        <item x="108"/>
        <item x="303"/>
        <item x="708"/>
        <item x="284"/>
        <item x="452"/>
        <item x="849"/>
        <item x="507"/>
        <item x="1068"/>
        <item x="712"/>
        <item x="398"/>
        <item x="1487"/>
        <item x="30"/>
        <item x="1163"/>
        <item x="1221"/>
        <item x="222"/>
        <item x="640"/>
        <item x="1091"/>
        <item x="926"/>
        <item x="691"/>
        <item x="328"/>
        <item x="1247"/>
        <item x="528"/>
        <item x="209"/>
        <item x="1003"/>
        <item x="1374"/>
        <item x="122"/>
        <item x="243"/>
        <item x="728"/>
        <item x="351"/>
        <item x="408"/>
        <item x="1421"/>
        <item x="1148"/>
        <item x="161"/>
        <item x="1049"/>
        <item x="713"/>
        <item x="672"/>
        <item x="975"/>
        <item x="118"/>
        <item x="893"/>
        <item x="59"/>
        <item x="187"/>
        <item x="1050"/>
        <item x="10"/>
        <item x="1463"/>
        <item x="940"/>
        <item x="1226"/>
        <item x="1115"/>
        <item x="251"/>
        <item x="396"/>
        <item x="905"/>
        <item x="1034"/>
        <item x="797"/>
        <item x="554"/>
        <item x="546"/>
        <item x="48"/>
        <item x="1165"/>
        <item x="15"/>
        <item x="757"/>
        <item x="878"/>
        <item x="1446"/>
        <item x="765"/>
        <item x="846"/>
        <item x="1137"/>
        <item x="323"/>
        <item x="395"/>
        <item x="1177"/>
        <item x="1253"/>
        <item x="1171"/>
        <item x="766"/>
        <item x="1433"/>
        <item x="512"/>
        <item x="1064"/>
        <item x="812"/>
        <item x="1071"/>
        <item x="87"/>
        <item x="503"/>
        <item x="461"/>
        <item x="212"/>
        <item x="885"/>
        <item x="1330"/>
        <item x="32"/>
        <item x="1236"/>
        <item x="319"/>
        <item x="1142"/>
        <item x="843"/>
        <item x="1198"/>
        <item x="520"/>
        <item x="458"/>
        <item x="326"/>
        <item x="828"/>
        <item x="191"/>
        <item x="1211"/>
        <item x="355"/>
        <item x="1209"/>
        <item x="642"/>
        <item x="276"/>
        <item x="1468"/>
        <item x="1391"/>
        <item x="909"/>
        <item x="1087"/>
        <item x="660"/>
        <item x="233"/>
        <item x="693"/>
        <item x="33"/>
        <item x="1197"/>
        <item x="457"/>
        <item x="603"/>
        <item x="584"/>
        <item x="612"/>
        <item x="441"/>
        <item x="88"/>
        <item x="1009"/>
        <item x="1414"/>
        <item x="1474"/>
        <item x="44"/>
        <item x="1357"/>
        <item x="1021"/>
        <item x="1498"/>
        <item x="631"/>
        <item x="962"/>
        <item x="1356"/>
        <item x="910"/>
        <item x="1485"/>
        <item x="1186"/>
        <item x="380"/>
        <item x="583"/>
        <item x="144"/>
        <item x="689"/>
        <item x="84"/>
        <item x="1006"/>
        <item x="1131"/>
        <item x="1233"/>
        <item x="903"/>
        <item x="967"/>
        <item x="1183"/>
        <item x="1333"/>
        <item x="239"/>
        <item x="115"/>
        <item x="426"/>
        <item x="164"/>
        <item x="1080"/>
        <item x="6"/>
        <item x="684"/>
        <item x="774"/>
        <item x="1344"/>
        <item x="120"/>
        <item x="228"/>
        <item x="1386"/>
        <item x="1364"/>
        <item x="21"/>
        <item x="779"/>
        <item x="363"/>
        <item x="1106"/>
        <item x="1033"/>
        <item x="82"/>
        <item x="421"/>
        <item x="170"/>
        <item x="608"/>
        <item x="367"/>
        <item x="904"/>
        <item x="491"/>
        <item x="1453"/>
        <item x="466"/>
        <item x="114"/>
        <item x="158"/>
        <item x="72"/>
        <item x="1370"/>
        <item x="111"/>
        <item x="867"/>
        <item x="273"/>
        <item x="1294"/>
        <item x="473"/>
        <item x="101"/>
        <item x="791"/>
        <item x="678"/>
        <item x="213"/>
        <item x="1276"/>
        <item x="763"/>
        <item x="365"/>
        <item x="472"/>
        <item x="119"/>
        <item x="31"/>
        <item x="1337"/>
        <item x="1462"/>
        <item x="1493"/>
        <item x="1312"/>
        <item x="596"/>
        <item x="1410"/>
        <item x="856"/>
        <item x="1114"/>
        <item x="1269"/>
        <item x="1135"/>
        <item x="80"/>
        <item x="1215"/>
        <item x="350"/>
        <item x="1422"/>
        <item x="1331"/>
        <item x="71"/>
        <item x="872"/>
        <item x="469"/>
        <item x="205"/>
        <item x="1306"/>
        <item x="1449"/>
        <item x="1461"/>
        <item x="185"/>
        <item x="924"/>
        <item x="286"/>
        <item x="667"/>
        <item x="1405"/>
        <item x="578"/>
        <item x="1270"/>
        <item x="923"/>
        <item x="150"/>
        <item x="304"/>
        <item x="726"/>
        <item x="1378"/>
        <item x="147"/>
        <item x="1194"/>
        <item x="1041"/>
        <item x="313"/>
        <item x="407"/>
        <item x="93"/>
        <item x="1219"/>
        <item x="1299"/>
        <item x="162"/>
        <item x="1279"/>
        <item x="1345"/>
        <item x="814"/>
        <item x="563"/>
        <item x="92"/>
        <item x="895"/>
        <item x="934"/>
        <item x="347"/>
        <item x="196"/>
        <item x="670"/>
        <item x="264"/>
        <item x="827"/>
        <item x="1184"/>
        <item x="524"/>
        <item x="468"/>
        <item x="767"/>
        <item x="1477"/>
        <item x="823"/>
        <item x="696"/>
        <item x="1438"/>
        <item x="260"/>
        <item x="788"/>
        <item x="40"/>
        <item x="1061"/>
        <item x="314"/>
        <item x="939"/>
        <item x="54"/>
        <item x="20"/>
        <item x="822"/>
        <item x="744"/>
        <item x="1408"/>
        <item x="1141"/>
        <item x="382"/>
        <item x="1379"/>
        <item x="343"/>
        <item x="139"/>
        <item x="420"/>
        <item x="523"/>
        <item x="1070"/>
        <item x="140"/>
        <item x="638"/>
        <item x="504"/>
        <item x="1255"/>
        <item x="513"/>
        <item x="692"/>
        <item x="1426"/>
        <item x="1458"/>
        <item x="1052"/>
        <item x="381"/>
        <item x="362"/>
        <item x="1280"/>
        <item x="1030"/>
        <item x="775"/>
        <item x="1048"/>
        <item x="199"/>
        <item x="599"/>
        <item x="803"/>
        <item x="736"/>
        <item x="928"/>
        <item x="982"/>
        <item x="615"/>
        <item x="817"/>
        <item x="1466"/>
        <item x="1248"/>
        <item x="1101"/>
        <item x="932"/>
        <item x="673"/>
        <item x="415"/>
        <item x="348"/>
        <item x="335"/>
        <item x="920"/>
        <item x="281"/>
        <item x="980"/>
        <item x="1327"/>
        <item x="771"/>
        <item x="1092"/>
        <item x="309"/>
        <item x="361"/>
        <item x="131"/>
        <item x="1258"/>
        <item x="579"/>
        <item x="717"/>
        <item x="28"/>
        <item x="795"/>
        <item x="337"/>
        <item x="183"/>
        <item x="173"/>
        <item x="280"/>
        <item x="958"/>
        <item x="1451"/>
        <item x="69"/>
        <item x="1123"/>
        <item x="1012"/>
        <item x="1261"/>
        <item x="484"/>
        <item x="42"/>
        <item x="564"/>
        <item x="1175"/>
        <item x="623"/>
        <item x="815"/>
        <item x="858"/>
        <item x="434"/>
        <item x="486"/>
        <item x="609"/>
        <item x="327"/>
        <item x="225"/>
        <item x="3"/>
        <item x="1188"/>
        <item x="1126"/>
        <item x="432"/>
        <item x="943"/>
        <item x="1217"/>
        <item x="1431"/>
        <item x="1225"/>
        <item x="753"/>
        <item x="671"/>
        <item x="1350"/>
        <item x="1365"/>
        <item x="541"/>
        <item x="877"/>
        <item x="1328"/>
        <item x="919"/>
        <item x="567"/>
        <item x="604"/>
        <item x="1118"/>
        <item x="1367"/>
        <item x="1382"/>
        <item x="734"/>
        <item x="1457"/>
        <item x="1065"/>
        <item x="508"/>
        <item x="283"/>
        <item x="1491"/>
        <item x="356"/>
        <item x="342"/>
        <item x="1051"/>
        <item x="1310"/>
        <item x="832"/>
        <item x="446"/>
        <item x="515"/>
        <item x="679"/>
        <item x="252"/>
        <item x="368"/>
        <item x="7"/>
        <item x="881"/>
        <item x="1277"/>
        <item x="694"/>
        <item x="590"/>
        <item x="224"/>
        <item x="1105"/>
        <item x="64"/>
        <item x="411"/>
        <item x="208"/>
        <item x="887"/>
        <item x="1349"/>
        <item x="1387"/>
        <item x="617"/>
        <item x="1196"/>
        <item x="1204"/>
        <item x="761"/>
        <item x="152"/>
        <item x="586"/>
        <item x="18"/>
        <item x="106"/>
        <item x="739"/>
        <item x="374"/>
        <item x="402"/>
        <item x="1156"/>
        <item x="990"/>
        <item x="37"/>
        <item x="375"/>
        <item x="1011"/>
        <item x="372"/>
        <item x="539"/>
        <item x="1166"/>
        <item x="188"/>
        <item x="616"/>
        <item x="1360"/>
        <item x="1019"/>
        <item x="847"/>
        <item x="1497"/>
        <item x="112"/>
        <item x="1495"/>
        <item x="14"/>
        <item x="247"/>
        <item x="1043"/>
        <item x="498"/>
        <item x="1429"/>
        <item x="1181"/>
        <item x="536"/>
        <item x="654"/>
        <item x="938"/>
        <item x="1026"/>
        <item x="1220"/>
        <item x="1037"/>
        <item x="370"/>
        <item x="358"/>
        <item x="1229"/>
        <item x="1435"/>
        <item x="226"/>
        <item x="1120"/>
        <item x="868"/>
        <item x="1329"/>
        <item x="289"/>
        <item x="1121"/>
        <item x="897"/>
        <item x="58"/>
        <item x="1281"/>
        <item x="625"/>
        <item x="216"/>
        <item x="46"/>
        <item x="1484"/>
        <item x="1185"/>
        <item x="1347"/>
        <item x="425"/>
        <item x="176"/>
        <item x="1419"/>
        <item x="833"/>
        <item x="1385"/>
        <item x="433"/>
        <item x="94"/>
        <item x="141"/>
        <item x="1245"/>
        <item x="646"/>
        <item x="234"/>
        <item x="1282"/>
        <item x="1297"/>
        <item x="561"/>
        <item x="403"/>
        <item x="991"/>
        <item x="502"/>
        <item x="911"/>
        <item x="1192"/>
        <item x="1403"/>
        <item x="495"/>
        <item x="1445"/>
        <item x="149"/>
        <item x="1172"/>
        <item x="385"/>
        <item x="11"/>
        <item x="1042"/>
        <item x="549"/>
        <item x="288"/>
        <item x="74"/>
        <item x="944"/>
        <item x="747"/>
        <item x="110"/>
        <item x="246"/>
        <item x="1176"/>
        <item x="1473"/>
        <item x="1305"/>
        <item x="206"/>
        <item x="1368"/>
        <item x="459"/>
        <item x="1094"/>
        <item x="569"/>
        <item x="61"/>
        <item x="275"/>
        <item x="985"/>
        <item x="819"/>
        <item x="483"/>
        <item x="1187"/>
        <item x="1111"/>
        <item x="63"/>
        <item x="947"/>
        <item x="386"/>
        <item x="837"/>
        <item x="353"/>
        <item x="364"/>
        <item x="1302"/>
        <item x="553"/>
        <item x="440"/>
        <item x="1084"/>
        <item x="1436"/>
        <item x="447"/>
        <item x="1117"/>
        <item x="1168"/>
        <item x="1"/>
        <item x="1301"/>
        <item x="551"/>
        <item x="866"/>
        <item x="953"/>
        <item x="516"/>
        <item x="100"/>
        <item x="542"/>
        <item x="701"/>
        <item x="787"/>
        <item x="690"/>
        <item x="1267"/>
        <item x="927"/>
        <item x="628"/>
        <item x="1234"/>
        <item x="499"/>
        <item x="253"/>
        <item x="606"/>
        <item x="859"/>
        <item x="132"/>
        <item x="419"/>
        <item x="973"/>
        <item x="417"/>
        <item x="62"/>
        <item x="77"/>
        <item x="1490"/>
        <item t="default"/>
      </items>
    </pivotField>
    <pivotField showAll="0">
      <items count="6">
        <item x="4"/>
        <item x="1"/>
        <item x="2"/>
        <item x="0"/>
        <item x="3"/>
        <item t="default"/>
      </items>
    </pivotField>
    <pivotField showAll="0"/>
    <pivotField showAll="0"/>
    <pivotField showAll="0"/>
    <pivotField axis="axisPage" showAll="0">
      <items count="7">
        <item x="3"/>
        <item x="0"/>
        <item x="5"/>
        <item x="2"/>
        <item x="4"/>
        <item x="1"/>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Items count="1">
    <i/>
  </colItems>
  <pageFields count="1">
    <pageField fld="9" hier="-1"/>
  </pageFields>
  <dataFields count="1">
    <dataField name="Count of Order_ID" fld="0" subtotal="count" baseField="4"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Status" xr10:uid="{4DBA0010-B6C3-4A29-A2F2-4C469D8B6F8B}" sourceName="Clean_Status">
  <pivotTables>
    <pivotTable tabId="5" name="PivotTable5"/>
    <pivotTable tabId="5" name="PivotTable3"/>
    <pivotTable tabId="5" name="PivotTable4"/>
    <pivotTable tabId="5" name="PivotTable9"/>
    <pivotTable tabId="7" name="PivotTable1"/>
  </pivotTables>
  <data>
    <tabular pivotCacheId="973826411">
      <items count="6">
        <i x="3" s="1"/>
        <i x="0"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2DBBF2A-D94B-4FBD-B70C-55568E2C4C19}" sourceName="Payment_Method">
  <pivotTables>
    <pivotTable tabId="5" name="PivotTable5"/>
    <pivotTable tabId="5" name="PivotTable3"/>
    <pivotTable tabId="5" name="PivotTable4"/>
    <pivotTable tabId="5" name="PivotTable9"/>
    <pivotTable tabId="7" name="PivotTable1"/>
  </pivotTables>
  <data>
    <tabular pivotCacheId="973826411">
      <items count="5">
        <i x="4" s="1"/>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Status" xr10:uid="{DA9A7356-1613-425F-B3E6-2216BCB1C8DD}" cache="Slicer_Clean_Status" caption="Clean_Status" rowHeight="234950"/>
  <slicer name="Payment_Method" xr10:uid="{F8CCAFD9-EDE9-410C-96F0-73567E4631D4}" cache="Slicer_Payment_Method" caption="Payment_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94D777-3F6B-4317-8093-EA74BA37E1A8}" name="Table2" displayName="Table2" ref="A1:N1501" totalsRowShown="0" headerRowDxfId="8680" dataDxfId="8678" headerRowBorderDxfId="8679" tableBorderDxfId="8677">
  <autoFilter ref="A1:N1501" xr:uid="{C994D777-3F6B-4317-8093-EA74BA37E1A8}"/>
  <tableColumns count="14">
    <tableColumn id="1" xr3:uid="{53DBCFBF-19A0-4E54-A2DE-42DFFCB1FD80}" name="Order_ID" dataDxfId="8676"/>
    <tableColumn id="2" xr3:uid="{6483C258-6EDB-4DBA-B4D8-CC3CB69F271B}" name="Customer_ID" dataDxfId="8675"/>
    <tableColumn id="3" xr3:uid="{8E9BE170-0419-4B82-AB62-4E037697C6CA}" name="Product_SKU" dataDxfId="8674"/>
    <tableColumn id="4" xr3:uid="{775ABBC7-B2F1-4EF7-8C79-3E112357A811}" name="Quantity" dataDxfId="8673"/>
    <tableColumn id="5" xr3:uid="{A79C1D60-2DCB-463E-A70F-AC246D434DA2}" name="Order_Timestamp" dataDxfId="8672"/>
    <tableColumn id="6" xr3:uid="{33C66E91-F3CA-4BE6-858F-53F9657B7C37}" name="Payment_Method" dataDxfId="8671"/>
    <tableColumn id="7" xr3:uid="{7EA390BC-8D51-4323-9039-7E640D10A53E}" name="Order_Country" dataDxfId="8670"/>
    <tableColumn id="8" xr3:uid="{1F40109D-E327-4E43-AC6C-56B4964FB26C}" name="Device_Used" dataDxfId="8669"/>
    <tableColumn id="9" xr3:uid="{E0CB95B4-EA70-412B-B44B-1C864F0C651E}" name="Raw_Status" dataDxfId="8668"/>
    <tableColumn id="10" xr3:uid="{DC833B09-D71A-4C04-A708-67497EAE097F}" name="Clean_Status" dataDxfId="8667">
      <calculatedColumnFormula>TRIM(I2)</calculatedColumnFormula>
    </tableColumn>
    <tableColumn id="11" xr3:uid="{693EEE7B-1616-4FE2-9AA8-48059EBF0808}" name="Product_Name" dataDxfId="8666">
      <calculatedColumnFormula>_xlfn.XLOOKUP(C2, 'Product Catalog'!$A:$A, 'Product Catalog'!$B:$B, "Unknown Product")</calculatedColumnFormula>
    </tableColumn>
    <tableColumn id="12" xr3:uid="{A94D1EEA-8869-46BC-85F7-CE721CBCF25A}" name="Category" dataDxfId="8665">
      <calculatedColumnFormula>_xlfn.XLOOKUP(C2, 'Product Catalog'!$A:$A, 'Product Catalog'!$C:$C, "Unknown Category")</calculatedColumnFormula>
    </tableColumn>
    <tableColumn id="13" xr3:uid="{87191C62-F102-4F53-B0A2-78518A76B54E}" name="Unit_Price" dataDxfId="8664">
      <calculatedColumnFormula>_xlfn.XLOOKUP(C2, 'Product Catalog'!$A:$A, 'Product Catalog'!$D:$D, 0)</calculatedColumnFormula>
    </tableColumn>
    <tableColumn id="14" xr3:uid="{15B5A44B-8A19-4ABB-8BA4-562832D6B936}" name="Total_Revenue" dataDxfId="8663">
      <calculatedColumnFormula>D2 * M2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8F85F-5D32-430B-BD66-1DB46568D48A}" name="Table1" displayName="Table1" ref="A1:F151" totalsRowShown="0" headerRowDxfId="8662" dataDxfId="8660" headerRowBorderDxfId="8661" tableBorderDxfId="8659">
  <autoFilter ref="A1:F151" xr:uid="{4738F85F-5D32-430B-BD66-1DB46568D48A}"/>
  <tableColumns count="6">
    <tableColumn id="1" xr3:uid="{E127AAC9-D43F-4237-B84C-C8EE8DBAFA6F}" name="Product_SKU" dataDxfId="8658"/>
    <tableColumn id="2" xr3:uid="{54CAB6DE-C05D-4BB3-8D0B-B86D6906D29A}" name="Product_Name" dataDxfId="8657"/>
    <tableColumn id="3" xr3:uid="{468C9945-297F-4A6C-9F1F-61863C4799B4}" name="Category" dataDxfId="8656"/>
    <tableColumn id="4" xr3:uid="{81484E3E-630E-48A5-B4F1-C6B9B9074A53}" name="Unit_Price" dataDxfId="8655"/>
    <tableColumn id="5" xr3:uid="{C59F7433-01A3-4CE5-87C8-B355DD202E06}" name="Shipping_Requirement" dataDxfId="8654"/>
    <tableColumn id="6" xr3:uid="{4151FBFC-12E9-4D30-9EDA-A63A030F6961}" name="Merchant_Reputation_Score" dataDxfId="865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DB3EC-6BF8-44DA-8D79-64B01528CE31}">
  <dimension ref="A1:O51"/>
  <sheetViews>
    <sheetView showGridLines="0" tabSelected="1" zoomScale="60" zoomScaleNormal="60" zoomScaleSheetLayoutView="40" workbookViewId="0">
      <selection activeCell="S28" sqref="S28"/>
    </sheetView>
  </sheetViews>
  <sheetFormatPr defaultRowHeight="14.4" x14ac:dyDescent="0.3"/>
  <cols>
    <col min="1" max="1" width="26.77734375" style="13" customWidth="1"/>
    <col min="2" max="2" width="20.5546875" style="13" customWidth="1"/>
    <col min="3" max="3" width="16.88671875" style="13" customWidth="1"/>
    <col min="4" max="4" width="7.33203125" style="13" customWidth="1"/>
    <col min="5" max="5" width="20" style="13" customWidth="1"/>
    <col min="6" max="6" width="26.5546875" style="13" customWidth="1"/>
    <col min="7" max="7" width="9.6640625" style="13" customWidth="1"/>
    <col min="8" max="8" width="13.77734375" style="13" customWidth="1"/>
    <col min="9" max="9" width="20.21875" style="13" customWidth="1"/>
    <col min="10" max="10" width="16.21875" style="13" customWidth="1"/>
    <col min="11" max="11" width="17.6640625" style="13" customWidth="1"/>
    <col min="12" max="12" width="22.6640625" style="13" customWidth="1"/>
    <col min="13" max="13" width="18.109375" style="15" customWidth="1"/>
    <col min="14" max="14" width="9.21875" style="13" customWidth="1"/>
    <col min="15" max="15" width="10" style="13" customWidth="1"/>
    <col min="16" max="16384" width="8.88671875" style="13"/>
  </cols>
  <sheetData>
    <row r="1" spans="2:15" ht="49.2" customHeight="1" x14ac:dyDescent="0.3">
      <c r="B1" s="34" t="s">
        <v>2164</v>
      </c>
      <c r="C1" s="35"/>
      <c r="D1" s="35"/>
      <c r="E1" s="35"/>
      <c r="F1" s="35"/>
      <c r="G1" s="35"/>
      <c r="H1" s="35"/>
      <c r="I1" s="35"/>
      <c r="J1" s="35"/>
      <c r="K1" s="35"/>
      <c r="L1" s="35"/>
      <c r="M1" s="35"/>
      <c r="O1" s="23"/>
    </row>
    <row r="2" spans="2:15" ht="28.2" customHeight="1" x14ac:dyDescent="0.3">
      <c r="B2" s="14" t="s">
        <v>2160</v>
      </c>
      <c r="C2" s="14"/>
      <c r="D2" s="39"/>
      <c r="E2" s="14" t="s">
        <v>2161</v>
      </c>
      <c r="F2" s="14"/>
      <c r="G2" s="39"/>
      <c r="H2" s="14" t="s">
        <v>2162</v>
      </c>
      <c r="I2" s="14"/>
      <c r="J2" s="39"/>
      <c r="K2" s="14" t="s">
        <v>2163</v>
      </c>
      <c r="L2" s="14"/>
      <c r="M2" s="39"/>
      <c r="O2" s="23"/>
    </row>
    <row r="3" spans="2:15" ht="19.95" customHeight="1" x14ac:dyDescent="0.3">
      <c r="B3" s="14"/>
      <c r="C3" s="14"/>
      <c r="E3" s="14"/>
      <c r="F3" s="14"/>
      <c r="H3" s="14"/>
      <c r="I3" s="14"/>
      <c r="K3" s="14"/>
      <c r="L3" s="14"/>
      <c r="O3" s="23"/>
    </row>
    <row r="4" spans="2:15" ht="19.95" customHeight="1" x14ac:dyDescent="0.3">
      <c r="B4" s="38"/>
      <c r="C4" s="38"/>
      <c r="E4" s="38"/>
      <c r="F4" s="38"/>
      <c r="H4" s="38"/>
      <c r="I4" s="38"/>
      <c r="K4" s="38"/>
      <c r="L4" s="38"/>
      <c r="O4" s="23"/>
    </row>
    <row r="5" spans="2:15" ht="28.05" customHeight="1" x14ac:dyDescent="0.3">
      <c r="B5" s="36">
        <f>COUNTA('Orders Ledger'!A2:A1501)</f>
        <v>1500</v>
      </c>
      <c r="C5" s="36"/>
      <c r="E5" s="37">
        <f>SUM('Orders Ledger'!N2:N1501)</f>
        <v>1338115.239999997</v>
      </c>
      <c r="F5" s="37"/>
      <c r="H5" s="37">
        <f>SUMIFS('Orders Ledger'!N:N, 'Orders Ledger'!J:J, "disputed") + SUMIFS('Orders Ledger'!N:N, 'Orders Ledger'!J:J, "PENDING_REVIEW")</f>
        <v>667317.76999999979</v>
      </c>
      <c r="I5" s="37"/>
      <c r="K5" s="34">
        <f>COUNTIF('Orders Ledger'!J:J, "disputed")</f>
        <v>190</v>
      </c>
      <c r="L5" s="34"/>
      <c r="O5" s="23"/>
    </row>
    <row r="6" spans="2:15" ht="28.05" customHeight="1" x14ac:dyDescent="0.3">
      <c r="B6" s="36"/>
      <c r="C6" s="36"/>
      <c r="E6" s="37"/>
      <c r="F6" s="37"/>
      <c r="H6" s="37"/>
      <c r="I6" s="37"/>
      <c r="K6" s="34"/>
      <c r="L6" s="34"/>
      <c r="O6" s="23"/>
    </row>
    <row r="7" spans="2:15" ht="15" customHeight="1" x14ac:dyDescent="0.3">
      <c r="O7" s="23"/>
    </row>
    <row r="8" spans="2:15" ht="19.95" customHeight="1" x14ac:dyDescent="0.3">
      <c r="O8" s="23"/>
    </row>
    <row r="9" spans="2:15" ht="19.95" customHeight="1" x14ac:dyDescent="0.3">
      <c r="O9" s="23"/>
    </row>
    <row r="10" spans="2:15" ht="19.95" customHeight="1" x14ac:dyDescent="0.3">
      <c r="O10" s="23"/>
    </row>
    <row r="11" spans="2:15" ht="19.95" customHeight="1" x14ac:dyDescent="0.3">
      <c r="O11" s="23"/>
    </row>
    <row r="12" spans="2:15" ht="19.95" customHeight="1" x14ac:dyDescent="0.3">
      <c r="O12" s="23"/>
    </row>
    <row r="13" spans="2:15" ht="19.95" customHeight="1" x14ac:dyDescent="0.3">
      <c r="O13" s="23"/>
    </row>
    <row r="14" spans="2:15" ht="19.95" customHeight="1" x14ac:dyDescent="0.3">
      <c r="O14" s="23"/>
    </row>
    <row r="15" spans="2:15" ht="19.95" customHeight="1" x14ac:dyDescent="0.3">
      <c r="O15" s="23"/>
    </row>
    <row r="16" spans="2:15" ht="19.95" customHeight="1" x14ac:dyDescent="0.3">
      <c r="O16" s="23"/>
    </row>
    <row r="17" spans="1:15" ht="19.95" customHeight="1" x14ac:dyDescent="0.3">
      <c r="O17" s="23"/>
    </row>
    <row r="18" spans="1:15" ht="19.95" customHeight="1" x14ac:dyDescent="0.3">
      <c r="A18" s="16"/>
      <c r="O18" s="23"/>
    </row>
    <row r="19" spans="1:15" ht="19.95" customHeight="1" x14ac:dyDescent="0.3">
      <c r="A19" s="30" t="s">
        <v>2165</v>
      </c>
      <c r="O19" s="23"/>
    </row>
    <row r="20" spans="1:15" ht="19.95" customHeight="1" x14ac:dyDescent="0.45">
      <c r="A20" s="28" cm="1">
        <f t="array" ref="A20">IFERROR(_xlfn.XLOOKUP("Grand Total", Pivot!$B$36:$B$46, _xlfn.XLOOKUP("PENDING_REVIEW", Pivot!$36:$36, Pivot!$36:$46)), 0)</f>
        <v>183</v>
      </c>
      <c r="O20" s="23"/>
    </row>
    <row r="21" spans="1:15" ht="19.95" customHeight="1" x14ac:dyDescent="0.3">
      <c r="A21" s="29"/>
      <c r="O21" s="23"/>
    </row>
    <row r="22" spans="1:15" ht="19.95" customHeight="1" x14ac:dyDescent="0.3">
      <c r="A22" s="31" t="s">
        <v>2166</v>
      </c>
      <c r="O22" s="23"/>
    </row>
    <row r="23" spans="1:15" ht="19.95" customHeight="1" x14ac:dyDescent="0.3">
      <c r="A23" s="32" t="str">
        <f>IF(A20&gt;150, "🔴 REVIEW SLA OVERRUN", "🟢 SAFE QUEUE LEVEL")</f>
        <v>🔴 REVIEW SLA OVERRUN</v>
      </c>
      <c r="O23" s="23"/>
    </row>
    <row r="24" spans="1:15" ht="19.95" customHeight="1" x14ac:dyDescent="0.3">
      <c r="A24" s="16"/>
      <c r="O24" s="23"/>
    </row>
    <row r="25" spans="1:15" ht="15" customHeight="1" x14ac:dyDescent="0.3">
      <c r="A25" s="16"/>
      <c r="O25" s="23"/>
    </row>
    <row r="26" spans="1:15" ht="28.8" x14ac:dyDescent="0.3">
      <c r="A26" s="30" t="s">
        <v>2167</v>
      </c>
      <c r="I26" s="17" t="s">
        <v>0</v>
      </c>
      <c r="J26" s="17" t="s">
        <v>1</v>
      </c>
      <c r="K26" s="17" t="s">
        <v>1983</v>
      </c>
      <c r="L26" s="17" t="s">
        <v>7</v>
      </c>
      <c r="M26" s="18" t="s">
        <v>2150</v>
      </c>
      <c r="O26" s="23"/>
    </row>
    <row r="27" spans="1:15" x14ac:dyDescent="0.3">
      <c r="I27" s="13" t="s">
        <v>425</v>
      </c>
      <c r="J27" s="13" t="s">
        <v>356</v>
      </c>
      <c r="K27" s="13" t="s">
        <v>1993</v>
      </c>
      <c r="L27" s="13" t="s">
        <v>41</v>
      </c>
      <c r="M27" s="15">
        <v>9401.7999999999993</v>
      </c>
      <c r="O27" s="23"/>
    </row>
    <row r="28" spans="1:15" ht="19.95" customHeight="1" x14ac:dyDescent="0.3">
      <c r="A28" s="33" t="s">
        <v>2168</v>
      </c>
      <c r="I28" s="13" t="s">
        <v>628</v>
      </c>
      <c r="J28" s="13" t="s">
        <v>551</v>
      </c>
      <c r="K28" s="13" t="s">
        <v>1993</v>
      </c>
      <c r="L28" s="13" t="s">
        <v>55</v>
      </c>
      <c r="M28" s="15">
        <v>9954.6</v>
      </c>
      <c r="O28" s="23"/>
    </row>
    <row r="29" spans="1:15" ht="19.95" customHeight="1" x14ac:dyDescent="0.3">
      <c r="A29" s="41">
        <f>IFERROR(_xlfn.XLOOKUP("disputed", Pivot!$36:$36, Pivot!$37:$37) / _xlfn.XLOOKUP("Grand Total", Pivot!$36:$36, Pivot!$37:$37), 0)</f>
        <v>0.28708133971291866</v>
      </c>
      <c r="I29" s="13" t="s">
        <v>813</v>
      </c>
      <c r="J29" s="13" t="s">
        <v>221</v>
      </c>
      <c r="K29" s="13" t="s">
        <v>1993</v>
      </c>
      <c r="L29" s="13" t="s">
        <v>55</v>
      </c>
      <c r="M29" s="15">
        <v>11683.4</v>
      </c>
      <c r="O29" s="23"/>
    </row>
    <row r="30" spans="1:15" ht="19.95" customHeight="1" x14ac:dyDescent="0.3">
      <c r="A30" s="33" t="s">
        <v>2169</v>
      </c>
      <c r="I30" s="13" t="s">
        <v>938</v>
      </c>
      <c r="J30" s="13" t="s">
        <v>939</v>
      </c>
      <c r="K30" s="13" t="s">
        <v>1993</v>
      </c>
      <c r="L30" s="13" t="s">
        <v>41</v>
      </c>
      <c r="M30" s="15">
        <v>9346.7199999999993</v>
      </c>
      <c r="O30" s="23"/>
    </row>
    <row r="31" spans="1:15" ht="19.95" customHeight="1" x14ac:dyDescent="0.3">
      <c r="A31" s="41">
        <f>IFERROR(_xlfn.XLOOKUP("disputed", Pivot!$36:$36, Pivot!$40:$40) / _xlfn.XLOOKUP("Grand Total", Pivot!$36:$36, Pivot!$40:$40), 0)</f>
        <v>0.28502415458937197</v>
      </c>
      <c r="I31" s="13" t="s">
        <v>1007</v>
      </c>
      <c r="J31" s="13" t="s">
        <v>601</v>
      </c>
      <c r="K31" s="13" t="s">
        <v>1993</v>
      </c>
      <c r="L31" s="13" t="s">
        <v>41</v>
      </c>
      <c r="M31" s="15">
        <v>11683.4</v>
      </c>
      <c r="O31" s="23"/>
    </row>
    <row r="32" spans="1:15" ht="19.95" customHeight="1" x14ac:dyDescent="0.3">
      <c r="I32" s="13" t="s">
        <v>1082</v>
      </c>
      <c r="J32" s="13" t="s">
        <v>246</v>
      </c>
      <c r="K32" s="13" t="s">
        <v>1993</v>
      </c>
      <c r="L32" s="13" t="s">
        <v>51</v>
      </c>
      <c r="M32" s="15">
        <v>9346.7199999999993</v>
      </c>
      <c r="O32" s="23"/>
    </row>
    <row r="33" spans="2:15" ht="19.95" customHeight="1" x14ac:dyDescent="0.3">
      <c r="I33" s="13" t="s">
        <v>1235</v>
      </c>
      <c r="J33" s="13" t="s">
        <v>515</v>
      </c>
      <c r="K33" s="13" t="s">
        <v>1993</v>
      </c>
      <c r="L33" s="13" t="s">
        <v>41</v>
      </c>
      <c r="M33" s="15">
        <v>9401.7999999999993</v>
      </c>
      <c r="O33" s="23"/>
    </row>
    <row r="34" spans="2:15" ht="15" customHeight="1" x14ac:dyDescent="0.3">
      <c r="I34" s="13" t="s">
        <v>1582</v>
      </c>
      <c r="J34" s="13" t="s">
        <v>553</v>
      </c>
      <c r="K34" s="13" t="s">
        <v>1993</v>
      </c>
      <c r="L34" s="13" t="s">
        <v>41</v>
      </c>
      <c r="M34" s="15">
        <v>9376.2000000000007</v>
      </c>
      <c r="O34" s="23"/>
    </row>
    <row r="35" spans="2:15" ht="15.6" x14ac:dyDescent="0.3">
      <c r="B35" s="19"/>
      <c r="C35" s="20"/>
      <c r="D35" s="20"/>
      <c r="E35" s="20"/>
      <c r="F35" s="20"/>
      <c r="G35" s="20"/>
      <c r="H35" s="20"/>
      <c r="I35" s="13" t="s">
        <v>1603</v>
      </c>
      <c r="J35" s="13" t="s">
        <v>603</v>
      </c>
      <c r="K35" s="13" t="s">
        <v>1993</v>
      </c>
      <c r="L35" s="13" t="s">
        <v>51</v>
      </c>
      <c r="M35" s="15">
        <v>9954.6</v>
      </c>
      <c r="O35" s="23"/>
    </row>
    <row r="36" spans="2:15" ht="15.6" x14ac:dyDescent="0.3">
      <c r="H36" s="21"/>
      <c r="I36" s="13" t="s">
        <v>1610</v>
      </c>
      <c r="J36" s="13" t="s">
        <v>1068</v>
      </c>
      <c r="K36" s="13" t="s">
        <v>1993</v>
      </c>
      <c r="L36" s="13" t="s">
        <v>41</v>
      </c>
      <c r="M36" s="15">
        <v>9376.2000000000007</v>
      </c>
      <c r="O36" s="23"/>
    </row>
    <row r="37" spans="2:15" ht="15.6" x14ac:dyDescent="0.3">
      <c r="H37" s="21"/>
      <c r="I37" s="13" t="s">
        <v>1644</v>
      </c>
      <c r="J37" s="13" t="s">
        <v>886</v>
      </c>
      <c r="K37" s="13" t="s">
        <v>1993</v>
      </c>
      <c r="L37" s="13" t="s">
        <v>41</v>
      </c>
      <c r="M37" s="15">
        <v>9401.7999999999993</v>
      </c>
      <c r="O37" s="23"/>
    </row>
    <row r="38" spans="2:15" ht="15.6" x14ac:dyDescent="0.3">
      <c r="H38" s="21"/>
      <c r="I38" s="13" t="s">
        <v>1876</v>
      </c>
      <c r="J38" s="13" t="s">
        <v>79</v>
      </c>
      <c r="K38" s="13" t="s">
        <v>1993</v>
      </c>
      <c r="L38" s="13" t="s">
        <v>55</v>
      </c>
      <c r="M38" s="15">
        <v>9346.7199999999993</v>
      </c>
      <c r="O38" s="23"/>
    </row>
    <row r="39" spans="2:15" ht="15.6" x14ac:dyDescent="0.3">
      <c r="H39" s="21"/>
      <c r="I39" s="13" t="s">
        <v>1932</v>
      </c>
      <c r="J39" s="13" t="s">
        <v>584</v>
      </c>
      <c r="K39" s="13" t="s">
        <v>1993</v>
      </c>
      <c r="L39" s="13" t="s">
        <v>55</v>
      </c>
      <c r="M39" s="15">
        <v>9346.7199999999993</v>
      </c>
      <c r="O39" s="23"/>
    </row>
    <row r="40" spans="2:15" ht="15.6" x14ac:dyDescent="0.3">
      <c r="H40" s="21"/>
      <c r="I40" s="13" t="s">
        <v>1958</v>
      </c>
      <c r="J40" s="13" t="s">
        <v>742</v>
      </c>
      <c r="K40" s="13" t="s">
        <v>1993</v>
      </c>
      <c r="L40" s="13" t="s">
        <v>51</v>
      </c>
      <c r="M40" s="15">
        <v>9346.7199999999993</v>
      </c>
      <c r="O40" s="23"/>
    </row>
    <row r="41" spans="2:15" ht="15.6" x14ac:dyDescent="0.3">
      <c r="H41" s="21"/>
      <c r="I41" s="13" t="s">
        <v>2149</v>
      </c>
      <c r="M41" s="15">
        <v>136967.4</v>
      </c>
      <c r="O41" s="23"/>
    </row>
    <row r="42" spans="2:15" ht="15.6" x14ac:dyDescent="0.3">
      <c r="H42" s="21"/>
      <c r="M42" s="13"/>
      <c r="O42" s="23"/>
    </row>
    <row r="43" spans="2:15" ht="15.6" x14ac:dyDescent="0.3">
      <c r="H43" s="21"/>
      <c r="O43" s="23"/>
    </row>
    <row r="44" spans="2:15" ht="15.6" x14ac:dyDescent="0.3">
      <c r="H44" s="21"/>
      <c r="O44" s="23"/>
    </row>
    <row r="45" spans="2:15" ht="15.6" x14ac:dyDescent="0.3">
      <c r="H45" s="21"/>
      <c r="O45" s="23"/>
    </row>
    <row r="46" spans="2:15" ht="15.6" x14ac:dyDescent="0.3">
      <c r="H46" s="21"/>
      <c r="O46" s="23"/>
    </row>
    <row r="47" spans="2:15" ht="15.6" x14ac:dyDescent="0.3">
      <c r="H47" s="21"/>
      <c r="O47" s="23"/>
    </row>
    <row r="48" spans="2:15" ht="15.6" x14ac:dyDescent="0.3">
      <c r="H48" s="21"/>
      <c r="O48" s="23"/>
    </row>
    <row r="49" spans="1:15" ht="15.6" x14ac:dyDescent="0.3">
      <c r="H49" s="21"/>
      <c r="O49" s="23"/>
    </row>
    <row r="50" spans="1:15" ht="15.6" x14ac:dyDescent="0.3">
      <c r="A50" s="24"/>
      <c r="B50" s="24"/>
      <c r="C50" s="24"/>
      <c r="D50" s="24"/>
      <c r="E50" s="24"/>
      <c r="F50" s="24"/>
      <c r="G50" s="24"/>
      <c r="H50" s="25"/>
      <c r="I50" s="24"/>
      <c r="J50" s="24"/>
      <c r="K50" s="24"/>
      <c r="L50" s="24"/>
      <c r="M50" s="26"/>
      <c r="N50" s="24"/>
      <c r="O50" s="27"/>
    </row>
    <row r="51" spans="1:15" ht="15.6" x14ac:dyDescent="0.3">
      <c r="H51" s="22"/>
    </row>
  </sheetData>
  <mergeCells count="9">
    <mergeCell ref="B1:M1"/>
    <mergeCell ref="K5:L6"/>
    <mergeCell ref="B5:C6"/>
    <mergeCell ref="E5:F6"/>
    <mergeCell ref="H5:I6"/>
    <mergeCell ref="H2:I3"/>
    <mergeCell ref="E2:F3"/>
    <mergeCell ref="B2:C3"/>
    <mergeCell ref="K2:L3"/>
  </mergeCells>
  <conditionalFormatting sqref="A23">
    <cfRule type="containsText" dxfId="5747" priority="3" operator="containsText" text="SAFE">
      <formula>NOT(ISERROR(SEARCH("SAFE",A23)))</formula>
    </cfRule>
    <cfRule type="containsText" dxfId="5746" priority="4" operator="containsText" text="SLA OVERRUN">
      <formula>NOT(ISERROR(SEARCH("SLA OVERRUN",A23)))</formula>
    </cfRule>
    <cfRule type="dataBar" priority="5">
      <dataBar>
        <cfvo type="min"/>
        <cfvo type="max"/>
        <color rgb="FF63C384"/>
      </dataBar>
      <extLst>
        <ext xmlns:x14="http://schemas.microsoft.com/office/spreadsheetml/2009/9/main" uri="{B025F937-C7B1-47D3-B67F-A62EFF666E3E}">
          <x14:id>{E46AD2C6-446B-4565-BE5A-D5AABD139AAE}</x14:id>
        </ext>
      </extLst>
    </cfRule>
  </conditionalFormatting>
  <conditionalFormatting sqref="A31 A29">
    <cfRule type="colorScale" priority="6">
      <colorScale>
        <cfvo type="num" val="1"/>
        <cfvo type="num" val="100"/>
        <color rgb="FF92D050"/>
        <color rgb="FFFF0000"/>
      </colorScale>
    </cfRule>
  </conditionalFormatting>
  <conditionalFormatting sqref="A29">
    <cfRule type="dataBar" priority="2">
      <dataBar>
        <cfvo type="min"/>
        <cfvo type="max"/>
        <color rgb="FF63C384"/>
      </dataBar>
      <extLst>
        <ext xmlns:x14="http://schemas.microsoft.com/office/spreadsheetml/2009/9/main" uri="{B025F937-C7B1-47D3-B67F-A62EFF666E3E}">
          <x14:id>{9CEA2C87-8EBE-461F-AE51-8E5FCE50B5CA}</x14:id>
        </ext>
      </extLst>
    </cfRule>
  </conditionalFormatting>
  <conditionalFormatting sqref="A31">
    <cfRule type="dataBar" priority="1">
      <dataBar>
        <cfvo type="min"/>
        <cfvo type="max"/>
        <color rgb="FF63C384"/>
      </dataBar>
      <extLst>
        <ext xmlns:x14="http://schemas.microsoft.com/office/spreadsheetml/2009/9/main" uri="{B025F937-C7B1-47D3-B67F-A62EFF666E3E}">
          <x14:id>{6F33E212-0CCD-4DA3-A36F-20AE5B00041A}</x14:id>
        </ext>
      </extLst>
    </cfRule>
  </conditionalFormatting>
  <pageMargins left="0.7" right="0.7" top="0.75" bottom="0.75" header="0.3" footer="0.3"/>
  <pageSetup paperSize="9" orientation="portrait" verticalDpi="0" r:id="rId2"/>
  <drawing r:id="rId3"/>
  <extLst>
    <ext xmlns:x14="http://schemas.microsoft.com/office/spreadsheetml/2009/9/main" uri="{78C0D931-6437-407d-A8EE-F0AAD7539E65}">
      <x14:conditionalFormattings>
        <x14:conditionalFormatting xmlns:xm="http://schemas.microsoft.com/office/excel/2006/main">
          <x14:cfRule type="dataBar" id="{E46AD2C6-446B-4565-BE5A-D5AABD139AAE}">
            <x14:dataBar minLength="0" maxLength="100" border="1" negativeBarBorderColorSameAsPositive="0">
              <x14:cfvo type="autoMin"/>
              <x14:cfvo type="autoMax"/>
              <x14:borderColor rgb="FF63C384"/>
              <x14:negativeFillColor rgb="FFFF0000"/>
              <x14:negativeBorderColor rgb="FFFF0000"/>
              <x14:axisColor rgb="FF000000"/>
            </x14:dataBar>
          </x14:cfRule>
          <xm:sqref>A23</xm:sqref>
        </x14:conditionalFormatting>
        <x14:conditionalFormatting xmlns:xm="http://schemas.microsoft.com/office/excel/2006/main">
          <x14:cfRule type="dataBar" id="{9CEA2C87-8EBE-461F-AE51-8E5FCE50B5CA}">
            <x14:dataBar minLength="0" maxLength="100" border="1" negativeBarBorderColorSameAsPositive="0">
              <x14:cfvo type="autoMin"/>
              <x14:cfvo type="autoMax"/>
              <x14:borderColor rgb="FF63C384"/>
              <x14:negativeFillColor rgb="FFFF0000"/>
              <x14:negativeBorderColor rgb="FFFF0000"/>
              <x14:axisColor rgb="FF000000"/>
            </x14:dataBar>
          </x14:cfRule>
          <xm:sqref>A29</xm:sqref>
        </x14:conditionalFormatting>
        <x14:conditionalFormatting xmlns:xm="http://schemas.microsoft.com/office/excel/2006/main">
          <x14:cfRule type="dataBar" id="{6F33E212-0CCD-4DA3-A36F-20AE5B00041A}">
            <x14:dataBar minLength="0" maxLength="100" border="1" negativeBarBorderColorSameAsPositive="0">
              <x14:cfvo type="autoMin"/>
              <x14:cfvo type="autoMax"/>
              <x14:borderColor rgb="FF63C384"/>
              <x14:negativeFillColor rgb="FFFF0000"/>
              <x14:negativeBorderColor rgb="FFFF0000"/>
              <x14:axisColor rgb="FF000000"/>
            </x14:dataBar>
          </x14:cfRule>
          <xm:sqref>A31</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1"/>
  <sheetViews>
    <sheetView topLeftCell="A2" workbookViewId="0">
      <selection activeCell="A2" sqref="A2:N1501"/>
    </sheetView>
  </sheetViews>
  <sheetFormatPr defaultRowHeight="14.4" x14ac:dyDescent="0.3"/>
  <cols>
    <col min="1" max="1" width="20.88671875" customWidth="1"/>
    <col min="2" max="2" width="19.109375" customWidth="1"/>
    <col min="3" max="3" width="19.88671875" customWidth="1"/>
    <col min="4" max="4" width="10.21875" customWidth="1"/>
    <col min="5" max="5" width="18" customWidth="1"/>
    <col min="6" max="6" width="18.21875" customWidth="1"/>
    <col min="7" max="7" width="26.21875" customWidth="1"/>
    <col min="8" max="8" width="23" customWidth="1"/>
    <col min="9" max="9" width="24.77734375" customWidth="1"/>
    <col min="10" max="10" width="20.109375" customWidth="1"/>
    <col min="11" max="11" width="29.44140625" customWidth="1"/>
    <col min="12" max="12" width="17.88671875" customWidth="1"/>
    <col min="13" max="13" width="14.33203125" customWidth="1"/>
    <col min="14" max="14" width="17.77734375" customWidth="1"/>
  </cols>
  <sheetData>
    <row r="1" spans="1:14" x14ac:dyDescent="0.3">
      <c r="A1" s="7" t="s">
        <v>0</v>
      </c>
      <c r="B1" s="8" t="s">
        <v>1</v>
      </c>
      <c r="C1" s="8" t="s">
        <v>2</v>
      </c>
      <c r="D1" s="8" t="s">
        <v>3</v>
      </c>
      <c r="E1" s="8" t="s">
        <v>4</v>
      </c>
      <c r="F1" s="8" t="s">
        <v>5</v>
      </c>
      <c r="G1" s="8" t="s">
        <v>6</v>
      </c>
      <c r="H1" s="8" t="s">
        <v>7</v>
      </c>
      <c r="I1" s="8" t="s">
        <v>8</v>
      </c>
      <c r="J1" s="8" t="s">
        <v>2146</v>
      </c>
      <c r="K1" s="8" t="s">
        <v>1982</v>
      </c>
      <c r="L1" s="8" t="s">
        <v>1983</v>
      </c>
      <c r="M1" s="8" t="s">
        <v>1984</v>
      </c>
      <c r="N1" s="8" t="s">
        <v>2147</v>
      </c>
    </row>
    <row r="2" spans="1:14" x14ac:dyDescent="0.3">
      <c r="A2" s="1" t="s">
        <v>9</v>
      </c>
      <c r="B2" s="1" t="s">
        <v>10</v>
      </c>
      <c r="C2" s="1" t="s">
        <v>11</v>
      </c>
      <c r="D2" s="1">
        <v>1</v>
      </c>
      <c r="E2" s="12">
        <v>45796.799305555556</v>
      </c>
      <c r="F2" s="1" t="s">
        <v>12</v>
      </c>
      <c r="G2" s="1" t="s">
        <v>13</v>
      </c>
      <c r="H2" s="1" t="s">
        <v>14</v>
      </c>
      <c r="I2" s="1" t="s">
        <v>15</v>
      </c>
      <c r="J2" s="1" t="str">
        <f t="shared" ref="J2:J65" si="0">TRIM(I2)</f>
        <v>delivered</v>
      </c>
      <c r="K2" s="1" t="str">
        <f>_xlfn.XLOOKUP(C2, 'Product Catalog'!$A:$A, 'Product Catalog'!$B:$B, "Unknown Product")</f>
        <v>Keyboard Model F57</v>
      </c>
      <c r="L2" s="1" t="str">
        <f>_xlfn.XLOOKUP(C2, 'Product Catalog'!$A:$A, 'Product Catalog'!$C:$C, "Unknown Category")</f>
        <v>Electronics</v>
      </c>
      <c r="M2" s="1">
        <f>_xlfn.XLOOKUP(C2, 'Product Catalog'!$A:$A, 'Product Catalog'!$D:$D, 0)</f>
        <v>60.02</v>
      </c>
      <c r="N2" s="1">
        <f t="shared" ref="N2:N65" si="1">D2 * M2</f>
        <v>60.02</v>
      </c>
    </row>
    <row r="3" spans="1:14" x14ac:dyDescent="0.3">
      <c r="A3" s="1" t="s">
        <v>16</v>
      </c>
      <c r="B3" s="1" t="s">
        <v>17</v>
      </c>
      <c r="C3" s="1" t="s">
        <v>18</v>
      </c>
      <c r="D3" s="1">
        <v>1</v>
      </c>
      <c r="E3" s="12">
        <v>46014.386111111111</v>
      </c>
      <c r="F3" s="1" t="s">
        <v>19</v>
      </c>
      <c r="G3" s="1" t="s">
        <v>20</v>
      </c>
      <c r="H3" s="1" t="s">
        <v>14</v>
      </c>
      <c r="I3" s="1" t="s">
        <v>15</v>
      </c>
      <c r="J3" s="1" t="str">
        <f t="shared" si="0"/>
        <v>delivered</v>
      </c>
      <c r="K3" s="1" t="str">
        <f>_xlfn.XLOOKUP(C3, 'Product Catalog'!$A:$A, 'Product Catalog'!$B:$B, "Unknown Product")</f>
        <v>Sneakers Model H137</v>
      </c>
      <c r="L3" s="1" t="str">
        <f>_xlfn.XLOOKUP(C3, 'Product Catalog'!$A:$A, 'Product Catalog'!$C:$C, "Unknown Category")</f>
        <v>Apparel</v>
      </c>
      <c r="M3" s="1">
        <f>_xlfn.XLOOKUP(C3, 'Product Catalog'!$A:$A, 'Product Catalog'!$D:$D, 0)</f>
        <v>33.53</v>
      </c>
      <c r="N3" s="1">
        <f t="shared" si="1"/>
        <v>33.53</v>
      </c>
    </row>
    <row r="4" spans="1:14" x14ac:dyDescent="0.3">
      <c r="A4" s="1" t="s">
        <v>21</v>
      </c>
      <c r="B4" s="1" t="s">
        <v>22</v>
      </c>
      <c r="C4" s="1" t="s">
        <v>23</v>
      </c>
      <c r="D4" s="1">
        <v>1</v>
      </c>
      <c r="E4" s="12">
        <v>45728.154861111114</v>
      </c>
      <c r="F4" s="1" t="s">
        <v>12</v>
      </c>
      <c r="G4" s="1" t="s">
        <v>20</v>
      </c>
      <c r="H4" s="1" t="s">
        <v>24</v>
      </c>
      <c r="I4" s="1" t="s">
        <v>15</v>
      </c>
      <c r="J4" s="1" t="str">
        <f t="shared" si="0"/>
        <v>delivered</v>
      </c>
      <c r="K4" s="1" t="str">
        <f>_xlfn.XLOOKUP(C4, 'Product Catalog'!$A:$A, 'Product Catalog'!$B:$B, "Unknown Product")</f>
        <v>Mouse Model A78</v>
      </c>
      <c r="L4" s="1" t="str">
        <f>_xlfn.XLOOKUP(C4, 'Product Catalog'!$A:$A, 'Product Catalog'!$C:$C, "Unknown Category")</f>
        <v>Electronics</v>
      </c>
      <c r="M4" s="1">
        <f>_xlfn.XLOOKUP(C4, 'Product Catalog'!$A:$A, 'Product Catalog'!$D:$D, 0)</f>
        <v>141.34</v>
      </c>
      <c r="N4" s="1">
        <f t="shared" si="1"/>
        <v>141.34</v>
      </c>
    </row>
    <row r="5" spans="1:14" x14ac:dyDescent="0.3">
      <c r="A5" s="1" t="s">
        <v>25</v>
      </c>
      <c r="B5" s="1" t="s">
        <v>26</v>
      </c>
      <c r="C5" s="1" t="s">
        <v>27</v>
      </c>
      <c r="D5" s="1">
        <v>1</v>
      </c>
      <c r="E5" s="12">
        <v>45973.834027777775</v>
      </c>
      <c r="F5" s="1" t="s">
        <v>19</v>
      </c>
      <c r="G5" s="1" t="s">
        <v>20</v>
      </c>
      <c r="H5" s="1" t="s">
        <v>24</v>
      </c>
      <c r="I5" s="1" t="s">
        <v>15</v>
      </c>
      <c r="J5" s="1" t="str">
        <f t="shared" si="0"/>
        <v>delivered</v>
      </c>
      <c r="K5" s="1" t="str">
        <f>_xlfn.XLOOKUP(C5, 'Product Catalog'!$A:$A, 'Product Catalog'!$B:$B, "Unknown Product")</f>
        <v>Premium Stream 1M Model B53</v>
      </c>
      <c r="L5" s="1" t="str">
        <f>_xlfn.XLOOKUP(C5, 'Product Catalog'!$A:$A, 'Product Catalog'!$C:$C, "Unknown Category")</f>
        <v>Digital Services</v>
      </c>
      <c r="M5" s="1">
        <f>_xlfn.XLOOKUP(C5, 'Product Catalog'!$A:$A, 'Product Catalog'!$D:$D, 0)</f>
        <v>13.87</v>
      </c>
      <c r="N5" s="1">
        <f t="shared" si="1"/>
        <v>13.87</v>
      </c>
    </row>
    <row r="6" spans="1:14" x14ac:dyDescent="0.3">
      <c r="A6" s="1" t="s">
        <v>28</v>
      </c>
      <c r="B6" s="1" t="s">
        <v>29</v>
      </c>
      <c r="C6" s="1" t="s">
        <v>30</v>
      </c>
      <c r="D6" s="1">
        <v>1</v>
      </c>
      <c r="E6" s="12">
        <v>45780.344444444447</v>
      </c>
      <c r="F6" s="1" t="s">
        <v>19</v>
      </c>
      <c r="G6" s="1" t="s">
        <v>31</v>
      </c>
      <c r="H6" s="1" t="s">
        <v>14</v>
      </c>
      <c r="I6" s="1" t="s">
        <v>32</v>
      </c>
      <c r="J6" s="1" t="str">
        <f t="shared" si="0"/>
        <v>SHIPPED</v>
      </c>
      <c r="K6" s="1" t="str">
        <f>_xlfn.XLOOKUP(C6, 'Product Catalog'!$A:$A, 'Product Catalog'!$B:$B, "Unknown Product")</f>
        <v>VPN 6-Month Pass Model B131</v>
      </c>
      <c r="L6" s="1" t="str">
        <f>_xlfn.XLOOKUP(C6, 'Product Catalog'!$A:$A, 'Product Catalog'!$C:$C, "Unknown Category")</f>
        <v>Digital Services</v>
      </c>
      <c r="M6" s="1">
        <f>_xlfn.XLOOKUP(C6, 'Product Catalog'!$A:$A, 'Product Catalog'!$D:$D, 0)</f>
        <v>46.92</v>
      </c>
      <c r="N6" s="1">
        <f t="shared" si="1"/>
        <v>46.92</v>
      </c>
    </row>
    <row r="7" spans="1:14" x14ac:dyDescent="0.3">
      <c r="A7" s="1" t="s">
        <v>33</v>
      </c>
      <c r="B7" s="1" t="s">
        <v>34</v>
      </c>
      <c r="C7" s="1" t="s">
        <v>35</v>
      </c>
      <c r="D7" s="1">
        <v>1</v>
      </c>
      <c r="E7" s="12">
        <v>45683.95208333333</v>
      </c>
      <c r="F7" s="1" t="s">
        <v>12</v>
      </c>
      <c r="G7" s="1" t="s">
        <v>31</v>
      </c>
      <c r="H7" s="1" t="s">
        <v>24</v>
      </c>
      <c r="I7" s="1" t="s">
        <v>32</v>
      </c>
      <c r="J7" s="1" t="str">
        <f t="shared" si="0"/>
        <v>SHIPPED</v>
      </c>
      <c r="K7" s="1" t="str">
        <f>_xlfn.XLOOKUP(C7, 'Product Catalog'!$A:$A, 'Product Catalog'!$B:$B, "Unknown Product")</f>
        <v>Blender Model W74</v>
      </c>
      <c r="L7" s="1" t="str">
        <f>_xlfn.XLOOKUP(C7, 'Product Catalog'!$A:$A, 'Product Catalog'!$C:$C, "Unknown Category")</f>
        <v>Home Goods</v>
      </c>
      <c r="M7" s="1">
        <f>_xlfn.XLOOKUP(C7, 'Product Catalog'!$A:$A, 'Product Catalog'!$D:$D, 0)</f>
        <v>127.16</v>
      </c>
      <c r="N7" s="1">
        <f t="shared" si="1"/>
        <v>127.16</v>
      </c>
    </row>
    <row r="8" spans="1:14" x14ac:dyDescent="0.3">
      <c r="A8" s="1" t="s">
        <v>36</v>
      </c>
      <c r="B8" s="1" t="s">
        <v>37</v>
      </c>
      <c r="C8" s="1" t="s">
        <v>38</v>
      </c>
      <c r="D8" s="1">
        <v>4</v>
      </c>
      <c r="E8" s="12">
        <v>45929.320833333331</v>
      </c>
      <c r="F8" s="1" t="s">
        <v>39</v>
      </c>
      <c r="G8" s="1" t="s">
        <v>40</v>
      </c>
      <c r="H8" s="1" t="s">
        <v>41</v>
      </c>
      <c r="I8" s="1" t="s">
        <v>42</v>
      </c>
      <c r="J8" s="1" t="str">
        <f t="shared" si="0"/>
        <v>PENDING_REVIEW</v>
      </c>
      <c r="K8" s="1" t="str">
        <f>_xlfn.XLOOKUP(C8, 'Product Catalog'!$A:$A, 'Product Catalog'!$B:$B, "Unknown Product")</f>
        <v>VPN 6-Month Pass Model V73</v>
      </c>
      <c r="L8" s="1" t="str">
        <f>_xlfn.XLOOKUP(C8, 'Product Catalog'!$A:$A, 'Product Catalog'!$C:$C, "Unknown Category")</f>
        <v>Digital Services</v>
      </c>
      <c r="M8" s="1">
        <f>_xlfn.XLOOKUP(C8, 'Product Catalog'!$A:$A, 'Product Catalog'!$D:$D, 0)</f>
        <v>58.13</v>
      </c>
      <c r="N8" s="1">
        <f t="shared" si="1"/>
        <v>232.52</v>
      </c>
    </row>
    <row r="9" spans="1:14" x14ac:dyDescent="0.3">
      <c r="A9" s="1" t="s">
        <v>43</v>
      </c>
      <c r="B9" s="1" t="s">
        <v>44</v>
      </c>
      <c r="C9" s="1" t="s">
        <v>45</v>
      </c>
      <c r="D9" s="1">
        <v>1</v>
      </c>
      <c r="E9" s="12">
        <v>45984.330555555556</v>
      </c>
      <c r="F9" s="1" t="s">
        <v>19</v>
      </c>
      <c r="G9" s="1" t="s">
        <v>46</v>
      </c>
      <c r="H9" s="1" t="s">
        <v>14</v>
      </c>
      <c r="I9" s="1" t="s">
        <v>15</v>
      </c>
      <c r="J9" s="1" t="str">
        <f t="shared" si="0"/>
        <v>delivered</v>
      </c>
      <c r="K9" s="1" t="str">
        <f>_xlfn.XLOOKUP(C9, 'Product Catalog'!$A:$A, 'Product Catalog'!$B:$B, "Unknown Product")</f>
        <v>Jacket Model N91</v>
      </c>
      <c r="L9" s="1" t="str">
        <f>_xlfn.XLOOKUP(C9, 'Product Catalog'!$A:$A, 'Product Catalog'!$C:$C, "Unknown Category")</f>
        <v>Apparel</v>
      </c>
      <c r="M9" s="1">
        <f>_xlfn.XLOOKUP(C9, 'Product Catalog'!$A:$A, 'Product Catalog'!$D:$D, 0)</f>
        <v>13.96</v>
      </c>
      <c r="N9" s="1">
        <f t="shared" si="1"/>
        <v>13.96</v>
      </c>
    </row>
    <row r="10" spans="1:14" x14ac:dyDescent="0.3">
      <c r="A10" s="1" t="s">
        <v>47</v>
      </c>
      <c r="B10" s="1" t="s">
        <v>48</v>
      </c>
      <c r="C10" s="1" t="s">
        <v>49</v>
      </c>
      <c r="D10" s="1">
        <v>1</v>
      </c>
      <c r="E10" s="12">
        <v>45684.142361111109</v>
      </c>
      <c r="F10" s="1" t="s">
        <v>19</v>
      </c>
      <c r="G10" s="1" t="s">
        <v>50</v>
      </c>
      <c r="H10" s="1" t="s">
        <v>51</v>
      </c>
      <c r="I10" s="1" t="s">
        <v>42</v>
      </c>
      <c r="J10" s="1" t="str">
        <f t="shared" si="0"/>
        <v>PENDING_REVIEW</v>
      </c>
      <c r="K10" s="1" t="str">
        <f>_xlfn.XLOOKUP(C10, 'Product Catalog'!$A:$A, 'Product Catalog'!$B:$B, "Unknown Product")</f>
        <v>E-Book Access Model Y76</v>
      </c>
      <c r="L10" s="1" t="str">
        <f>_xlfn.XLOOKUP(C10, 'Product Catalog'!$A:$A, 'Product Catalog'!$C:$C, "Unknown Category")</f>
        <v>Digital Services</v>
      </c>
      <c r="M10" s="1">
        <f>_xlfn.XLOOKUP(C10, 'Product Catalog'!$A:$A, 'Product Catalog'!$D:$D, 0)</f>
        <v>92.33</v>
      </c>
      <c r="N10" s="1">
        <f t="shared" si="1"/>
        <v>92.33</v>
      </c>
    </row>
    <row r="11" spans="1:14" x14ac:dyDescent="0.3">
      <c r="A11" s="1" t="s">
        <v>52</v>
      </c>
      <c r="B11" s="1" t="s">
        <v>53</v>
      </c>
      <c r="C11" s="1" t="s">
        <v>54</v>
      </c>
      <c r="D11" s="1">
        <v>5</v>
      </c>
      <c r="E11" s="12">
        <v>45869.469444444447</v>
      </c>
      <c r="F11" s="1" t="s">
        <v>19</v>
      </c>
      <c r="G11" s="1" t="s">
        <v>40</v>
      </c>
      <c r="H11" s="1" t="s">
        <v>55</v>
      </c>
      <c r="I11" s="1" t="s">
        <v>56</v>
      </c>
      <c r="J11" s="1" t="str">
        <f t="shared" si="0"/>
        <v>cancelled</v>
      </c>
      <c r="K11" s="1" t="str">
        <f>_xlfn.XLOOKUP(C11, 'Product Catalog'!$A:$A, 'Product Catalog'!$B:$B, "Unknown Product")</f>
        <v>Keyboard Model V21</v>
      </c>
      <c r="L11" s="1" t="str">
        <f>_xlfn.XLOOKUP(C11, 'Product Catalog'!$A:$A, 'Product Catalog'!$C:$C, "Unknown Category")</f>
        <v>Electronics</v>
      </c>
      <c r="M11" s="1">
        <f>_xlfn.XLOOKUP(C11, 'Product Catalog'!$A:$A, 'Product Catalog'!$D:$D, 0)</f>
        <v>208.12</v>
      </c>
      <c r="N11" s="1">
        <f t="shared" si="1"/>
        <v>1040.5999999999999</v>
      </c>
    </row>
    <row r="12" spans="1:14" x14ac:dyDescent="0.3">
      <c r="A12" s="1" t="s">
        <v>57</v>
      </c>
      <c r="B12" s="1" t="s">
        <v>58</v>
      </c>
      <c r="C12" s="1" t="s">
        <v>59</v>
      </c>
      <c r="D12" s="1">
        <v>5</v>
      </c>
      <c r="E12" s="12">
        <v>45899.142361111109</v>
      </c>
      <c r="F12" s="1" t="s">
        <v>39</v>
      </c>
      <c r="G12" s="1" t="s">
        <v>46</v>
      </c>
      <c r="H12" s="1" t="s">
        <v>51</v>
      </c>
      <c r="I12" s="1" t="s">
        <v>42</v>
      </c>
      <c r="J12" s="1" t="str">
        <f t="shared" si="0"/>
        <v>PENDING_REVIEW</v>
      </c>
      <c r="K12" s="1" t="str">
        <f>_xlfn.XLOOKUP(C12, 'Product Catalog'!$A:$A, 'Product Catalog'!$B:$B, "Unknown Product")</f>
        <v>Silk Scarf Model Z25</v>
      </c>
      <c r="L12" s="1" t="str">
        <f>_xlfn.XLOOKUP(C12, 'Product Catalog'!$A:$A, 'Product Catalog'!$C:$C, "Unknown Category")</f>
        <v>Luxury Goods</v>
      </c>
      <c r="M12" s="1">
        <f>_xlfn.XLOOKUP(C12, 'Product Catalog'!$A:$A, 'Product Catalog'!$D:$D, 0)</f>
        <v>878.03</v>
      </c>
      <c r="N12" s="1">
        <f t="shared" si="1"/>
        <v>4390.1499999999996</v>
      </c>
    </row>
    <row r="13" spans="1:14" x14ac:dyDescent="0.3">
      <c r="A13" s="1" t="s">
        <v>60</v>
      </c>
      <c r="B13" s="1" t="s">
        <v>61</v>
      </c>
      <c r="C13" s="1" t="s">
        <v>62</v>
      </c>
      <c r="D13" s="1">
        <v>2</v>
      </c>
      <c r="E13" s="12">
        <v>46006.195138888892</v>
      </c>
      <c r="F13" s="1" t="s">
        <v>19</v>
      </c>
      <c r="G13" s="1" t="s">
        <v>46</v>
      </c>
      <c r="H13" s="1" t="s">
        <v>41</v>
      </c>
      <c r="I13" s="1" t="s">
        <v>32</v>
      </c>
      <c r="J13" s="1" t="str">
        <f t="shared" si="0"/>
        <v>SHIPPED</v>
      </c>
      <c r="K13" s="1" t="str">
        <f>_xlfn.XLOOKUP(C13, 'Product Catalog'!$A:$A, 'Product Catalog'!$B:$B, "Unknown Product")</f>
        <v>Cable Model M12</v>
      </c>
      <c r="L13" s="1" t="str">
        <f>_xlfn.XLOOKUP(C13, 'Product Catalog'!$A:$A, 'Product Catalog'!$C:$C, "Unknown Category")</f>
        <v>Electronics</v>
      </c>
      <c r="M13" s="1">
        <f>_xlfn.XLOOKUP(C13, 'Product Catalog'!$A:$A, 'Product Catalog'!$D:$D, 0)</f>
        <v>83.9</v>
      </c>
      <c r="N13" s="1">
        <f t="shared" si="1"/>
        <v>167.8</v>
      </c>
    </row>
    <row r="14" spans="1:14" x14ac:dyDescent="0.3">
      <c r="A14" s="1" t="s">
        <v>63</v>
      </c>
      <c r="B14" s="1" t="s">
        <v>64</v>
      </c>
      <c r="C14" s="1" t="s">
        <v>65</v>
      </c>
      <c r="D14" s="1">
        <v>1</v>
      </c>
      <c r="E14" s="12">
        <v>45660.782638888886</v>
      </c>
      <c r="F14" s="1" t="s">
        <v>19</v>
      </c>
      <c r="G14" s="1" t="s">
        <v>31</v>
      </c>
      <c r="H14" s="1" t="s">
        <v>14</v>
      </c>
      <c r="I14" s="1" t="s">
        <v>15</v>
      </c>
      <c r="J14" s="1" t="str">
        <f t="shared" si="0"/>
        <v>delivered</v>
      </c>
      <c r="K14" s="1" t="str">
        <f>_xlfn.XLOOKUP(C14, 'Product Catalog'!$A:$A, 'Product Catalog'!$B:$B, "Unknown Product")</f>
        <v>Cap Model T97</v>
      </c>
      <c r="L14" s="1" t="str">
        <f>_xlfn.XLOOKUP(C14, 'Product Catalog'!$A:$A, 'Product Catalog'!$C:$C, "Unknown Category")</f>
        <v>Apparel</v>
      </c>
      <c r="M14" s="1">
        <f>_xlfn.XLOOKUP(C14, 'Product Catalog'!$A:$A, 'Product Catalog'!$D:$D, 0)</f>
        <v>99.18</v>
      </c>
      <c r="N14" s="1">
        <f t="shared" si="1"/>
        <v>99.18</v>
      </c>
    </row>
    <row r="15" spans="1:14" x14ac:dyDescent="0.3">
      <c r="A15" s="1" t="s">
        <v>66</v>
      </c>
      <c r="B15" s="1" t="s">
        <v>67</v>
      </c>
      <c r="C15" s="1" t="s">
        <v>68</v>
      </c>
      <c r="D15" s="1">
        <v>4</v>
      </c>
      <c r="E15" s="12">
        <v>45738.578472222223</v>
      </c>
      <c r="F15" s="1" t="s">
        <v>19</v>
      </c>
      <c r="G15" s="1" t="s">
        <v>50</v>
      </c>
      <c r="H15" s="1" t="s">
        <v>55</v>
      </c>
      <c r="I15" s="1" t="s">
        <v>56</v>
      </c>
      <c r="J15" s="1" t="str">
        <f t="shared" si="0"/>
        <v>cancelled</v>
      </c>
      <c r="K15" s="1" t="str">
        <f>_xlfn.XLOOKUP(C15, 'Product Catalog'!$A:$A, 'Product Catalog'!$B:$B, "Unknown Product")</f>
        <v>Premium Perfume Model G32</v>
      </c>
      <c r="L15" s="1" t="str">
        <f>_xlfn.XLOOKUP(C15, 'Product Catalog'!$A:$A, 'Product Catalog'!$C:$C, "Unknown Category")</f>
        <v>Luxury Goods</v>
      </c>
      <c r="M15" s="1">
        <f>_xlfn.XLOOKUP(C15, 'Product Catalog'!$A:$A, 'Product Catalog'!$D:$D, 0)</f>
        <v>1990.92</v>
      </c>
      <c r="N15" s="1">
        <f t="shared" si="1"/>
        <v>7963.68</v>
      </c>
    </row>
    <row r="16" spans="1:14" x14ac:dyDescent="0.3">
      <c r="A16" s="1" t="s">
        <v>69</v>
      </c>
      <c r="B16" s="1" t="s">
        <v>70</v>
      </c>
      <c r="C16" s="1" t="s">
        <v>71</v>
      </c>
      <c r="D16" s="1">
        <v>1</v>
      </c>
      <c r="E16" s="12">
        <v>45992.676388888889</v>
      </c>
      <c r="F16" s="1" t="s">
        <v>12</v>
      </c>
      <c r="G16" s="1" t="s">
        <v>31</v>
      </c>
      <c r="H16" s="1" t="s">
        <v>24</v>
      </c>
      <c r="I16" s="1" t="s">
        <v>15</v>
      </c>
      <c r="J16" s="1" t="str">
        <f t="shared" si="0"/>
        <v>delivered</v>
      </c>
      <c r="K16" s="1" t="str">
        <f>_xlfn.XLOOKUP(C16, 'Product Catalog'!$A:$A, 'Product Catalog'!$B:$B, "Unknown Product")</f>
        <v>VPN 6-Month Pass Model D29</v>
      </c>
      <c r="L16" s="1" t="str">
        <f>_xlfn.XLOOKUP(C16, 'Product Catalog'!$A:$A, 'Product Catalog'!$C:$C, "Unknown Category")</f>
        <v>Digital Services</v>
      </c>
      <c r="M16" s="1">
        <f>_xlfn.XLOOKUP(C16, 'Product Catalog'!$A:$A, 'Product Catalog'!$D:$D, 0)</f>
        <v>10.97</v>
      </c>
      <c r="N16" s="1">
        <f t="shared" si="1"/>
        <v>10.97</v>
      </c>
    </row>
    <row r="17" spans="1:14" x14ac:dyDescent="0.3">
      <c r="A17" s="1" t="s">
        <v>72</v>
      </c>
      <c r="B17" s="1" t="s">
        <v>73</v>
      </c>
      <c r="C17" s="1" t="s">
        <v>74</v>
      </c>
      <c r="D17" s="1">
        <v>1</v>
      </c>
      <c r="E17" s="12">
        <v>45902.925000000003</v>
      </c>
      <c r="F17" s="1" t="s">
        <v>19</v>
      </c>
      <c r="G17" s="1" t="s">
        <v>46</v>
      </c>
      <c r="H17" s="1" t="s">
        <v>41</v>
      </c>
      <c r="I17" s="1" t="s">
        <v>15</v>
      </c>
      <c r="J17" s="1" t="str">
        <f t="shared" si="0"/>
        <v>delivered</v>
      </c>
      <c r="K17" s="1" t="str">
        <f>_xlfn.XLOOKUP(C17, 'Product Catalog'!$A:$A, 'Product Catalog'!$B:$B, "Unknown Product")</f>
        <v>Webcam Model D55</v>
      </c>
      <c r="L17" s="1" t="str">
        <f>_xlfn.XLOOKUP(C17, 'Product Catalog'!$A:$A, 'Product Catalog'!$C:$C, "Unknown Category")</f>
        <v>Electronics</v>
      </c>
      <c r="M17" s="1">
        <f>_xlfn.XLOOKUP(C17, 'Product Catalog'!$A:$A, 'Product Catalog'!$D:$D, 0)</f>
        <v>168.56</v>
      </c>
      <c r="N17" s="1">
        <f t="shared" si="1"/>
        <v>168.56</v>
      </c>
    </row>
    <row r="18" spans="1:14" x14ac:dyDescent="0.3">
      <c r="A18" s="1" t="s">
        <v>75</v>
      </c>
      <c r="B18" s="1" t="s">
        <v>76</v>
      </c>
      <c r="C18" s="1" t="s">
        <v>77</v>
      </c>
      <c r="D18" s="1">
        <v>5</v>
      </c>
      <c r="E18" s="12">
        <v>45760.408333333333</v>
      </c>
      <c r="F18" s="1" t="s">
        <v>39</v>
      </c>
      <c r="G18" s="1" t="s">
        <v>40</v>
      </c>
      <c r="H18" s="1" t="s">
        <v>41</v>
      </c>
      <c r="I18" s="1" t="s">
        <v>56</v>
      </c>
      <c r="J18" s="1" t="str">
        <f t="shared" si="0"/>
        <v>cancelled</v>
      </c>
      <c r="K18" s="1" t="str">
        <f>_xlfn.XLOOKUP(C18, 'Product Catalog'!$A:$A, 'Product Catalog'!$B:$B, "Unknown Product")</f>
        <v>Mug Model E108</v>
      </c>
      <c r="L18" s="1" t="str">
        <f>_xlfn.XLOOKUP(C18, 'Product Catalog'!$A:$A, 'Product Catalog'!$C:$C, "Unknown Category")</f>
        <v>Home Goods</v>
      </c>
      <c r="M18" s="1">
        <f>_xlfn.XLOOKUP(C18, 'Product Catalog'!$A:$A, 'Product Catalog'!$D:$D, 0)</f>
        <v>116.99</v>
      </c>
      <c r="N18" s="1">
        <f t="shared" si="1"/>
        <v>584.94999999999993</v>
      </c>
    </row>
    <row r="19" spans="1:14" x14ac:dyDescent="0.3">
      <c r="A19" s="1" t="s">
        <v>78</v>
      </c>
      <c r="B19" s="1" t="s">
        <v>79</v>
      </c>
      <c r="C19" s="1" t="s">
        <v>80</v>
      </c>
      <c r="D19" s="1">
        <v>4</v>
      </c>
      <c r="E19" s="12">
        <v>45822.405555555553</v>
      </c>
      <c r="F19" s="1" t="s">
        <v>39</v>
      </c>
      <c r="G19" s="1" t="s">
        <v>13</v>
      </c>
      <c r="H19" s="1" t="s">
        <v>55</v>
      </c>
      <c r="I19" s="1" t="s">
        <v>81</v>
      </c>
      <c r="J19" s="1" t="str">
        <f t="shared" si="0"/>
        <v>REFUNDED</v>
      </c>
      <c r="K19" s="1" t="str">
        <f>_xlfn.XLOOKUP(C19, 'Product Catalog'!$A:$A, 'Product Catalog'!$B:$B, "Unknown Product")</f>
        <v>Leather Handbag Model S18</v>
      </c>
      <c r="L19" s="1" t="str">
        <f>_xlfn.XLOOKUP(C19, 'Product Catalog'!$A:$A, 'Product Catalog'!$C:$C, "Unknown Category")</f>
        <v>Luxury Goods</v>
      </c>
      <c r="M19" s="1">
        <f>_xlfn.XLOOKUP(C19, 'Product Catalog'!$A:$A, 'Product Catalog'!$D:$D, 0)</f>
        <v>1475.11</v>
      </c>
      <c r="N19" s="1">
        <f t="shared" si="1"/>
        <v>5900.44</v>
      </c>
    </row>
    <row r="20" spans="1:14" x14ac:dyDescent="0.3">
      <c r="A20" s="1" t="s">
        <v>82</v>
      </c>
      <c r="B20" s="1" t="s">
        <v>83</v>
      </c>
      <c r="C20" s="1" t="s">
        <v>84</v>
      </c>
      <c r="D20" s="1">
        <v>5</v>
      </c>
      <c r="E20" s="12">
        <v>45988.084027777775</v>
      </c>
      <c r="F20" s="1" t="s">
        <v>39</v>
      </c>
      <c r="G20" s="1" t="s">
        <v>40</v>
      </c>
      <c r="H20" s="1" t="s">
        <v>51</v>
      </c>
      <c r="I20" s="1" t="s">
        <v>56</v>
      </c>
      <c r="J20" s="1" t="str">
        <f t="shared" si="0"/>
        <v>cancelled</v>
      </c>
      <c r="K20" s="1" t="str">
        <f>_xlfn.XLOOKUP(C20, 'Product Catalog'!$A:$A, 'Product Catalog'!$B:$B, "Unknown Product")</f>
        <v>Smartwatch Model J35</v>
      </c>
      <c r="L20" s="1" t="str">
        <f>_xlfn.XLOOKUP(C20, 'Product Catalog'!$A:$A, 'Product Catalog'!$C:$C, "Unknown Category")</f>
        <v>Electronics</v>
      </c>
      <c r="M20" s="1">
        <f>_xlfn.XLOOKUP(C20, 'Product Catalog'!$A:$A, 'Product Catalog'!$D:$D, 0)</f>
        <v>161.94999999999999</v>
      </c>
      <c r="N20" s="1">
        <f t="shared" si="1"/>
        <v>809.75</v>
      </c>
    </row>
    <row r="21" spans="1:14" x14ac:dyDescent="0.3">
      <c r="A21" s="1" t="s">
        <v>85</v>
      </c>
      <c r="B21" s="1" t="s">
        <v>86</v>
      </c>
      <c r="C21" s="1" t="s">
        <v>87</v>
      </c>
      <c r="D21" s="1">
        <v>5</v>
      </c>
      <c r="E21" s="12">
        <v>45703.927083333336</v>
      </c>
      <c r="F21" s="1" t="s">
        <v>39</v>
      </c>
      <c r="G21" s="1" t="s">
        <v>40</v>
      </c>
      <c r="H21" s="1" t="s">
        <v>41</v>
      </c>
      <c r="I21" s="1" t="s">
        <v>81</v>
      </c>
      <c r="J21" s="1" t="str">
        <f t="shared" si="0"/>
        <v>REFUNDED</v>
      </c>
      <c r="K21" s="1" t="str">
        <f>_xlfn.XLOOKUP(C21, 'Product Catalog'!$A:$A, 'Product Catalog'!$B:$B, "Unknown Product")</f>
        <v>T-Shirt Model S122</v>
      </c>
      <c r="L21" s="1" t="str">
        <f>_xlfn.XLOOKUP(C21, 'Product Catalog'!$A:$A, 'Product Catalog'!$C:$C, "Unknown Category")</f>
        <v>Apparel</v>
      </c>
      <c r="M21" s="1">
        <f>_xlfn.XLOOKUP(C21, 'Product Catalog'!$A:$A, 'Product Catalog'!$D:$D, 0)</f>
        <v>15.08</v>
      </c>
      <c r="N21" s="1">
        <f t="shared" si="1"/>
        <v>75.400000000000006</v>
      </c>
    </row>
    <row r="22" spans="1:14" x14ac:dyDescent="0.3">
      <c r="A22" s="1" t="s">
        <v>88</v>
      </c>
      <c r="B22" s="1" t="s">
        <v>89</v>
      </c>
      <c r="C22" s="1" t="s">
        <v>90</v>
      </c>
      <c r="D22" s="1">
        <v>1</v>
      </c>
      <c r="E22" s="12">
        <v>45951.329861111109</v>
      </c>
      <c r="F22" s="1" t="s">
        <v>12</v>
      </c>
      <c r="G22" s="1" t="s">
        <v>46</v>
      </c>
      <c r="H22" s="1" t="s">
        <v>14</v>
      </c>
      <c r="I22" s="1" t="s">
        <v>15</v>
      </c>
      <c r="J22" s="1" t="str">
        <f t="shared" si="0"/>
        <v>delivered</v>
      </c>
      <c r="K22" s="1" t="str">
        <f>_xlfn.XLOOKUP(C22, 'Product Catalog'!$A:$A, 'Product Catalog'!$B:$B, "Unknown Product")</f>
        <v>VPN 6-Month Pass Model F109</v>
      </c>
      <c r="L22" s="1" t="str">
        <f>_xlfn.XLOOKUP(C22, 'Product Catalog'!$A:$A, 'Product Catalog'!$C:$C, "Unknown Category")</f>
        <v>Digital Services</v>
      </c>
      <c r="M22" s="1">
        <f>_xlfn.XLOOKUP(C22, 'Product Catalog'!$A:$A, 'Product Catalog'!$D:$D, 0)</f>
        <v>22.87</v>
      </c>
      <c r="N22" s="1">
        <f t="shared" si="1"/>
        <v>22.87</v>
      </c>
    </row>
    <row r="23" spans="1:14" x14ac:dyDescent="0.3">
      <c r="A23" s="1" t="s">
        <v>91</v>
      </c>
      <c r="B23" s="1" t="s">
        <v>92</v>
      </c>
      <c r="C23" s="1" t="s">
        <v>38</v>
      </c>
      <c r="D23" s="1">
        <v>1</v>
      </c>
      <c r="E23" s="12">
        <v>45931.052777777775</v>
      </c>
      <c r="F23" s="1" t="s">
        <v>12</v>
      </c>
      <c r="G23" s="1" t="s">
        <v>20</v>
      </c>
      <c r="H23" s="1" t="s">
        <v>14</v>
      </c>
      <c r="I23" s="1" t="s">
        <v>15</v>
      </c>
      <c r="J23" s="1" t="str">
        <f t="shared" si="0"/>
        <v>delivered</v>
      </c>
      <c r="K23" s="1" t="str">
        <f>_xlfn.XLOOKUP(C23, 'Product Catalog'!$A:$A, 'Product Catalog'!$B:$B, "Unknown Product")</f>
        <v>VPN 6-Month Pass Model V73</v>
      </c>
      <c r="L23" s="1" t="str">
        <f>_xlfn.XLOOKUP(C23, 'Product Catalog'!$A:$A, 'Product Catalog'!$C:$C, "Unknown Category")</f>
        <v>Digital Services</v>
      </c>
      <c r="M23" s="1">
        <f>_xlfn.XLOOKUP(C23, 'Product Catalog'!$A:$A, 'Product Catalog'!$D:$D, 0)</f>
        <v>58.13</v>
      </c>
      <c r="N23" s="1">
        <f t="shared" si="1"/>
        <v>58.13</v>
      </c>
    </row>
    <row r="24" spans="1:14" x14ac:dyDescent="0.3">
      <c r="A24" s="1" t="s">
        <v>93</v>
      </c>
      <c r="B24" s="1" t="s">
        <v>94</v>
      </c>
      <c r="C24" s="1" t="s">
        <v>95</v>
      </c>
      <c r="D24" s="1">
        <v>1</v>
      </c>
      <c r="E24" s="12">
        <v>45747.59375</v>
      </c>
      <c r="F24" s="1" t="s">
        <v>19</v>
      </c>
      <c r="G24" s="1" t="s">
        <v>13</v>
      </c>
      <c r="H24" s="1" t="s">
        <v>14</v>
      </c>
      <c r="I24" s="1" t="s">
        <v>15</v>
      </c>
      <c r="J24" s="1" t="str">
        <f t="shared" si="0"/>
        <v>delivered</v>
      </c>
      <c r="K24" s="1" t="str">
        <f>_xlfn.XLOOKUP(C24, 'Product Catalog'!$A:$A, 'Product Catalog'!$B:$B, "Unknown Product")</f>
        <v>Jacket Model U72</v>
      </c>
      <c r="L24" s="1" t="str">
        <f>_xlfn.XLOOKUP(C24, 'Product Catalog'!$A:$A, 'Product Catalog'!$C:$C, "Unknown Category")</f>
        <v>Apparel</v>
      </c>
      <c r="M24" s="1">
        <f>_xlfn.XLOOKUP(C24, 'Product Catalog'!$A:$A, 'Product Catalog'!$D:$D, 0)</f>
        <v>75.400000000000006</v>
      </c>
      <c r="N24" s="1">
        <f t="shared" si="1"/>
        <v>75.400000000000006</v>
      </c>
    </row>
    <row r="25" spans="1:14" x14ac:dyDescent="0.3">
      <c r="A25" s="1" t="s">
        <v>96</v>
      </c>
      <c r="B25" s="1" t="s">
        <v>97</v>
      </c>
      <c r="C25" s="1" t="s">
        <v>68</v>
      </c>
      <c r="D25" s="1">
        <v>4</v>
      </c>
      <c r="E25" s="12">
        <v>45748.051388888889</v>
      </c>
      <c r="F25" s="1" t="s">
        <v>19</v>
      </c>
      <c r="G25" s="1" t="s">
        <v>40</v>
      </c>
      <c r="H25" s="1" t="s">
        <v>55</v>
      </c>
      <c r="I25" s="1" t="s">
        <v>81</v>
      </c>
      <c r="J25" s="1" t="str">
        <f t="shared" si="0"/>
        <v>REFUNDED</v>
      </c>
      <c r="K25" s="1" t="str">
        <f>_xlfn.XLOOKUP(C25, 'Product Catalog'!$A:$A, 'Product Catalog'!$B:$B, "Unknown Product")</f>
        <v>Premium Perfume Model G32</v>
      </c>
      <c r="L25" s="1" t="str">
        <f>_xlfn.XLOOKUP(C25, 'Product Catalog'!$A:$A, 'Product Catalog'!$C:$C, "Unknown Category")</f>
        <v>Luxury Goods</v>
      </c>
      <c r="M25" s="1">
        <f>_xlfn.XLOOKUP(C25, 'Product Catalog'!$A:$A, 'Product Catalog'!$D:$D, 0)</f>
        <v>1990.92</v>
      </c>
      <c r="N25" s="1">
        <f t="shared" si="1"/>
        <v>7963.68</v>
      </c>
    </row>
    <row r="26" spans="1:14" x14ac:dyDescent="0.3">
      <c r="A26" s="1" t="s">
        <v>98</v>
      </c>
      <c r="B26" s="1" t="s">
        <v>99</v>
      </c>
      <c r="C26" s="1" t="s">
        <v>59</v>
      </c>
      <c r="D26" s="1">
        <v>5</v>
      </c>
      <c r="E26" s="12">
        <v>45861.70416666667</v>
      </c>
      <c r="F26" s="1" t="s">
        <v>12</v>
      </c>
      <c r="G26" s="1" t="s">
        <v>46</v>
      </c>
      <c r="H26" s="1" t="s">
        <v>41</v>
      </c>
      <c r="I26" s="1" t="s">
        <v>81</v>
      </c>
      <c r="J26" s="1" t="str">
        <f t="shared" si="0"/>
        <v>REFUNDED</v>
      </c>
      <c r="K26" s="1" t="str">
        <f>_xlfn.XLOOKUP(C26, 'Product Catalog'!$A:$A, 'Product Catalog'!$B:$B, "Unknown Product")</f>
        <v>Silk Scarf Model Z25</v>
      </c>
      <c r="L26" s="1" t="str">
        <f>_xlfn.XLOOKUP(C26, 'Product Catalog'!$A:$A, 'Product Catalog'!$C:$C, "Unknown Category")</f>
        <v>Luxury Goods</v>
      </c>
      <c r="M26" s="1">
        <f>_xlfn.XLOOKUP(C26, 'Product Catalog'!$A:$A, 'Product Catalog'!$D:$D, 0)</f>
        <v>878.03</v>
      </c>
      <c r="N26" s="1">
        <f t="shared" si="1"/>
        <v>4390.1499999999996</v>
      </c>
    </row>
    <row r="27" spans="1:14" x14ac:dyDescent="0.3">
      <c r="A27" s="1" t="s">
        <v>100</v>
      </c>
      <c r="B27" s="1" t="s">
        <v>83</v>
      </c>
      <c r="C27" s="1" t="s">
        <v>101</v>
      </c>
      <c r="D27" s="1">
        <v>5</v>
      </c>
      <c r="E27" s="12">
        <v>45753.411111111112</v>
      </c>
      <c r="F27" s="1" t="s">
        <v>12</v>
      </c>
      <c r="G27" s="1" t="s">
        <v>40</v>
      </c>
      <c r="H27" s="1" t="s">
        <v>51</v>
      </c>
      <c r="I27" s="1" t="s">
        <v>102</v>
      </c>
      <c r="J27" s="1" t="str">
        <f t="shared" si="0"/>
        <v>disputed</v>
      </c>
      <c r="K27" s="1" t="str">
        <f>_xlfn.XLOOKUP(C27, 'Product Catalog'!$A:$A, 'Product Catalog'!$B:$B, "Unknown Product")</f>
        <v>Smartwatch Model W126</v>
      </c>
      <c r="L27" s="1" t="str">
        <f>_xlfn.XLOOKUP(C27, 'Product Catalog'!$A:$A, 'Product Catalog'!$C:$C, "Unknown Category")</f>
        <v>Electronics</v>
      </c>
      <c r="M27" s="1">
        <f>_xlfn.XLOOKUP(C27, 'Product Catalog'!$A:$A, 'Product Catalog'!$D:$D, 0)</f>
        <v>114.91</v>
      </c>
      <c r="N27" s="1">
        <f t="shared" si="1"/>
        <v>574.54999999999995</v>
      </c>
    </row>
    <row r="28" spans="1:14" x14ac:dyDescent="0.3">
      <c r="A28" s="1" t="s">
        <v>103</v>
      </c>
      <c r="B28" s="1" t="s">
        <v>104</v>
      </c>
      <c r="C28" s="1" t="s">
        <v>105</v>
      </c>
      <c r="D28" s="1">
        <v>1</v>
      </c>
      <c r="E28" s="12">
        <v>45677.012499999997</v>
      </c>
      <c r="F28" s="1" t="s">
        <v>19</v>
      </c>
      <c r="G28" s="1" t="s">
        <v>20</v>
      </c>
      <c r="H28" s="1" t="s">
        <v>14</v>
      </c>
      <c r="I28" s="1" t="s">
        <v>81</v>
      </c>
      <c r="J28" s="1" t="str">
        <f t="shared" si="0"/>
        <v>REFUNDED</v>
      </c>
      <c r="K28" s="1" t="str">
        <f>_xlfn.XLOOKUP(C28, 'Product Catalog'!$A:$A, 'Product Catalog'!$B:$B, "Unknown Product")</f>
        <v>Keyboard Model E4</v>
      </c>
      <c r="L28" s="1" t="str">
        <f>_xlfn.XLOOKUP(C28, 'Product Catalog'!$A:$A, 'Product Catalog'!$C:$C, "Unknown Category")</f>
        <v>Electronics</v>
      </c>
      <c r="M28" s="1">
        <f>_xlfn.XLOOKUP(C28, 'Product Catalog'!$A:$A, 'Product Catalog'!$D:$D, 0)</f>
        <v>69.680000000000007</v>
      </c>
      <c r="N28" s="1">
        <f t="shared" si="1"/>
        <v>69.680000000000007</v>
      </c>
    </row>
    <row r="29" spans="1:14" x14ac:dyDescent="0.3">
      <c r="A29" s="1" t="s">
        <v>106</v>
      </c>
      <c r="B29" s="1" t="s">
        <v>107</v>
      </c>
      <c r="C29" s="1" t="s">
        <v>108</v>
      </c>
      <c r="D29" s="1">
        <v>1</v>
      </c>
      <c r="E29" s="12">
        <v>45810.807638888888</v>
      </c>
      <c r="F29" s="1" t="s">
        <v>19</v>
      </c>
      <c r="G29" s="1" t="s">
        <v>109</v>
      </c>
      <c r="H29" s="1" t="s">
        <v>14</v>
      </c>
      <c r="I29" s="1" t="s">
        <v>15</v>
      </c>
      <c r="J29" s="1" t="str">
        <f t="shared" si="0"/>
        <v>delivered</v>
      </c>
      <c r="K29" s="1" t="str">
        <f>_xlfn.XLOOKUP(C29, 'Product Catalog'!$A:$A, 'Product Catalog'!$B:$B, "Unknown Product")</f>
        <v>Smartwatch Model H7</v>
      </c>
      <c r="L29" s="1" t="str">
        <f>_xlfn.XLOOKUP(C29, 'Product Catalog'!$A:$A, 'Product Catalog'!$C:$C, "Unknown Category")</f>
        <v>Electronics</v>
      </c>
      <c r="M29" s="1">
        <f>_xlfn.XLOOKUP(C29, 'Product Catalog'!$A:$A, 'Product Catalog'!$D:$D, 0)</f>
        <v>204.37</v>
      </c>
      <c r="N29" s="1">
        <f t="shared" si="1"/>
        <v>204.37</v>
      </c>
    </row>
    <row r="30" spans="1:14" x14ac:dyDescent="0.3">
      <c r="A30" s="1" t="s">
        <v>110</v>
      </c>
      <c r="B30" s="1" t="s">
        <v>111</v>
      </c>
      <c r="C30" s="1" t="s">
        <v>112</v>
      </c>
      <c r="D30" s="1">
        <v>1</v>
      </c>
      <c r="E30" s="12">
        <v>45966.152083333334</v>
      </c>
      <c r="F30" s="1" t="s">
        <v>39</v>
      </c>
      <c r="G30" s="1" t="s">
        <v>40</v>
      </c>
      <c r="H30" s="1" t="s">
        <v>55</v>
      </c>
      <c r="I30" s="1" t="s">
        <v>56</v>
      </c>
      <c r="J30" s="1" t="str">
        <f t="shared" si="0"/>
        <v>cancelled</v>
      </c>
      <c r="K30" s="1" t="str">
        <f>_xlfn.XLOOKUP(C30, 'Product Catalog'!$A:$A, 'Product Catalog'!$B:$B, "Unknown Product")</f>
        <v>Mouse Model J87</v>
      </c>
      <c r="L30" s="1" t="str">
        <f>_xlfn.XLOOKUP(C30, 'Product Catalog'!$A:$A, 'Product Catalog'!$C:$C, "Unknown Category")</f>
        <v>Electronics</v>
      </c>
      <c r="M30" s="1">
        <f>_xlfn.XLOOKUP(C30, 'Product Catalog'!$A:$A, 'Product Catalog'!$D:$D, 0)</f>
        <v>164.06</v>
      </c>
      <c r="N30" s="1">
        <f t="shared" si="1"/>
        <v>164.06</v>
      </c>
    </row>
    <row r="31" spans="1:14" x14ac:dyDescent="0.3">
      <c r="A31" s="1" t="s">
        <v>113</v>
      </c>
      <c r="B31" s="1" t="s">
        <v>114</v>
      </c>
      <c r="C31" s="1" t="s">
        <v>59</v>
      </c>
      <c r="D31" s="1">
        <v>1</v>
      </c>
      <c r="E31" s="12">
        <v>45829.404166666667</v>
      </c>
      <c r="F31" s="1" t="s">
        <v>12</v>
      </c>
      <c r="G31" s="1" t="s">
        <v>50</v>
      </c>
      <c r="H31" s="1" t="s">
        <v>51</v>
      </c>
      <c r="I31" s="1" t="s">
        <v>42</v>
      </c>
      <c r="J31" s="1" t="str">
        <f t="shared" si="0"/>
        <v>PENDING_REVIEW</v>
      </c>
      <c r="K31" s="1" t="str">
        <f>_xlfn.XLOOKUP(C31, 'Product Catalog'!$A:$A, 'Product Catalog'!$B:$B, "Unknown Product")</f>
        <v>Silk Scarf Model Z25</v>
      </c>
      <c r="L31" s="1" t="str">
        <f>_xlfn.XLOOKUP(C31, 'Product Catalog'!$A:$A, 'Product Catalog'!$C:$C, "Unknown Category")</f>
        <v>Luxury Goods</v>
      </c>
      <c r="M31" s="1">
        <f>_xlfn.XLOOKUP(C31, 'Product Catalog'!$A:$A, 'Product Catalog'!$D:$D, 0)</f>
        <v>878.03</v>
      </c>
      <c r="N31" s="1">
        <f t="shared" si="1"/>
        <v>878.03</v>
      </c>
    </row>
    <row r="32" spans="1:14" x14ac:dyDescent="0.3">
      <c r="A32" s="1" t="s">
        <v>115</v>
      </c>
      <c r="B32" s="1" t="s">
        <v>116</v>
      </c>
      <c r="C32" s="1" t="s">
        <v>117</v>
      </c>
      <c r="D32" s="1">
        <v>1</v>
      </c>
      <c r="E32" s="12">
        <v>45890.911805555559</v>
      </c>
      <c r="F32" s="1" t="s">
        <v>19</v>
      </c>
      <c r="G32" s="1" t="s">
        <v>109</v>
      </c>
      <c r="H32" s="1" t="s">
        <v>14</v>
      </c>
      <c r="I32" s="1" t="s">
        <v>15</v>
      </c>
      <c r="J32" s="1" t="str">
        <f t="shared" si="0"/>
        <v>delivered</v>
      </c>
      <c r="K32" s="1" t="str">
        <f>_xlfn.XLOOKUP(C32, 'Product Catalog'!$A:$A, 'Product Catalog'!$B:$B, "Unknown Product")</f>
        <v>Organizer Model R95</v>
      </c>
      <c r="L32" s="1" t="str">
        <f>_xlfn.XLOOKUP(C32, 'Product Catalog'!$A:$A, 'Product Catalog'!$C:$C, "Unknown Category")</f>
        <v>Home Goods</v>
      </c>
      <c r="M32" s="1">
        <f>_xlfn.XLOOKUP(C32, 'Product Catalog'!$A:$A, 'Product Catalog'!$D:$D, 0)</f>
        <v>109.58</v>
      </c>
      <c r="N32" s="1">
        <f t="shared" si="1"/>
        <v>109.58</v>
      </c>
    </row>
    <row r="33" spans="1:14" x14ac:dyDescent="0.3">
      <c r="A33" s="1" t="s">
        <v>118</v>
      </c>
      <c r="B33" s="1" t="s">
        <v>107</v>
      </c>
      <c r="C33" s="1" t="s">
        <v>119</v>
      </c>
      <c r="D33" s="1">
        <v>1</v>
      </c>
      <c r="E33" s="12">
        <v>45936.745138888888</v>
      </c>
      <c r="F33" s="1" t="s">
        <v>19</v>
      </c>
      <c r="G33" s="1" t="s">
        <v>20</v>
      </c>
      <c r="H33" s="1" t="s">
        <v>41</v>
      </c>
      <c r="I33" s="1" t="s">
        <v>15</v>
      </c>
      <c r="J33" s="1" t="str">
        <f t="shared" si="0"/>
        <v>delivered</v>
      </c>
      <c r="K33" s="1" t="str">
        <f>_xlfn.XLOOKUP(C33, 'Product Catalog'!$A:$A, 'Product Catalog'!$B:$B, "Unknown Product")</f>
        <v>Premium Stream 1M Model G6</v>
      </c>
      <c r="L33" s="1" t="str">
        <f>_xlfn.XLOOKUP(C33, 'Product Catalog'!$A:$A, 'Product Catalog'!$C:$C, "Unknown Category")</f>
        <v>Digital Services</v>
      </c>
      <c r="M33" s="1">
        <f>_xlfn.XLOOKUP(C33, 'Product Catalog'!$A:$A, 'Product Catalog'!$D:$D, 0)</f>
        <v>47.23</v>
      </c>
      <c r="N33" s="1">
        <f t="shared" si="1"/>
        <v>47.23</v>
      </c>
    </row>
    <row r="34" spans="1:14" x14ac:dyDescent="0.3">
      <c r="A34" s="1" t="s">
        <v>120</v>
      </c>
      <c r="B34" s="1" t="s">
        <v>121</v>
      </c>
      <c r="C34" s="1" t="s">
        <v>122</v>
      </c>
      <c r="D34" s="1">
        <v>1</v>
      </c>
      <c r="E34" s="12">
        <v>45910.19027777778</v>
      </c>
      <c r="F34" s="1" t="s">
        <v>39</v>
      </c>
      <c r="G34" s="1" t="s">
        <v>31</v>
      </c>
      <c r="H34" s="1" t="s">
        <v>55</v>
      </c>
      <c r="I34" s="1" t="s">
        <v>81</v>
      </c>
      <c r="J34" s="1" t="str">
        <f t="shared" si="0"/>
        <v>REFUNDED</v>
      </c>
      <c r="K34" s="1" t="str">
        <f>_xlfn.XLOOKUP(C34, 'Product Catalog'!$A:$A, 'Product Catalog'!$B:$B, "Unknown Product")</f>
        <v>Gold Bracelet Model I86</v>
      </c>
      <c r="L34" s="1" t="str">
        <f>_xlfn.XLOOKUP(C34, 'Product Catalog'!$A:$A, 'Product Catalog'!$C:$C, "Unknown Category")</f>
        <v>Luxury Goods</v>
      </c>
      <c r="M34" s="1">
        <f>_xlfn.XLOOKUP(C34, 'Product Catalog'!$A:$A, 'Product Catalog'!$D:$D, 0)</f>
        <v>852.47</v>
      </c>
      <c r="N34" s="1">
        <f t="shared" si="1"/>
        <v>852.47</v>
      </c>
    </row>
    <row r="35" spans="1:14" x14ac:dyDescent="0.3">
      <c r="A35" s="1" t="s">
        <v>123</v>
      </c>
      <c r="B35" s="1" t="s">
        <v>124</v>
      </c>
      <c r="C35" s="1" t="s">
        <v>125</v>
      </c>
      <c r="D35" s="1">
        <v>1</v>
      </c>
      <c r="E35" s="12">
        <v>45916.665277777778</v>
      </c>
      <c r="F35" s="1" t="s">
        <v>19</v>
      </c>
      <c r="G35" s="1" t="s">
        <v>50</v>
      </c>
      <c r="H35" s="1" t="s">
        <v>41</v>
      </c>
      <c r="I35" s="1" t="s">
        <v>102</v>
      </c>
      <c r="J35" s="1" t="str">
        <f t="shared" si="0"/>
        <v>disputed</v>
      </c>
      <c r="K35" s="1" t="str">
        <f>_xlfn.XLOOKUP(C35, 'Product Catalog'!$A:$A, 'Product Catalog'!$B:$B, "Unknown Product")</f>
        <v>Coffee Maker Model J9</v>
      </c>
      <c r="L35" s="1" t="str">
        <f>_xlfn.XLOOKUP(C35, 'Product Catalog'!$A:$A, 'Product Catalog'!$C:$C, "Unknown Category")</f>
        <v>Home Goods</v>
      </c>
      <c r="M35" s="1">
        <f>_xlfn.XLOOKUP(C35, 'Product Catalog'!$A:$A, 'Product Catalog'!$D:$D, 0)</f>
        <v>34.840000000000003</v>
      </c>
      <c r="N35" s="1">
        <f t="shared" si="1"/>
        <v>34.840000000000003</v>
      </c>
    </row>
    <row r="36" spans="1:14" x14ac:dyDescent="0.3">
      <c r="A36" s="1" t="s">
        <v>126</v>
      </c>
      <c r="B36" s="1" t="s">
        <v>127</v>
      </c>
      <c r="C36" s="1" t="s">
        <v>128</v>
      </c>
      <c r="D36" s="1">
        <v>1</v>
      </c>
      <c r="E36" s="12">
        <v>45797.273611111108</v>
      </c>
      <c r="F36" s="1" t="s">
        <v>12</v>
      </c>
      <c r="G36" s="1" t="s">
        <v>109</v>
      </c>
      <c r="H36" s="1" t="s">
        <v>41</v>
      </c>
      <c r="I36" s="1" t="s">
        <v>15</v>
      </c>
      <c r="J36" s="1" t="str">
        <f t="shared" si="0"/>
        <v>delivered</v>
      </c>
      <c r="K36" s="1" t="str">
        <f>_xlfn.XLOOKUP(C36, 'Product Catalog'!$A:$A, 'Product Catalog'!$B:$B, "Unknown Product")</f>
        <v>Organizer Model N39</v>
      </c>
      <c r="L36" s="1" t="str">
        <f>_xlfn.XLOOKUP(C36, 'Product Catalog'!$A:$A, 'Product Catalog'!$C:$C, "Unknown Category")</f>
        <v>Home Goods</v>
      </c>
      <c r="M36" s="1">
        <f>_xlfn.XLOOKUP(C36, 'Product Catalog'!$A:$A, 'Product Catalog'!$D:$D, 0)</f>
        <v>149.08000000000001</v>
      </c>
      <c r="N36" s="1">
        <f t="shared" si="1"/>
        <v>149.08000000000001</v>
      </c>
    </row>
    <row r="37" spans="1:14" x14ac:dyDescent="0.3">
      <c r="A37" s="1" t="s">
        <v>129</v>
      </c>
      <c r="B37" s="1" t="s">
        <v>130</v>
      </c>
      <c r="C37" s="1" t="s">
        <v>131</v>
      </c>
      <c r="D37" s="1">
        <v>1</v>
      </c>
      <c r="E37" s="12">
        <v>45715.470138888886</v>
      </c>
      <c r="F37" s="1" t="s">
        <v>19</v>
      </c>
      <c r="G37" s="1" t="s">
        <v>109</v>
      </c>
      <c r="H37" s="1" t="s">
        <v>14</v>
      </c>
      <c r="I37" s="1" t="s">
        <v>15</v>
      </c>
      <c r="J37" s="1" t="str">
        <f t="shared" si="0"/>
        <v>delivered</v>
      </c>
      <c r="K37" s="1" t="str">
        <f>_xlfn.XLOOKUP(C37, 'Product Catalog'!$A:$A, 'Product Catalog'!$B:$B, "Unknown Product")</f>
        <v>Keyboard Model C28</v>
      </c>
      <c r="L37" s="1" t="str">
        <f>_xlfn.XLOOKUP(C37, 'Product Catalog'!$A:$A, 'Product Catalog'!$C:$C, "Unknown Category")</f>
        <v>Electronics</v>
      </c>
      <c r="M37" s="1">
        <f>_xlfn.XLOOKUP(C37, 'Product Catalog'!$A:$A, 'Product Catalog'!$D:$D, 0)</f>
        <v>162.44999999999999</v>
      </c>
      <c r="N37" s="1">
        <f t="shared" si="1"/>
        <v>162.44999999999999</v>
      </c>
    </row>
    <row r="38" spans="1:14" x14ac:dyDescent="0.3">
      <c r="A38" s="1" t="s">
        <v>132</v>
      </c>
      <c r="B38" s="1" t="s">
        <v>133</v>
      </c>
      <c r="C38" s="1" t="s">
        <v>134</v>
      </c>
      <c r="D38" s="1">
        <v>1</v>
      </c>
      <c r="E38" s="12">
        <v>45741.652083333334</v>
      </c>
      <c r="F38" s="1" t="s">
        <v>19</v>
      </c>
      <c r="G38" s="1" t="s">
        <v>31</v>
      </c>
      <c r="H38" s="1" t="s">
        <v>41</v>
      </c>
      <c r="I38" s="1" t="s">
        <v>32</v>
      </c>
      <c r="J38" s="1" t="str">
        <f t="shared" si="0"/>
        <v>SHIPPED</v>
      </c>
      <c r="K38" s="1" t="str">
        <f>_xlfn.XLOOKUP(C38, 'Product Catalog'!$A:$A, 'Product Catalog'!$B:$B, "Unknown Product")</f>
        <v>Cloud Storage Basic Model O144</v>
      </c>
      <c r="L38" s="1" t="str">
        <f>_xlfn.XLOOKUP(C38, 'Product Catalog'!$A:$A, 'Product Catalog'!$C:$C, "Unknown Category")</f>
        <v>Digital Services</v>
      </c>
      <c r="M38" s="1">
        <f>_xlfn.XLOOKUP(C38, 'Product Catalog'!$A:$A, 'Product Catalog'!$D:$D, 0)</f>
        <v>41.55</v>
      </c>
      <c r="N38" s="1">
        <f t="shared" si="1"/>
        <v>41.55</v>
      </c>
    </row>
    <row r="39" spans="1:14" x14ac:dyDescent="0.3">
      <c r="A39" s="1" t="s">
        <v>135</v>
      </c>
      <c r="B39" s="1" t="s">
        <v>136</v>
      </c>
      <c r="C39" s="1" t="s">
        <v>137</v>
      </c>
      <c r="D39" s="1">
        <v>5</v>
      </c>
      <c r="E39" s="12">
        <v>45989.365277777775</v>
      </c>
      <c r="F39" s="1" t="s">
        <v>39</v>
      </c>
      <c r="G39" s="1" t="s">
        <v>40</v>
      </c>
      <c r="H39" s="1" t="s">
        <v>51</v>
      </c>
      <c r="I39" s="1" t="s">
        <v>81</v>
      </c>
      <c r="J39" s="1" t="str">
        <f t="shared" si="0"/>
        <v>REFUNDED</v>
      </c>
      <c r="K39" s="1" t="str">
        <f>_xlfn.XLOOKUP(C39, 'Product Catalog'!$A:$A, 'Product Catalog'!$B:$B, "Unknown Product")</f>
        <v>VPN 6-Month Pass Model M90</v>
      </c>
      <c r="L39" s="1" t="str">
        <f>_xlfn.XLOOKUP(C39, 'Product Catalog'!$A:$A, 'Product Catalog'!$C:$C, "Unknown Category")</f>
        <v>Digital Services</v>
      </c>
      <c r="M39" s="1">
        <f>_xlfn.XLOOKUP(C39, 'Product Catalog'!$A:$A, 'Product Catalog'!$D:$D, 0)</f>
        <v>5.91</v>
      </c>
      <c r="N39" s="1">
        <f t="shared" si="1"/>
        <v>29.55</v>
      </c>
    </row>
    <row r="40" spans="1:14" x14ac:dyDescent="0.3">
      <c r="A40" s="1" t="s">
        <v>138</v>
      </c>
      <c r="B40" s="1" t="s">
        <v>139</v>
      </c>
      <c r="C40" s="1" t="s">
        <v>140</v>
      </c>
      <c r="D40" s="1">
        <v>2</v>
      </c>
      <c r="E40" s="12">
        <v>45753.019444444442</v>
      </c>
      <c r="F40" s="1" t="s">
        <v>12</v>
      </c>
      <c r="G40" s="1" t="s">
        <v>20</v>
      </c>
      <c r="H40" s="1" t="s">
        <v>41</v>
      </c>
      <c r="I40" s="1" t="s">
        <v>15</v>
      </c>
      <c r="J40" s="1" t="str">
        <f t="shared" si="0"/>
        <v>delivered</v>
      </c>
      <c r="K40" s="1" t="str">
        <f>_xlfn.XLOOKUP(C40, 'Product Catalog'!$A:$A, 'Product Catalog'!$B:$B, "Unknown Product")</f>
        <v>Blender Model H85</v>
      </c>
      <c r="L40" s="1" t="str">
        <f>_xlfn.XLOOKUP(C40, 'Product Catalog'!$A:$A, 'Product Catalog'!$C:$C, "Unknown Category")</f>
        <v>Home Goods</v>
      </c>
      <c r="M40" s="1">
        <f>_xlfn.XLOOKUP(C40, 'Product Catalog'!$A:$A, 'Product Catalog'!$D:$D, 0)</f>
        <v>130</v>
      </c>
      <c r="N40" s="1">
        <f t="shared" si="1"/>
        <v>260</v>
      </c>
    </row>
    <row r="41" spans="1:14" x14ac:dyDescent="0.3">
      <c r="A41" s="1" t="s">
        <v>141</v>
      </c>
      <c r="B41" s="1" t="s">
        <v>142</v>
      </c>
      <c r="C41" s="1" t="s">
        <v>143</v>
      </c>
      <c r="D41" s="1">
        <v>1</v>
      </c>
      <c r="E41" s="12">
        <v>45830.419444444444</v>
      </c>
      <c r="F41" s="1" t="s">
        <v>12</v>
      </c>
      <c r="G41" s="1" t="s">
        <v>13</v>
      </c>
      <c r="H41" s="1" t="s">
        <v>41</v>
      </c>
      <c r="I41" s="1" t="s">
        <v>102</v>
      </c>
      <c r="J41" s="1" t="str">
        <f t="shared" si="0"/>
        <v>disputed</v>
      </c>
      <c r="K41" s="1" t="str">
        <f>_xlfn.XLOOKUP(C41, 'Product Catalog'!$A:$A, 'Product Catalog'!$B:$B, "Unknown Product")</f>
        <v>Designer Watch Model D3</v>
      </c>
      <c r="L41" s="1" t="str">
        <f>_xlfn.XLOOKUP(C41, 'Product Catalog'!$A:$A, 'Product Catalog'!$C:$C, "Unknown Category")</f>
        <v>Luxury Goods</v>
      </c>
      <c r="M41" s="1">
        <f>_xlfn.XLOOKUP(C41, 'Product Catalog'!$A:$A, 'Product Catalog'!$D:$D, 0)</f>
        <v>1599.08</v>
      </c>
      <c r="N41" s="1">
        <f t="shared" si="1"/>
        <v>1599.08</v>
      </c>
    </row>
    <row r="42" spans="1:14" x14ac:dyDescent="0.3">
      <c r="A42" s="1" t="s">
        <v>144</v>
      </c>
      <c r="B42" s="1" t="s">
        <v>145</v>
      </c>
      <c r="C42" s="1" t="s">
        <v>77</v>
      </c>
      <c r="D42" s="1">
        <v>2</v>
      </c>
      <c r="E42" s="12">
        <v>45948.959027777775</v>
      </c>
      <c r="F42" s="1" t="s">
        <v>19</v>
      </c>
      <c r="G42" s="1" t="s">
        <v>13</v>
      </c>
      <c r="H42" s="1" t="s">
        <v>41</v>
      </c>
      <c r="I42" s="1" t="s">
        <v>15</v>
      </c>
      <c r="J42" s="1" t="str">
        <f t="shared" si="0"/>
        <v>delivered</v>
      </c>
      <c r="K42" s="1" t="str">
        <f>_xlfn.XLOOKUP(C42, 'Product Catalog'!$A:$A, 'Product Catalog'!$B:$B, "Unknown Product")</f>
        <v>Mug Model E108</v>
      </c>
      <c r="L42" s="1" t="str">
        <f>_xlfn.XLOOKUP(C42, 'Product Catalog'!$A:$A, 'Product Catalog'!$C:$C, "Unknown Category")</f>
        <v>Home Goods</v>
      </c>
      <c r="M42" s="1">
        <f>_xlfn.XLOOKUP(C42, 'Product Catalog'!$A:$A, 'Product Catalog'!$D:$D, 0)</f>
        <v>116.99</v>
      </c>
      <c r="N42" s="1">
        <f t="shared" si="1"/>
        <v>233.98</v>
      </c>
    </row>
    <row r="43" spans="1:14" x14ac:dyDescent="0.3">
      <c r="A43" s="1" t="s">
        <v>146</v>
      </c>
      <c r="B43" s="1" t="s">
        <v>147</v>
      </c>
      <c r="C43" s="1" t="s">
        <v>148</v>
      </c>
      <c r="D43" s="1">
        <v>4</v>
      </c>
      <c r="E43" s="12">
        <v>45756.249305555553</v>
      </c>
      <c r="F43" s="1" t="s">
        <v>19</v>
      </c>
      <c r="G43" s="1" t="s">
        <v>40</v>
      </c>
      <c r="H43" s="1" t="s">
        <v>55</v>
      </c>
      <c r="I43" s="1" t="s">
        <v>42</v>
      </c>
      <c r="J43" s="1" t="str">
        <f t="shared" si="0"/>
        <v>PENDING_REVIEW</v>
      </c>
      <c r="K43" s="1" t="str">
        <f>_xlfn.XLOOKUP(C43, 'Product Catalog'!$A:$A, 'Product Catalog'!$B:$B, "Unknown Product")</f>
        <v>Charger Model W100</v>
      </c>
      <c r="L43" s="1" t="str">
        <f>_xlfn.XLOOKUP(C43, 'Product Catalog'!$A:$A, 'Product Catalog'!$C:$C, "Unknown Category")</f>
        <v>Electronics</v>
      </c>
      <c r="M43" s="1">
        <f>_xlfn.XLOOKUP(C43, 'Product Catalog'!$A:$A, 'Product Catalog'!$D:$D, 0)</f>
        <v>219.96</v>
      </c>
      <c r="N43" s="1">
        <f t="shared" si="1"/>
        <v>879.84</v>
      </c>
    </row>
    <row r="44" spans="1:14" x14ac:dyDescent="0.3">
      <c r="A44" s="1" t="s">
        <v>149</v>
      </c>
      <c r="B44" s="1" t="s">
        <v>150</v>
      </c>
      <c r="C44" s="1" t="s">
        <v>151</v>
      </c>
      <c r="D44" s="1">
        <v>2</v>
      </c>
      <c r="E44" s="12">
        <v>45970.908333333333</v>
      </c>
      <c r="F44" s="1" t="s">
        <v>12</v>
      </c>
      <c r="G44" s="1" t="s">
        <v>46</v>
      </c>
      <c r="H44" s="1" t="s">
        <v>14</v>
      </c>
      <c r="I44" s="1" t="s">
        <v>32</v>
      </c>
      <c r="J44" s="1" t="str">
        <f t="shared" si="0"/>
        <v>SHIPPED</v>
      </c>
      <c r="K44" s="1" t="str">
        <f>_xlfn.XLOOKUP(C44, 'Product Catalog'!$A:$A, 'Product Catalog'!$B:$B, "Unknown Product")</f>
        <v>Hoodie Model R43</v>
      </c>
      <c r="L44" s="1" t="str">
        <f>_xlfn.XLOOKUP(C44, 'Product Catalog'!$A:$A, 'Product Catalog'!$C:$C, "Unknown Category")</f>
        <v>Apparel</v>
      </c>
      <c r="M44" s="1">
        <f>_xlfn.XLOOKUP(C44, 'Product Catalog'!$A:$A, 'Product Catalog'!$D:$D, 0)</f>
        <v>68.040000000000006</v>
      </c>
      <c r="N44" s="1">
        <f t="shared" si="1"/>
        <v>136.08000000000001</v>
      </c>
    </row>
    <row r="45" spans="1:14" x14ac:dyDescent="0.3">
      <c r="A45" s="1" t="s">
        <v>152</v>
      </c>
      <c r="B45" s="1" t="s">
        <v>153</v>
      </c>
      <c r="C45" s="1" t="s">
        <v>154</v>
      </c>
      <c r="D45" s="1">
        <v>1</v>
      </c>
      <c r="E45" s="12">
        <v>45865.607638888891</v>
      </c>
      <c r="F45" s="1" t="s">
        <v>19</v>
      </c>
      <c r="G45" s="1" t="s">
        <v>20</v>
      </c>
      <c r="H45" s="1" t="s">
        <v>41</v>
      </c>
      <c r="I45" s="1" t="s">
        <v>15</v>
      </c>
      <c r="J45" s="1" t="str">
        <f t="shared" si="0"/>
        <v>delivered</v>
      </c>
      <c r="K45" s="1" t="str">
        <f>_xlfn.XLOOKUP(C45, 'Product Catalog'!$A:$A, 'Product Catalog'!$B:$B, "Unknown Product")</f>
        <v>Desk Lamp Model N13</v>
      </c>
      <c r="L45" s="1" t="str">
        <f>_xlfn.XLOOKUP(C45, 'Product Catalog'!$A:$A, 'Product Catalog'!$C:$C, "Unknown Category")</f>
        <v>Home Goods</v>
      </c>
      <c r="M45" s="1">
        <f>_xlfn.XLOOKUP(C45, 'Product Catalog'!$A:$A, 'Product Catalog'!$D:$D, 0)</f>
        <v>50.77</v>
      </c>
      <c r="N45" s="1">
        <f t="shared" si="1"/>
        <v>50.77</v>
      </c>
    </row>
    <row r="46" spans="1:14" x14ac:dyDescent="0.3">
      <c r="A46" s="1" t="s">
        <v>155</v>
      </c>
      <c r="B46" s="1" t="s">
        <v>156</v>
      </c>
      <c r="C46" s="1" t="s">
        <v>157</v>
      </c>
      <c r="D46" s="1">
        <v>1</v>
      </c>
      <c r="E46" s="12">
        <v>45921.46597222222</v>
      </c>
      <c r="F46" s="1" t="s">
        <v>12</v>
      </c>
      <c r="G46" s="1" t="s">
        <v>13</v>
      </c>
      <c r="H46" s="1" t="s">
        <v>14</v>
      </c>
      <c r="I46" s="1" t="s">
        <v>15</v>
      </c>
      <c r="J46" s="1" t="str">
        <f t="shared" si="0"/>
        <v>delivered</v>
      </c>
      <c r="K46" s="1" t="str">
        <f>_xlfn.XLOOKUP(C46, 'Product Catalog'!$A:$A, 'Product Catalog'!$B:$B, "Unknown Product")</f>
        <v>Coffee Maker Model Q68</v>
      </c>
      <c r="L46" s="1" t="str">
        <f>_xlfn.XLOOKUP(C46, 'Product Catalog'!$A:$A, 'Product Catalog'!$C:$C, "Unknown Category")</f>
        <v>Home Goods</v>
      </c>
      <c r="M46" s="1">
        <f>_xlfn.XLOOKUP(C46, 'Product Catalog'!$A:$A, 'Product Catalog'!$D:$D, 0)</f>
        <v>28.02</v>
      </c>
      <c r="N46" s="1">
        <f t="shared" si="1"/>
        <v>28.02</v>
      </c>
    </row>
    <row r="47" spans="1:14" x14ac:dyDescent="0.3">
      <c r="A47" s="1" t="s">
        <v>158</v>
      </c>
      <c r="B47" s="1" t="s">
        <v>159</v>
      </c>
      <c r="C47" s="1" t="s">
        <v>160</v>
      </c>
      <c r="D47" s="1">
        <v>1</v>
      </c>
      <c r="E47" s="12">
        <v>45702.569444444445</v>
      </c>
      <c r="F47" s="1" t="s">
        <v>19</v>
      </c>
      <c r="G47" s="1" t="s">
        <v>20</v>
      </c>
      <c r="H47" s="1" t="s">
        <v>14</v>
      </c>
      <c r="I47" s="1" t="s">
        <v>56</v>
      </c>
      <c r="J47" s="1" t="str">
        <f t="shared" si="0"/>
        <v>cancelled</v>
      </c>
      <c r="K47" s="1" t="str">
        <f>_xlfn.XLOOKUP(C47, 'Product Catalog'!$A:$A, 'Product Catalog'!$B:$B, "Unknown Product")</f>
        <v>Socks Model T149</v>
      </c>
      <c r="L47" s="1" t="str">
        <f>_xlfn.XLOOKUP(C47, 'Product Catalog'!$A:$A, 'Product Catalog'!$C:$C, "Unknown Category")</f>
        <v>Apparel</v>
      </c>
      <c r="M47" s="1">
        <f>_xlfn.XLOOKUP(C47, 'Product Catalog'!$A:$A, 'Product Catalog'!$D:$D, 0)</f>
        <v>45.95</v>
      </c>
      <c r="N47" s="1">
        <f t="shared" si="1"/>
        <v>45.95</v>
      </c>
    </row>
    <row r="48" spans="1:14" x14ac:dyDescent="0.3">
      <c r="A48" s="1" t="s">
        <v>161</v>
      </c>
      <c r="B48" s="1" t="s">
        <v>162</v>
      </c>
      <c r="C48" s="1" t="s">
        <v>30</v>
      </c>
      <c r="D48" s="1">
        <v>1</v>
      </c>
      <c r="E48" s="12">
        <v>46000.135416666664</v>
      </c>
      <c r="F48" s="1" t="s">
        <v>39</v>
      </c>
      <c r="G48" s="1" t="s">
        <v>50</v>
      </c>
      <c r="H48" s="1" t="s">
        <v>51</v>
      </c>
      <c r="I48" s="1" t="s">
        <v>56</v>
      </c>
      <c r="J48" s="1" t="str">
        <f t="shared" si="0"/>
        <v>cancelled</v>
      </c>
      <c r="K48" s="1" t="str">
        <f>_xlfn.XLOOKUP(C48, 'Product Catalog'!$A:$A, 'Product Catalog'!$B:$B, "Unknown Product")</f>
        <v>VPN 6-Month Pass Model B131</v>
      </c>
      <c r="L48" s="1" t="str">
        <f>_xlfn.XLOOKUP(C48, 'Product Catalog'!$A:$A, 'Product Catalog'!$C:$C, "Unknown Category")</f>
        <v>Digital Services</v>
      </c>
      <c r="M48" s="1">
        <f>_xlfn.XLOOKUP(C48, 'Product Catalog'!$A:$A, 'Product Catalog'!$D:$D, 0)</f>
        <v>46.92</v>
      </c>
      <c r="N48" s="1">
        <f t="shared" si="1"/>
        <v>46.92</v>
      </c>
    </row>
    <row r="49" spans="1:14" x14ac:dyDescent="0.3">
      <c r="A49" s="1" t="s">
        <v>163</v>
      </c>
      <c r="B49" s="1" t="s">
        <v>48</v>
      </c>
      <c r="C49" s="1" t="s">
        <v>164</v>
      </c>
      <c r="D49" s="1">
        <v>1</v>
      </c>
      <c r="E49" s="12">
        <v>45752.199305555558</v>
      </c>
      <c r="F49" s="1" t="s">
        <v>39</v>
      </c>
      <c r="G49" s="1" t="s">
        <v>20</v>
      </c>
      <c r="H49" s="1" t="s">
        <v>55</v>
      </c>
      <c r="I49" s="1" t="s">
        <v>81</v>
      </c>
      <c r="J49" s="1" t="str">
        <f t="shared" si="0"/>
        <v>REFUNDED</v>
      </c>
      <c r="K49" s="1" t="str">
        <f>_xlfn.XLOOKUP(C49, 'Product Catalog'!$A:$A, 'Product Catalog'!$B:$B, "Unknown Product")</f>
        <v>Gold Bracelet Model A26</v>
      </c>
      <c r="L49" s="1" t="str">
        <f>_xlfn.XLOOKUP(C49, 'Product Catalog'!$A:$A, 'Product Catalog'!$C:$C, "Unknown Category")</f>
        <v>Luxury Goods</v>
      </c>
      <c r="M49" s="1">
        <f>_xlfn.XLOOKUP(C49, 'Product Catalog'!$A:$A, 'Product Catalog'!$D:$D, 0)</f>
        <v>1096.3900000000001</v>
      </c>
      <c r="N49" s="1">
        <f t="shared" si="1"/>
        <v>1096.3900000000001</v>
      </c>
    </row>
    <row r="50" spans="1:14" x14ac:dyDescent="0.3">
      <c r="A50" s="1" t="s">
        <v>165</v>
      </c>
      <c r="B50" s="1" t="s">
        <v>166</v>
      </c>
      <c r="C50" s="1" t="s">
        <v>167</v>
      </c>
      <c r="D50" s="1">
        <v>1</v>
      </c>
      <c r="E50" s="12">
        <v>45902.459722222222</v>
      </c>
      <c r="F50" s="1" t="s">
        <v>19</v>
      </c>
      <c r="G50" s="1" t="s">
        <v>46</v>
      </c>
      <c r="H50" s="1" t="s">
        <v>41</v>
      </c>
      <c r="I50" s="1" t="s">
        <v>15</v>
      </c>
      <c r="J50" s="1" t="str">
        <f t="shared" si="0"/>
        <v>delivered</v>
      </c>
      <c r="K50" s="1" t="str">
        <f>_xlfn.XLOOKUP(C50, 'Product Catalog'!$A:$A, 'Product Catalog'!$B:$B, "Unknown Product")</f>
        <v>Premium Stream 1M Model V125</v>
      </c>
      <c r="L50" s="1" t="str">
        <f>_xlfn.XLOOKUP(C50, 'Product Catalog'!$A:$A, 'Product Catalog'!$C:$C, "Unknown Category")</f>
        <v>Digital Services</v>
      </c>
      <c r="M50" s="1">
        <f>_xlfn.XLOOKUP(C50, 'Product Catalog'!$A:$A, 'Product Catalog'!$D:$D, 0)</f>
        <v>18.87</v>
      </c>
      <c r="N50" s="1">
        <f t="shared" si="1"/>
        <v>18.87</v>
      </c>
    </row>
    <row r="51" spans="1:14" x14ac:dyDescent="0.3">
      <c r="A51" s="1" t="s">
        <v>168</v>
      </c>
      <c r="B51" s="1" t="s">
        <v>169</v>
      </c>
      <c r="C51" s="1" t="s">
        <v>45</v>
      </c>
      <c r="D51" s="1">
        <v>4</v>
      </c>
      <c r="E51" s="12">
        <v>45785.009027777778</v>
      </c>
      <c r="F51" s="1" t="s">
        <v>170</v>
      </c>
      <c r="G51" s="1" t="s">
        <v>40</v>
      </c>
      <c r="H51" s="1" t="s">
        <v>41</v>
      </c>
      <c r="I51" s="1" t="s">
        <v>81</v>
      </c>
      <c r="J51" s="1" t="str">
        <f t="shared" si="0"/>
        <v>REFUNDED</v>
      </c>
      <c r="K51" s="1" t="str">
        <f>_xlfn.XLOOKUP(C51, 'Product Catalog'!$A:$A, 'Product Catalog'!$B:$B, "Unknown Product")</f>
        <v>Jacket Model N91</v>
      </c>
      <c r="L51" s="1" t="str">
        <f>_xlfn.XLOOKUP(C51, 'Product Catalog'!$A:$A, 'Product Catalog'!$C:$C, "Unknown Category")</f>
        <v>Apparel</v>
      </c>
      <c r="M51" s="1">
        <f>_xlfn.XLOOKUP(C51, 'Product Catalog'!$A:$A, 'Product Catalog'!$D:$D, 0)</f>
        <v>13.96</v>
      </c>
      <c r="N51" s="1">
        <f t="shared" si="1"/>
        <v>55.84</v>
      </c>
    </row>
    <row r="52" spans="1:14" x14ac:dyDescent="0.3">
      <c r="A52" s="1" t="s">
        <v>171</v>
      </c>
      <c r="B52" s="1" t="s">
        <v>172</v>
      </c>
      <c r="C52" s="1" t="s">
        <v>173</v>
      </c>
      <c r="D52" s="1">
        <v>1</v>
      </c>
      <c r="E52" s="12">
        <v>45791.545138888891</v>
      </c>
      <c r="F52" s="1" t="s">
        <v>12</v>
      </c>
      <c r="G52" s="1" t="s">
        <v>50</v>
      </c>
      <c r="H52" s="1" t="s">
        <v>51</v>
      </c>
      <c r="I52" s="1" t="s">
        <v>56</v>
      </c>
      <c r="J52" s="1" t="str">
        <f t="shared" si="0"/>
        <v>cancelled</v>
      </c>
      <c r="K52" s="1" t="str">
        <f>_xlfn.XLOOKUP(C52, 'Product Catalog'!$A:$A, 'Product Catalog'!$B:$B, "Unknown Product")</f>
        <v>Premium Perfume Model Q120</v>
      </c>
      <c r="L52" s="1" t="str">
        <f>_xlfn.XLOOKUP(C52, 'Product Catalog'!$A:$A, 'Product Catalog'!$C:$C, "Unknown Category")</f>
        <v>Luxury Goods</v>
      </c>
      <c r="M52" s="1">
        <f>_xlfn.XLOOKUP(C52, 'Product Catalog'!$A:$A, 'Product Catalog'!$D:$D, 0)</f>
        <v>505.45</v>
      </c>
      <c r="N52" s="1">
        <f t="shared" si="1"/>
        <v>505.45</v>
      </c>
    </row>
    <row r="53" spans="1:14" x14ac:dyDescent="0.3">
      <c r="A53" s="1" t="s">
        <v>174</v>
      </c>
      <c r="B53" s="1" t="s">
        <v>175</v>
      </c>
      <c r="C53" s="1" t="s">
        <v>176</v>
      </c>
      <c r="D53" s="1">
        <v>4</v>
      </c>
      <c r="E53" s="12">
        <v>45778.634722222225</v>
      </c>
      <c r="F53" s="1" t="s">
        <v>19</v>
      </c>
      <c r="G53" s="1" t="s">
        <v>31</v>
      </c>
      <c r="H53" s="1" t="s">
        <v>51</v>
      </c>
      <c r="I53" s="1" t="s">
        <v>42</v>
      </c>
      <c r="J53" s="1" t="str">
        <f t="shared" si="0"/>
        <v>PENDING_REVIEW</v>
      </c>
      <c r="K53" s="1" t="str">
        <f>_xlfn.XLOOKUP(C53, 'Product Catalog'!$A:$A, 'Product Catalog'!$B:$B, "Unknown Product")</f>
        <v>Leather Handbag Model U124</v>
      </c>
      <c r="L53" s="1" t="str">
        <f>_xlfn.XLOOKUP(C53, 'Product Catalog'!$A:$A, 'Product Catalog'!$C:$C, "Unknown Category")</f>
        <v>Luxury Goods</v>
      </c>
      <c r="M53" s="1">
        <f>_xlfn.XLOOKUP(C53, 'Product Catalog'!$A:$A, 'Product Catalog'!$D:$D, 0)</f>
        <v>1880.36</v>
      </c>
      <c r="N53" s="1">
        <f t="shared" si="1"/>
        <v>7521.44</v>
      </c>
    </row>
    <row r="54" spans="1:14" x14ac:dyDescent="0.3">
      <c r="A54" s="1" t="s">
        <v>177</v>
      </c>
      <c r="B54" s="1" t="s">
        <v>178</v>
      </c>
      <c r="C54" s="1" t="s">
        <v>131</v>
      </c>
      <c r="D54" s="1">
        <v>3</v>
      </c>
      <c r="E54" s="12">
        <v>45794.46875</v>
      </c>
      <c r="F54" s="1" t="s">
        <v>19</v>
      </c>
      <c r="G54" s="1" t="s">
        <v>31</v>
      </c>
      <c r="H54" s="1" t="s">
        <v>41</v>
      </c>
      <c r="I54" s="1" t="s">
        <v>15</v>
      </c>
      <c r="J54" s="1" t="str">
        <f t="shared" si="0"/>
        <v>delivered</v>
      </c>
      <c r="K54" s="1" t="str">
        <f>_xlfn.XLOOKUP(C54, 'Product Catalog'!$A:$A, 'Product Catalog'!$B:$B, "Unknown Product")</f>
        <v>Keyboard Model C28</v>
      </c>
      <c r="L54" s="1" t="str">
        <f>_xlfn.XLOOKUP(C54, 'Product Catalog'!$A:$A, 'Product Catalog'!$C:$C, "Unknown Category")</f>
        <v>Electronics</v>
      </c>
      <c r="M54" s="1">
        <f>_xlfn.XLOOKUP(C54, 'Product Catalog'!$A:$A, 'Product Catalog'!$D:$D, 0)</f>
        <v>162.44999999999999</v>
      </c>
      <c r="N54" s="1">
        <f t="shared" si="1"/>
        <v>487.34999999999997</v>
      </c>
    </row>
    <row r="55" spans="1:14" x14ac:dyDescent="0.3">
      <c r="A55" s="1" t="s">
        <v>179</v>
      </c>
      <c r="B55" s="1" t="s">
        <v>180</v>
      </c>
      <c r="C55" s="1" t="s">
        <v>181</v>
      </c>
      <c r="D55" s="1">
        <v>2</v>
      </c>
      <c r="E55" s="12">
        <v>45812.827777777777</v>
      </c>
      <c r="F55" s="1" t="s">
        <v>19</v>
      </c>
      <c r="G55" s="1" t="s">
        <v>13</v>
      </c>
      <c r="H55" s="1" t="s">
        <v>24</v>
      </c>
      <c r="I55" s="1" t="s">
        <v>15</v>
      </c>
      <c r="J55" s="1" t="str">
        <f t="shared" si="0"/>
        <v>delivered</v>
      </c>
      <c r="K55" s="1" t="str">
        <f>_xlfn.XLOOKUP(C55, 'Product Catalog'!$A:$A, 'Product Catalog'!$B:$B, "Unknown Product")</f>
        <v>Premium Stream 1M Model V99</v>
      </c>
      <c r="L55" s="1" t="str">
        <f>_xlfn.XLOOKUP(C55, 'Product Catalog'!$A:$A, 'Product Catalog'!$C:$C, "Unknown Category")</f>
        <v>Digital Services</v>
      </c>
      <c r="M55" s="1">
        <f>_xlfn.XLOOKUP(C55, 'Product Catalog'!$A:$A, 'Product Catalog'!$D:$D, 0)</f>
        <v>30.08</v>
      </c>
      <c r="N55" s="1">
        <f t="shared" si="1"/>
        <v>60.16</v>
      </c>
    </row>
    <row r="56" spans="1:14" x14ac:dyDescent="0.3">
      <c r="A56" s="1" t="s">
        <v>182</v>
      </c>
      <c r="B56" s="1" t="s">
        <v>183</v>
      </c>
      <c r="C56" s="1" t="s">
        <v>184</v>
      </c>
      <c r="D56" s="1">
        <v>1</v>
      </c>
      <c r="E56" s="12">
        <v>45951.015972222223</v>
      </c>
      <c r="F56" s="1" t="s">
        <v>185</v>
      </c>
      <c r="G56" s="1" t="s">
        <v>20</v>
      </c>
      <c r="H56" s="1" t="s">
        <v>41</v>
      </c>
      <c r="I56" s="1" t="s">
        <v>15</v>
      </c>
      <c r="J56" s="1" t="str">
        <f t="shared" si="0"/>
        <v>delivered</v>
      </c>
      <c r="K56" s="1" t="str">
        <f>_xlfn.XLOOKUP(C56, 'Product Catalog'!$A:$A, 'Product Catalog'!$B:$B, "Unknown Product")</f>
        <v>Jacket Model O40</v>
      </c>
      <c r="L56" s="1" t="str">
        <f>_xlfn.XLOOKUP(C56, 'Product Catalog'!$A:$A, 'Product Catalog'!$C:$C, "Unknown Category")</f>
        <v>Apparel</v>
      </c>
      <c r="M56" s="1">
        <f>_xlfn.XLOOKUP(C56, 'Product Catalog'!$A:$A, 'Product Catalog'!$D:$D, 0)</f>
        <v>114.16</v>
      </c>
      <c r="N56" s="1">
        <f t="shared" si="1"/>
        <v>114.16</v>
      </c>
    </row>
    <row r="57" spans="1:14" x14ac:dyDescent="0.3">
      <c r="A57" s="1" t="s">
        <v>186</v>
      </c>
      <c r="B57" s="1" t="s">
        <v>187</v>
      </c>
      <c r="C57" s="1" t="s">
        <v>90</v>
      </c>
      <c r="D57" s="1">
        <v>1</v>
      </c>
      <c r="E57" s="12">
        <v>45791.929166666669</v>
      </c>
      <c r="F57" s="1" t="s">
        <v>19</v>
      </c>
      <c r="G57" s="1" t="s">
        <v>13</v>
      </c>
      <c r="H57" s="1" t="s">
        <v>41</v>
      </c>
      <c r="I57" s="1" t="s">
        <v>56</v>
      </c>
      <c r="J57" s="1" t="str">
        <f t="shared" si="0"/>
        <v>cancelled</v>
      </c>
      <c r="K57" s="1" t="str">
        <f>_xlfn.XLOOKUP(C57, 'Product Catalog'!$A:$A, 'Product Catalog'!$B:$B, "Unknown Product")</f>
        <v>VPN 6-Month Pass Model F109</v>
      </c>
      <c r="L57" s="1" t="str">
        <f>_xlfn.XLOOKUP(C57, 'Product Catalog'!$A:$A, 'Product Catalog'!$C:$C, "Unknown Category")</f>
        <v>Digital Services</v>
      </c>
      <c r="M57" s="1">
        <f>_xlfn.XLOOKUP(C57, 'Product Catalog'!$A:$A, 'Product Catalog'!$D:$D, 0)</f>
        <v>22.87</v>
      </c>
      <c r="N57" s="1">
        <f t="shared" si="1"/>
        <v>22.87</v>
      </c>
    </row>
    <row r="58" spans="1:14" x14ac:dyDescent="0.3">
      <c r="A58" s="1" t="s">
        <v>188</v>
      </c>
      <c r="B58" s="1" t="s">
        <v>189</v>
      </c>
      <c r="C58" s="1" t="s">
        <v>190</v>
      </c>
      <c r="D58" s="1">
        <v>4</v>
      </c>
      <c r="E58" s="12">
        <v>45842.984722222223</v>
      </c>
      <c r="F58" s="1" t="s">
        <v>12</v>
      </c>
      <c r="G58" s="1" t="s">
        <v>40</v>
      </c>
      <c r="H58" s="1" t="s">
        <v>51</v>
      </c>
      <c r="I58" s="1" t="s">
        <v>42</v>
      </c>
      <c r="J58" s="1" t="str">
        <f t="shared" si="0"/>
        <v>PENDING_REVIEW</v>
      </c>
      <c r="K58" s="1" t="str">
        <f>_xlfn.XLOOKUP(C58, 'Product Catalog'!$A:$A, 'Product Catalog'!$B:$B, "Unknown Product")</f>
        <v>Silk Scarf Model A52</v>
      </c>
      <c r="L58" s="1" t="str">
        <f>_xlfn.XLOOKUP(C58, 'Product Catalog'!$A:$A, 'Product Catalog'!$C:$C, "Unknown Category")</f>
        <v>Luxury Goods</v>
      </c>
      <c r="M58" s="1">
        <f>_xlfn.XLOOKUP(C58, 'Product Catalog'!$A:$A, 'Product Catalog'!$D:$D, 0)</f>
        <v>1339.88</v>
      </c>
      <c r="N58" s="1">
        <f t="shared" si="1"/>
        <v>5359.52</v>
      </c>
    </row>
    <row r="59" spans="1:14" x14ac:dyDescent="0.3">
      <c r="A59" s="1" t="s">
        <v>191</v>
      </c>
      <c r="B59" s="1" t="s">
        <v>70</v>
      </c>
      <c r="C59" s="1" t="s">
        <v>192</v>
      </c>
      <c r="D59" s="1">
        <v>1</v>
      </c>
      <c r="E59" s="12">
        <v>45778.088194444441</v>
      </c>
      <c r="F59" s="1" t="s">
        <v>39</v>
      </c>
      <c r="G59" s="1" t="s">
        <v>20</v>
      </c>
      <c r="H59" s="1" t="s">
        <v>55</v>
      </c>
      <c r="I59" s="1" t="s">
        <v>102</v>
      </c>
      <c r="J59" s="1" t="str">
        <f t="shared" si="0"/>
        <v>disputed</v>
      </c>
      <c r="K59" s="1" t="str">
        <f>_xlfn.XLOOKUP(C59, 'Product Catalog'!$A:$A, 'Product Catalog'!$B:$B, "Unknown Product")</f>
        <v>Leather Handbag Model R69</v>
      </c>
      <c r="L59" s="1" t="str">
        <f>_xlfn.XLOOKUP(C59, 'Product Catalog'!$A:$A, 'Product Catalog'!$C:$C, "Unknown Category")</f>
        <v>Luxury Goods</v>
      </c>
      <c r="M59" s="1">
        <f>_xlfn.XLOOKUP(C59, 'Product Catalog'!$A:$A, 'Product Catalog'!$D:$D, 0)</f>
        <v>425.14</v>
      </c>
      <c r="N59" s="1">
        <f t="shared" si="1"/>
        <v>425.14</v>
      </c>
    </row>
    <row r="60" spans="1:14" x14ac:dyDescent="0.3">
      <c r="A60" s="1" t="s">
        <v>193</v>
      </c>
      <c r="B60" s="1" t="s">
        <v>194</v>
      </c>
      <c r="C60" s="1" t="s">
        <v>195</v>
      </c>
      <c r="D60" s="1">
        <v>1</v>
      </c>
      <c r="E60" s="12">
        <v>45999.168055555558</v>
      </c>
      <c r="F60" s="1" t="s">
        <v>12</v>
      </c>
      <c r="G60" s="1" t="s">
        <v>46</v>
      </c>
      <c r="H60" s="1" t="s">
        <v>41</v>
      </c>
      <c r="I60" s="1" t="s">
        <v>15</v>
      </c>
      <c r="J60" s="1" t="str">
        <f t="shared" si="0"/>
        <v>delivered</v>
      </c>
      <c r="K60" s="1" t="str">
        <f>_xlfn.XLOOKUP(C60, 'Product Catalog'!$A:$A, 'Product Catalog'!$B:$B, "Unknown Product")</f>
        <v>Blender Model L89</v>
      </c>
      <c r="L60" s="1" t="str">
        <f>_xlfn.XLOOKUP(C60, 'Product Catalog'!$A:$A, 'Product Catalog'!$C:$C, "Unknown Category")</f>
        <v>Home Goods</v>
      </c>
      <c r="M60" s="1">
        <f>_xlfn.XLOOKUP(C60, 'Product Catalog'!$A:$A, 'Product Catalog'!$D:$D, 0)</f>
        <v>138.6</v>
      </c>
      <c r="N60" s="1">
        <f t="shared" si="1"/>
        <v>138.6</v>
      </c>
    </row>
    <row r="61" spans="1:14" x14ac:dyDescent="0.3">
      <c r="A61" s="1" t="s">
        <v>196</v>
      </c>
      <c r="B61" s="1" t="s">
        <v>197</v>
      </c>
      <c r="C61" s="1" t="s">
        <v>84</v>
      </c>
      <c r="D61" s="1">
        <v>1</v>
      </c>
      <c r="E61" s="12">
        <v>45896.436111111114</v>
      </c>
      <c r="F61" s="1" t="s">
        <v>19</v>
      </c>
      <c r="G61" s="1" t="s">
        <v>40</v>
      </c>
      <c r="H61" s="1" t="s">
        <v>41</v>
      </c>
      <c r="I61" s="1" t="s">
        <v>81</v>
      </c>
      <c r="J61" s="1" t="str">
        <f t="shared" si="0"/>
        <v>REFUNDED</v>
      </c>
      <c r="K61" s="1" t="str">
        <f>_xlfn.XLOOKUP(C61, 'Product Catalog'!$A:$A, 'Product Catalog'!$B:$B, "Unknown Product")</f>
        <v>Smartwatch Model J35</v>
      </c>
      <c r="L61" s="1" t="str">
        <f>_xlfn.XLOOKUP(C61, 'Product Catalog'!$A:$A, 'Product Catalog'!$C:$C, "Unknown Category")</f>
        <v>Electronics</v>
      </c>
      <c r="M61" s="1">
        <f>_xlfn.XLOOKUP(C61, 'Product Catalog'!$A:$A, 'Product Catalog'!$D:$D, 0)</f>
        <v>161.94999999999999</v>
      </c>
      <c r="N61" s="1">
        <f t="shared" si="1"/>
        <v>161.94999999999999</v>
      </c>
    </row>
    <row r="62" spans="1:14" x14ac:dyDescent="0.3">
      <c r="A62" s="1" t="s">
        <v>198</v>
      </c>
      <c r="B62" s="1" t="s">
        <v>199</v>
      </c>
      <c r="C62" s="1" t="s">
        <v>200</v>
      </c>
      <c r="D62" s="1">
        <v>1</v>
      </c>
      <c r="E62" s="12">
        <v>45739.576388888891</v>
      </c>
      <c r="F62" s="1" t="s">
        <v>19</v>
      </c>
      <c r="G62" s="1" t="s">
        <v>46</v>
      </c>
      <c r="H62" s="1" t="s">
        <v>14</v>
      </c>
      <c r="I62" s="1" t="s">
        <v>42</v>
      </c>
      <c r="J62" s="1" t="str">
        <f t="shared" si="0"/>
        <v>PENDING_REVIEW</v>
      </c>
      <c r="K62" s="1" t="str">
        <f>_xlfn.XLOOKUP(C62, 'Product Catalog'!$A:$A, 'Product Catalog'!$B:$B, "Unknown Product")</f>
        <v>Socks Model G58</v>
      </c>
      <c r="L62" s="1" t="str">
        <f>_xlfn.XLOOKUP(C62, 'Product Catalog'!$A:$A, 'Product Catalog'!$C:$C, "Unknown Category")</f>
        <v>Apparel</v>
      </c>
      <c r="M62" s="1">
        <f>_xlfn.XLOOKUP(C62, 'Product Catalog'!$A:$A, 'Product Catalog'!$D:$D, 0)</f>
        <v>30.18</v>
      </c>
      <c r="N62" s="1">
        <f t="shared" si="1"/>
        <v>30.18</v>
      </c>
    </row>
    <row r="63" spans="1:14" x14ac:dyDescent="0.3">
      <c r="A63" s="1" t="s">
        <v>201</v>
      </c>
      <c r="B63" s="1" t="s">
        <v>202</v>
      </c>
      <c r="C63" s="1" t="s">
        <v>203</v>
      </c>
      <c r="D63" s="1">
        <v>1</v>
      </c>
      <c r="E63" s="12">
        <v>46009.714583333334</v>
      </c>
      <c r="F63" s="1" t="s">
        <v>19</v>
      </c>
      <c r="G63" s="1" t="s">
        <v>20</v>
      </c>
      <c r="H63" s="1" t="s">
        <v>14</v>
      </c>
      <c r="I63" s="1" t="s">
        <v>15</v>
      </c>
      <c r="J63" s="1" t="str">
        <f t="shared" si="0"/>
        <v>delivered</v>
      </c>
      <c r="K63" s="1" t="str">
        <f>_xlfn.XLOOKUP(C63, 'Product Catalog'!$A:$A, 'Product Catalog'!$B:$B, "Unknown Product")</f>
        <v>Pillow Model R17</v>
      </c>
      <c r="L63" s="1" t="str">
        <f>_xlfn.XLOOKUP(C63, 'Product Catalog'!$A:$A, 'Product Catalog'!$C:$C, "Unknown Category")</f>
        <v>Home Goods</v>
      </c>
      <c r="M63" s="1">
        <f>_xlfn.XLOOKUP(C63, 'Product Catalog'!$A:$A, 'Product Catalog'!$D:$D, 0)</f>
        <v>169.86</v>
      </c>
      <c r="N63" s="1">
        <f t="shared" si="1"/>
        <v>169.86</v>
      </c>
    </row>
    <row r="64" spans="1:14" x14ac:dyDescent="0.3">
      <c r="A64" s="1" t="s">
        <v>204</v>
      </c>
      <c r="B64" s="1" t="s">
        <v>205</v>
      </c>
      <c r="C64" s="1" t="s">
        <v>206</v>
      </c>
      <c r="D64" s="1">
        <v>2</v>
      </c>
      <c r="E64" s="12">
        <v>46018.441666666666</v>
      </c>
      <c r="F64" s="1" t="s">
        <v>12</v>
      </c>
      <c r="G64" s="1" t="s">
        <v>46</v>
      </c>
      <c r="H64" s="1" t="s">
        <v>41</v>
      </c>
      <c r="I64" s="1" t="s">
        <v>15</v>
      </c>
      <c r="J64" s="1" t="str">
        <f t="shared" si="0"/>
        <v>delivered</v>
      </c>
      <c r="K64" s="1" t="str">
        <f>_xlfn.XLOOKUP(C64, 'Product Catalog'!$A:$A, 'Product Catalog'!$B:$B, "Unknown Product")</f>
        <v>Webcam Model F31</v>
      </c>
      <c r="L64" s="1" t="str">
        <f>_xlfn.XLOOKUP(C64, 'Product Catalog'!$A:$A, 'Product Catalog'!$C:$C, "Unknown Category")</f>
        <v>Electronics</v>
      </c>
      <c r="M64" s="1">
        <f>_xlfn.XLOOKUP(C64, 'Product Catalog'!$A:$A, 'Product Catalog'!$D:$D, 0)</f>
        <v>184.37</v>
      </c>
      <c r="N64" s="1">
        <f t="shared" si="1"/>
        <v>368.74</v>
      </c>
    </row>
    <row r="65" spans="1:14" x14ac:dyDescent="0.3">
      <c r="A65" s="1" t="s">
        <v>207</v>
      </c>
      <c r="B65" s="1" t="s">
        <v>208</v>
      </c>
      <c r="C65" s="1" t="s">
        <v>209</v>
      </c>
      <c r="D65" s="1">
        <v>4</v>
      </c>
      <c r="E65" s="12">
        <v>46011.166666666664</v>
      </c>
      <c r="F65" s="1" t="s">
        <v>170</v>
      </c>
      <c r="G65" s="1" t="s">
        <v>40</v>
      </c>
      <c r="H65" s="1" t="s">
        <v>55</v>
      </c>
      <c r="I65" s="1" t="s">
        <v>102</v>
      </c>
      <c r="J65" s="1" t="str">
        <f t="shared" si="0"/>
        <v>disputed</v>
      </c>
      <c r="K65" s="1" t="str">
        <f>_xlfn.XLOOKUP(C65, 'Product Catalog'!$A:$A, 'Product Catalog'!$B:$B, "Unknown Product")</f>
        <v>Silk Scarf Model Z129</v>
      </c>
      <c r="L65" s="1" t="str">
        <f>_xlfn.XLOOKUP(C65, 'Product Catalog'!$A:$A, 'Product Catalog'!$C:$C, "Unknown Category")</f>
        <v>Luxury Goods</v>
      </c>
      <c r="M65" s="1">
        <f>_xlfn.XLOOKUP(C65, 'Product Catalog'!$A:$A, 'Product Catalog'!$D:$D, 0)</f>
        <v>1610</v>
      </c>
      <c r="N65" s="1">
        <f t="shared" si="1"/>
        <v>6440</v>
      </c>
    </row>
    <row r="66" spans="1:14" x14ac:dyDescent="0.3">
      <c r="A66" s="1" t="s">
        <v>210</v>
      </c>
      <c r="B66" s="1" t="s">
        <v>92</v>
      </c>
      <c r="C66" s="1" t="s">
        <v>49</v>
      </c>
      <c r="D66" s="1">
        <v>2</v>
      </c>
      <c r="E66" s="12">
        <v>45985.419444444444</v>
      </c>
      <c r="F66" s="1" t="s">
        <v>19</v>
      </c>
      <c r="G66" s="1" t="s">
        <v>46</v>
      </c>
      <c r="H66" s="1" t="s">
        <v>14</v>
      </c>
      <c r="I66" s="1" t="s">
        <v>15</v>
      </c>
      <c r="J66" s="1" t="str">
        <f t="shared" ref="J66:J129" si="2">TRIM(I66)</f>
        <v>delivered</v>
      </c>
      <c r="K66" s="1" t="str">
        <f>_xlfn.XLOOKUP(C66, 'Product Catalog'!$A:$A, 'Product Catalog'!$B:$B, "Unknown Product")</f>
        <v>E-Book Access Model Y76</v>
      </c>
      <c r="L66" s="1" t="str">
        <f>_xlfn.XLOOKUP(C66, 'Product Catalog'!$A:$A, 'Product Catalog'!$C:$C, "Unknown Category")</f>
        <v>Digital Services</v>
      </c>
      <c r="M66" s="1">
        <f>_xlfn.XLOOKUP(C66, 'Product Catalog'!$A:$A, 'Product Catalog'!$D:$D, 0)</f>
        <v>92.33</v>
      </c>
      <c r="N66" s="1">
        <f t="shared" ref="N66:N129" si="3">D66 * M66</f>
        <v>184.66</v>
      </c>
    </row>
    <row r="67" spans="1:14" x14ac:dyDescent="0.3">
      <c r="A67" s="1" t="s">
        <v>211</v>
      </c>
      <c r="B67" s="1" t="s">
        <v>212</v>
      </c>
      <c r="C67" s="1" t="s">
        <v>213</v>
      </c>
      <c r="D67" s="1">
        <v>1</v>
      </c>
      <c r="E67" s="12">
        <v>45846.873611111114</v>
      </c>
      <c r="F67" s="1" t="s">
        <v>185</v>
      </c>
      <c r="G67" s="1" t="s">
        <v>13</v>
      </c>
      <c r="H67" s="1" t="s">
        <v>24</v>
      </c>
      <c r="I67" s="1" t="s">
        <v>15</v>
      </c>
      <c r="J67" s="1" t="str">
        <f t="shared" si="2"/>
        <v>delivered</v>
      </c>
      <c r="K67" s="1" t="str">
        <f>_xlfn.XLOOKUP(C67, 'Product Catalog'!$A:$A, 'Product Catalog'!$B:$B, "Unknown Product")</f>
        <v>Cloud Storage Basic Model L63</v>
      </c>
      <c r="L67" s="1" t="str">
        <f>_xlfn.XLOOKUP(C67, 'Product Catalog'!$A:$A, 'Product Catalog'!$C:$C, "Unknown Category")</f>
        <v>Digital Services</v>
      </c>
      <c r="M67" s="1">
        <f>_xlfn.XLOOKUP(C67, 'Product Catalog'!$A:$A, 'Product Catalog'!$D:$D, 0)</f>
        <v>20.48</v>
      </c>
      <c r="N67" s="1">
        <f t="shared" si="3"/>
        <v>20.48</v>
      </c>
    </row>
    <row r="68" spans="1:14" x14ac:dyDescent="0.3">
      <c r="A68" s="1" t="s">
        <v>214</v>
      </c>
      <c r="B68" s="1" t="s">
        <v>215</v>
      </c>
      <c r="C68" s="1" t="s">
        <v>216</v>
      </c>
      <c r="D68" s="1">
        <v>1</v>
      </c>
      <c r="E68" s="12">
        <v>45771.311111111114</v>
      </c>
      <c r="F68" s="1" t="s">
        <v>170</v>
      </c>
      <c r="G68" s="1" t="s">
        <v>40</v>
      </c>
      <c r="H68" s="1" t="s">
        <v>41</v>
      </c>
      <c r="I68" s="1" t="s">
        <v>56</v>
      </c>
      <c r="J68" s="1" t="str">
        <f t="shared" si="2"/>
        <v>cancelled</v>
      </c>
      <c r="K68" s="1" t="str">
        <f>_xlfn.XLOOKUP(C68, 'Product Catalog'!$A:$A, 'Product Catalog'!$B:$B, "Unknown Product")</f>
        <v>Premium Perfume Model X23</v>
      </c>
      <c r="L68" s="1" t="str">
        <f>_xlfn.XLOOKUP(C68, 'Product Catalog'!$A:$A, 'Product Catalog'!$C:$C, "Unknown Category")</f>
        <v>Luxury Goods</v>
      </c>
      <c r="M68" s="1">
        <f>_xlfn.XLOOKUP(C68, 'Product Catalog'!$A:$A, 'Product Catalog'!$D:$D, 0)</f>
        <v>767.78</v>
      </c>
      <c r="N68" s="1">
        <f t="shared" si="3"/>
        <v>767.78</v>
      </c>
    </row>
    <row r="69" spans="1:14" x14ac:dyDescent="0.3">
      <c r="A69" s="1" t="s">
        <v>217</v>
      </c>
      <c r="B69" s="1" t="s">
        <v>218</v>
      </c>
      <c r="C69" s="1" t="s">
        <v>219</v>
      </c>
      <c r="D69" s="1">
        <v>1</v>
      </c>
      <c r="E69" s="12">
        <v>45726.679861111108</v>
      </c>
      <c r="F69" s="1" t="s">
        <v>19</v>
      </c>
      <c r="G69" s="1" t="s">
        <v>13</v>
      </c>
      <c r="H69" s="1" t="s">
        <v>41</v>
      </c>
      <c r="I69" s="1" t="s">
        <v>42</v>
      </c>
      <c r="J69" s="1" t="str">
        <f t="shared" si="2"/>
        <v>PENDING_REVIEW</v>
      </c>
      <c r="K69" s="1" t="str">
        <f>_xlfn.XLOOKUP(C69, 'Product Catalog'!$A:$A, 'Product Catalog'!$B:$B, "Unknown Product")</f>
        <v>Cap Model P15</v>
      </c>
      <c r="L69" s="1" t="str">
        <f>_xlfn.XLOOKUP(C69, 'Product Catalog'!$A:$A, 'Product Catalog'!$C:$C, "Unknown Category")</f>
        <v>Apparel</v>
      </c>
      <c r="M69" s="1">
        <f>_xlfn.XLOOKUP(C69, 'Product Catalog'!$A:$A, 'Product Catalog'!$D:$D, 0)</f>
        <v>21.11</v>
      </c>
      <c r="N69" s="1">
        <f t="shared" si="3"/>
        <v>21.11</v>
      </c>
    </row>
    <row r="70" spans="1:14" x14ac:dyDescent="0.3">
      <c r="A70" s="1" t="s">
        <v>220</v>
      </c>
      <c r="B70" s="1" t="s">
        <v>221</v>
      </c>
      <c r="C70" s="1" t="s">
        <v>95</v>
      </c>
      <c r="D70" s="1">
        <v>1</v>
      </c>
      <c r="E70" s="12">
        <v>45736.646527777775</v>
      </c>
      <c r="F70" s="1" t="s">
        <v>19</v>
      </c>
      <c r="G70" s="1" t="s">
        <v>13</v>
      </c>
      <c r="H70" s="1" t="s">
        <v>14</v>
      </c>
      <c r="I70" s="1" t="s">
        <v>102</v>
      </c>
      <c r="J70" s="1" t="str">
        <f t="shared" si="2"/>
        <v>disputed</v>
      </c>
      <c r="K70" s="1" t="str">
        <f>_xlfn.XLOOKUP(C70, 'Product Catalog'!$A:$A, 'Product Catalog'!$B:$B, "Unknown Product")</f>
        <v>Jacket Model U72</v>
      </c>
      <c r="L70" s="1" t="str">
        <f>_xlfn.XLOOKUP(C70, 'Product Catalog'!$A:$A, 'Product Catalog'!$C:$C, "Unknown Category")</f>
        <v>Apparel</v>
      </c>
      <c r="M70" s="1">
        <f>_xlfn.XLOOKUP(C70, 'Product Catalog'!$A:$A, 'Product Catalog'!$D:$D, 0)</f>
        <v>75.400000000000006</v>
      </c>
      <c r="N70" s="1">
        <f t="shared" si="3"/>
        <v>75.400000000000006</v>
      </c>
    </row>
    <row r="71" spans="1:14" x14ac:dyDescent="0.3">
      <c r="A71" s="1" t="s">
        <v>222</v>
      </c>
      <c r="B71" s="1" t="s">
        <v>223</v>
      </c>
      <c r="C71" s="1" t="s">
        <v>224</v>
      </c>
      <c r="D71" s="1">
        <v>5</v>
      </c>
      <c r="E71" s="12">
        <v>45968.53125</v>
      </c>
      <c r="F71" s="1" t="s">
        <v>39</v>
      </c>
      <c r="G71" s="1" t="s">
        <v>50</v>
      </c>
      <c r="H71" s="1" t="s">
        <v>55</v>
      </c>
      <c r="I71" s="1" t="s">
        <v>56</v>
      </c>
      <c r="J71" s="1" t="str">
        <f t="shared" si="2"/>
        <v>cancelled</v>
      </c>
      <c r="K71" s="1" t="str">
        <f>_xlfn.XLOOKUP(C71, 'Product Catalog'!$A:$A, 'Product Catalog'!$B:$B, "Unknown Product")</f>
        <v>Organizer Model P93</v>
      </c>
      <c r="L71" s="1" t="str">
        <f>_xlfn.XLOOKUP(C71, 'Product Catalog'!$A:$A, 'Product Catalog'!$C:$C, "Unknown Category")</f>
        <v>Home Goods</v>
      </c>
      <c r="M71" s="1">
        <f>_xlfn.XLOOKUP(C71, 'Product Catalog'!$A:$A, 'Product Catalog'!$D:$D, 0)</f>
        <v>175.55</v>
      </c>
      <c r="N71" s="1">
        <f t="shared" si="3"/>
        <v>877.75</v>
      </c>
    </row>
    <row r="72" spans="1:14" x14ac:dyDescent="0.3">
      <c r="A72" s="1" t="s">
        <v>225</v>
      </c>
      <c r="B72" s="1" t="s">
        <v>226</v>
      </c>
      <c r="C72" s="1" t="s">
        <v>119</v>
      </c>
      <c r="D72" s="1">
        <v>1</v>
      </c>
      <c r="E72" s="12">
        <v>45870.997916666667</v>
      </c>
      <c r="F72" s="1" t="s">
        <v>39</v>
      </c>
      <c r="G72" s="1" t="s">
        <v>50</v>
      </c>
      <c r="H72" s="1" t="s">
        <v>55</v>
      </c>
      <c r="I72" s="1" t="s">
        <v>42</v>
      </c>
      <c r="J72" s="1" t="str">
        <f t="shared" si="2"/>
        <v>PENDING_REVIEW</v>
      </c>
      <c r="K72" s="1" t="str">
        <f>_xlfn.XLOOKUP(C72, 'Product Catalog'!$A:$A, 'Product Catalog'!$B:$B, "Unknown Product")</f>
        <v>Premium Stream 1M Model G6</v>
      </c>
      <c r="L72" s="1" t="str">
        <f>_xlfn.XLOOKUP(C72, 'Product Catalog'!$A:$A, 'Product Catalog'!$C:$C, "Unknown Category")</f>
        <v>Digital Services</v>
      </c>
      <c r="M72" s="1">
        <f>_xlfn.XLOOKUP(C72, 'Product Catalog'!$A:$A, 'Product Catalog'!$D:$D, 0)</f>
        <v>47.23</v>
      </c>
      <c r="N72" s="1">
        <f t="shared" si="3"/>
        <v>47.23</v>
      </c>
    </row>
    <row r="73" spans="1:14" x14ac:dyDescent="0.3">
      <c r="A73" s="1" t="s">
        <v>227</v>
      </c>
      <c r="B73" s="1" t="s">
        <v>228</v>
      </c>
      <c r="C73" s="1" t="s">
        <v>229</v>
      </c>
      <c r="D73" s="1">
        <v>4</v>
      </c>
      <c r="E73" s="12">
        <v>45939.669444444444</v>
      </c>
      <c r="F73" s="1" t="s">
        <v>170</v>
      </c>
      <c r="G73" s="1" t="s">
        <v>50</v>
      </c>
      <c r="H73" s="1" t="s">
        <v>41</v>
      </c>
      <c r="I73" s="1" t="s">
        <v>42</v>
      </c>
      <c r="J73" s="1" t="str">
        <f t="shared" si="2"/>
        <v>PENDING_REVIEW</v>
      </c>
      <c r="K73" s="1" t="str">
        <f>_xlfn.XLOOKUP(C73, 'Product Catalog'!$A:$A, 'Product Catalog'!$B:$B, "Unknown Product")</f>
        <v>Premium Stream 1M Model O118</v>
      </c>
      <c r="L73" s="1" t="str">
        <f>_xlfn.XLOOKUP(C73, 'Product Catalog'!$A:$A, 'Product Catalog'!$C:$C, "Unknown Category")</f>
        <v>Digital Services</v>
      </c>
      <c r="M73" s="1">
        <f>_xlfn.XLOOKUP(C73, 'Product Catalog'!$A:$A, 'Product Catalog'!$D:$D, 0)</f>
        <v>53.05</v>
      </c>
      <c r="N73" s="1">
        <f t="shared" si="3"/>
        <v>212.2</v>
      </c>
    </row>
    <row r="74" spans="1:14" x14ac:dyDescent="0.3">
      <c r="A74" s="1" t="s">
        <v>230</v>
      </c>
      <c r="B74" s="1" t="s">
        <v>136</v>
      </c>
      <c r="C74" s="1" t="s">
        <v>49</v>
      </c>
      <c r="D74" s="1">
        <v>2</v>
      </c>
      <c r="E74" s="12">
        <v>45933.944444444445</v>
      </c>
      <c r="F74" s="1" t="s">
        <v>12</v>
      </c>
      <c r="G74" s="1" t="s">
        <v>13</v>
      </c>
      <c r="H74" s="1" t="s">
        <v>24</v>
      </c>
      <c r="I74" s="1" t="s">
        <v>56</v>
      </c>
      <c r="J74" s="1" t="str">
        <f t="shared" si="2"/>
        <v>cancelled</v>
      </c>
      <c r="K74" s="1" t="str">
        <f>_xlfn.XLOOKUP(C74, 'Product Catalog'!$A:$A, 'Product Catalog'!$B:$B, "Unknown Product")</f>
        <v>E-Book Access Model Y76</v>
      </c>
      <c r="L74" s="1" t="str">
        <f>_xlfn.XLOOKUP(C74, 'Product Catalog'!$A:$A, 'Product Catalog'!$C:$C, "Unknown Category")</f>
        <v>Digital Services</v>
      </c>
      <c r="M74" s="1">
        <f>_xlfn.XLOOKUP(C74, 'Product Catalog'!$A:$A, 'Product Catalog'!$D:$D, 0)</f>
        <v>92.33</v>
      </c>
      <c r="N74" s="1">
        <f t="shared" si="3"/>
        <v>184.66</v>
      </c>
    </row>
    <row r="75" spans="1:14" x14ac:dyDescent="0.3">
      <c r="A75" s="1" t="s">
        <v>231</v>
      </c>
      <c r="B75" s="1" t="s">
        <v>232</v>
      </c>
      <c r="C75" s="1" t="s">
        <v>80</v>
      </c>
      <c r="D75" s="1">
        <v>1</v>
      </c>
      <c r="E75" s="12">
        <v>45769.351388888892</v>
      </c>
      <c r="F75" s="1" t="s">
        <v>19</v>
      </c>
      <c r="G75" s="1" t="s">
        <v>31</v>
      </c>
      <c r="H75" s="1" t="s">
        <v>55</v>
      </c>
      <c r="I75" s="1" t="s">
        <v>56</v>
      </c>
      <c r="J75" s="1" t="str">
        <f t="shared" si="2"/>
        <v>cancelled</v>
      </c>
      <c r="K75" s="1" t="str">
        <f>_xlfn.XLOOKUP(C75, 'Product Catalog'!$A:$A, 'Product Catalog'!$B:$B, "Unknown Product")</f>
        <v>Leather Handbag Model S18</v>
      </c>
      <c r="L75" s="1" t="str">
        <f>_xlfn.XLOOKUP(C75, 'Product Catalog'!$A:$A, 'Product Catalog'!$C:$C, "Unknown Category")</f>
        <v>Luxury Goods</v>
      </c>
      <c r="M75" s="1">
        <f>_xlfn.XLOOKUP(C75, 'Product Catalog'!$A:$A, 'Product Catalog'!$D:$D, 0)</f>
        <v>1475.11</v>
      </c>
      <c r="N75" s="1">
        <f t="shared" si="3"/>
        <v>1475.11</v>
      </c>
    </row>
    <row r="76" spans="1:14" x14ac:dyDescent="0.3">
      <c r="A76" s="1" t="s">
        <v>233</v>
      </c>
      <c r="B76" s="1" t="s">
        <v>234</v>
      </c>
      <c r="C76" s="1" t="s">
        <v>38</v>
      </c>
      <c r="D76" s="1">
        <v>5</v>
      </c>
      <c r="E76" s="12">
        <v>46006.847222222219</v>
      </c>
      <c r="F76" s="1" t="s">
        <v>19</v>
      </c>
      <c r="G76" s="1" t="s">
        <v>40</v>
      </c>
      <c r="H76" s="1" t="s">
        <v>55</v>
      </c>
      <c r="I76" s="1" t="s">
        <v>81</v>
      </c>
      <c r="J76" s="1" t="str">
        <f t="shared" si="2"/>
        <v>REFUNDED</v>
      </c>
      <c r="K76" s="1" t="str">
        <f>_xlfn.XLOOKUP(C76, 'Product Catalog'!$A:$A, 'Product Catalog'!$B:$B, "Unknown Product")</f>
        <v>VPN 6-Month Pass Model V73</v>
      </c>
      <c r="L76" s="1" t="str">
        <f>_xlfn.XLOOKUP(C76, 'Product Catalog'!$A:$A, 'Product Catalog'!$C:$C, "Unknown Category")</f>
        <v>Digital Services</v>
      </c>
      <c r="M76" s="1">
        <f>_xlfn.XLOOKUP(C76, 'Product Catalog'!$A:$A, 'Product Catalog'!$D:$D, 0)</f>
        <v>58.13</v>
      </c>
      <c r="N76" s="1">
        <f t="shared" si="3"/>
        <v>290.65000000000003</v>
      </c>
    </row>
    <row r="77" spans="1:14" x14ac:dyDescent="0.3">
      <c r="A77" s="1" t="s">
        <v>235</v>
      </c>
      <c r="B77" s="1" t="s">
        <v>236</v>
      </c>
      <c r="C77" s="1" t="s">
        <v>237</v>
      </c>
      <c r="D77" s="1">
        <v>4</v>
      </c>
      <c r="E77" s="12">
        <v>45699.74722222222</v>
      </c>
      <c r="F77" s="1" t="s">
        <v>39</v>
      </c>
      <c r="G77" s="1" t="s">
        <v>50</v>
      </c>
      <c r="H77" s="1" t="s">
        <v>55</v>
      </c>
      <c r="I77" s="1" t="s">
        <v>56</v>
      </c>
      <c r="J77" s="1" t="str">
        <f t="shared" si="2"/>
        <v>cancelled</v>
      </c>
      <c r="K77" s="1" t="str">
        <f>_xlfn.XLOOKUP(C77, 'Product Catalog'!$A:$A, 'Product Catalog'!$B:$B, "Unknown Product")</f>
        <v>Leather Handbag Model U20</v>
      </c>
      <c r="L77" s="1" t="str">
        <f>_xlfn.XLOOKUP(C77, 'Product Catalog'!$A:$A, 'Product Catalog'!$C:$C, "Unknown Category")</f>
        <v>Luxury Goods</v>
      </c>
      <c r="M77" s="1">
        <f>_xlfn.XLOOKUP(C77, 'Product Catalog'!$A:$A, 'Product Catalog'!$D:$D, 0)</f>
        <v>1806.15</v>
      </c>
      <c r="N77" s="1">
        <f t="shared" si="3"/>
        <v>7224.6</v>
      </c>
    </row>
    <row r="78" spans="1:14" x14ac:dyDescent="0.3">
      <c r="A78" s="1" t="s">
        <v>238</v>
      </c>
      <c r="B78" s="1" t="s">
        <v>239</v>
      </c>
      <c r="C78" s="1" t="s">
        <v>45</v>
      </c>
      <c r="D78" s="1">
        <v>1</v>
      </c>
      <c r="E78" s="12">
        <v>45886.750694444447</v>
      </c>
      <c r="F78" s="1" t="s">
        <v>19</v>
      </c>
      <c r="G78" s="1" t="s">
        <v>13</v>
      </c>
      <c r="H78" s="1" t="s">
        <v>14</v>
      </c>
      <c r="I78" s="1" t="s">
        <v>15</v>
      </c>
      <c r="J78" s="1" t="str">
        <f t="shared" si="2"/>
        <v>delivered</v>
      </c>
      <c r="K78" s="1" t="str">
        <f>_xlfn.XLOOKUP(C78, 'Product Catalog'!$A:$A, 'Product Catalog'!$B:$B, "Unknown Product")</f>
        <v>Jacket Model N91</v>
      </c>
      <c r="L78" s="1" t="str">
        <f>_xlfn.XLOOKUP(C78, 'Product Catalog'!$A:$A, 'Product Catalog'!$C:$C, "Unknown Category")</f>
        <v>Apparel</v>
      </c>
      <c r="M78" s="1">
        <f>_xlfn.XLOOKUP(C78, 'Product Catalog'!$A:$A, 'Product Catalog'!$D:$D, 0)</f>
        <v>13.96</v>
      </c>
      <c r="N78" s="1">
        <f t="shared" si="3"/>
        <v>13.96</v>
      </c>
    </row>
    <row r="79" spans="1:14" x14ac:dyDescent="0.3">
      <c r="A79" s="1" t="s">
        <v>240</v>
      </c>
      <c r="B79" s="1" t="s">
        <v>241</v>
      </c>
      <c r="C79" s="1" t="s">
        <v>167</v>
      </c>
      <c r="D79" s="1">
        <v>1</v>
      </c>
      <c r="E79" s="12">
        <v>46018.513888888891</v>
      </c>
      <c r="F79" s="1" t="s">
        <v>12</v>
      </c>
      <c r="G79" s="1" t="s">
        <v>13</v>
      </c>
      <c r="H79" s="1" t="s">
        <v>41</v>
      </c>
      <c r="I79" s="1" t="s">
        <v>15</v>
      </c>
      <c r="J79" s="1" t="str">
        <f t="shared" si="2"/>
        <v>delivered</v>
      </c>
      <c r="K79" s="1" t="str">
        <f>_xlfn.XLOOKUP(C79, 'Product Catalog'!$A:$A, 'Product Catalog'!$B:$B, "Unknown Product")</f>
        <v>Premium Stream 1M Model V125</v>
      </c>
      <c r="L79" s="1" t="str">
        <f>_xlfn.XLOOKUP(C79, 'Product Catalog'!$A:$A, 'Product Catalog'!$C:$C, "Unknown Category")</f>
        <v>Digital Services</v>
      </c>
      <c r="M79" s="1">
        <f>_xlfn.XLOOKUP(C79, 'Product Catalog'!$A:$A, 'Product Catalog'!$D:$D, 0)</f>
        <v>18.87</v>
      </c>
      <c r="N79" s="1">
        <f t="shared" si="3"/>
        <v>18.87</v>
      </c>
    </row>
    <row r="80" spans="1:14" x14ac:dyDescent="0.3">
      <c r="A80" s="1" t="s">
        <v>242</v>
      </c>
      <c r="B80" s="1" t="s">
        <v>243</v>
      </c>
      <c r="C80" s="1" t="s">
        <v>244</v>
      </c>
      <c r="D80" s="1">
        <v>1</v>
      </c>
      <c r="E80" s="12">
        <v>45697.802083333336</v>
      </c>
      <c r="F80" s="1" t="s">
        <v>39</v>
      </c>
      <c r="G80" s="1" t="s">
        <v>40</v>
      </c>
      <c r="H80" s="1" t="s">
        <v>41</v>
      </c>
      <c r="I80" s="1" t="s">
        <v>81</v>
      </c>
      <c r="J80" s="1" t="str">
        <f t="shared" si="2"/>
        <v>REFUNDED</v>
      </c>
      <c r="K80" s="1" t="str">
        <f>_xlfn.XLOOKUP(C80, 'Product Catalog'!$A:$A, 'Product Catalog'!$B:$B, "Unknown Product")</f>
        <v>Hoodie Model F135</v>
      </c>
      <c r="L80" s="1" t="str">
        <f>_xlfn.XLOOKUP(C80, 'Product Catalog'!$A:$A, 'Product Catalog'!$C:$C, "Unknown Category")</f>
        <v>Apparel</v>
      </c>
      <c r="M80" s="1">
        <f>_xlfn.XLOOKUP(C80, 'Product Catalog'!$A:$A, 'Product Catalog'!$D:$D, 0)</f>
        <v>46.94</v>
      </c>
      <c r="N80" s="1">
        <f t="shared" si="3"/>
        <v>46.94</v>
      </c>
    </row>
    <row r="81" spans="1:14" x14ac:dyDescent="0.3">
      <c r="A81" s="1" t="s">
        <v>245</v>
      </c>
      <c r="B81" s="1" t="s">
        <v>246</v>
      </c>
      <c r="C81" s="1" t="s">
        <v>247</v>
      </c>
      <c r="D81" s="1">
        <v>4</v>
      </c>
      <c r="E81" s="12">
        <v>45715.087500000001</v>
      </c>
      <c r="F81" s="1" t="s">
        <v>170</v>
      </c>
      <c r="G81" s="1" t="s">
        <v>109</v>
      </c>
      <c r="H81" s="1" t="s">
        <v>55</v>
      </c>
      <c r="I81" s="1" t="s">
        <v>42</v>
      </c>
      <c r="J81" s="1" t="str">
        <f t="shared" si="2"/>
        <v>PENDING_REVIEW</v>
      </c>
      <c r="K81" s="1" t="str">
        <f>_xlfn.XLOOKUP(C81, 'Product Catalog'!$A:$A, 'Product Catalog'!$B:$B, "Unknown Product")</f>
        <v>Silk Scarf Model N117</v>
      </c>
      <c r="L81" s="1" t="str">
        <f>_xlfn.XLOOKUP(C81, 'Product Catalog'!$A:$A, 'Product Catalog'!$C:$C, "Unknown Category")</f>
        <v>Luxury Goods</v>
      </c>
      <c r="M81" s="1">
        <f>_xlfn.XLOOKUP(C81, 'Product Catalog'!$A:$A, 'Product Catalog'!$D:$D, 0)</f>
        <v>1740.35</v>
      </c>
      <c r="N81" s="1">
        <f t="shared" si="3"/>
        <v>6961.4</v>
      </c>
    </row>
    <row r="82" spans="1:14" x14ac:dyDescent="0.3">
      <c r="A82" s="1" t="s">
        <v>248</v>
      </c>
      <c r="B82" s="1" t="s">
        <v>249</v>
      </c>
      <c r="C82" s="1" t="s">
        <v>250</v>
      </c>
      <c r="D82" s="1">
        <v>1</v>
      </c>
      <c r="E82" s="12">
        <v>45938.71875</v>
      </c>
      <c r="F82" s="1" t="s">
        <v>12</v>
      </c>
      <c r="G82" s="1" t="s">
        <v>46</v>
      </c>
      <c r="H82" s="1" t="s">
        <v>14</v>
      </c>
      <c r="I82" s="1" t="s">
        <v>15</v>
      </c>
      <c r="J82" s="1" t="str">
        <f t="shared" si="2"/>
        <v>delivered</v>
      </c>
      <c r="K82" s="1" t="str">
        <f>_xlfn.XLOOKUP(C82, 'Product Catalog'!$A:$A, 'Product Catalog'!$B:$B, "Unknown Product")</f>
        <v>Keyboard Model U98</v>
      </c>
      <c r="L82" s="1" t="str">
        <f>_xlfn.XLOOKUP(C82, 'Product Catalog'!$A:$A, 'Product Catalog'!$C:$C, "Unknown Category")</f>
        <v>Electronics</v>
      </c>
      <c r="M82" s="1">
        <f>_xlfn.XLOOKUP(C82, 'Product Catalog'!$A:$A, 'Product Catalog'!$D:$D, 0)</f>
        <v>188.09</v>
      </c>
      <c r="N82" s="1">
        <f t="shared" si="3"/>
        <v>188.09</v>
      </c>
    </row>
    <row r="83" spans="1:14" x14ac:dyDescent="0.3">
      <c r="A83" s="1" t="s">
        <v>251</v>
      </c>
      <c r="B83" s="1" t="s">
        <v>252</v>
      </c>
      <c r="C83" s="1" t="s">
        <v>253</v>
      </c>
      <c r="D83" s="1">
        <v>1</v>
      </c>
      <c r="E83" s="12">
        <v>45761.813888888886</v>
      </c>
      <c r="F83" s="1" t="s">
        <v>185</v>
      </c>
      <c r="G83" s="1" t="s">
        <v>109</v>
      </c>
      <c r="H83" s="1" t="s">
        <v>41</v>
      </c>
      <c r="I83" s="1" t="s">
        <v>15</v>
      </c>
      <c r="J83" s="1" t="str">
        <f t="shared" si="2"/>
        <v>delivered</v>
      </c>
      <c r="K83" s="1" t="str">
        <f>_xlfn.XLOOKUP(C83, 'Product Catalog'!$A:$A, 'Product Catalog'!$B:$B, "Unknown Product")</f>
        <v>Hoodie Model B79</v>
      </c>
      <c r="L83" s="1" t="str">
        <f>_xlfn.XLOOKUP(C83, 'Product Catalog'!$A:$A, 'Product Catalog'!$C:$C, "Unknown Category")</f>
        <v>Apparel</v>
      </c>
      <c r="M83" s="1">
        <f>_xlfn.XLOOKUP(C83, 'Product Catalog'!$A:$A, 'Product Catalog'!$D:$D, 0)</f>
        <v>106.9</v>
      </c>
      <c r="N83" s="1">
        <f t="shared" si="3"/>
        <v>106.9</v>
      </c>
    </row>
    <row r="84" spans="1:14" x14ac:dyDescent="0.3">
      <c r="A84" s="1" t="s">
        <v>254</v>
      </c>
      <c r="B84" s="1" t="s">
        <v>255</v>
      </c>
      <c r="C84" s="1" t="s">
        <v>256</v>
      </c>
      <c r="D84" s="1">
        <v>1</v>
      </c>
      <c r="E84" s="12">
        <v>45932.212500000001</v>
      </c>
      <c r="F84" s="1" t="s">
        <v>12</v>
      </c>
      <c r="G84" s="1" t="s">
        <v>46</v>
      </c>
      <c r="H84" s="1" t="s">
        <v>14</v>
      </c>
      <c r="I84" s="1" t="s">
        <v>102</v>
      </c>
      <c r="J84" s="1" t="str">
        <f t="shared" si="2"/>
        <v>disputed</v>
      </c>
      <c r="K84" s="1" t="str">
        <f>_xlfn.XLOOKUP(C84, 'Product Catalog'!$A:$A, 'Product Catalog'!$B:$B, "Unknown Product")</f>
        <v>Charger Model E56</v>
      </c>
      <c r="L84" s="1" t="str">
        <f>_xlfn.XLOOKUP(C84, 'Product Catalog'!$A:$A, 'Product Catalog'!$C:$C, "Unknown Category")</f>
        <v>Electronics</v>
      </c>
      <c r="M84" s="1">
        <f>_xlfn.XLOOKUP(C84, 'Product Catalog'!$A:$A, 'Product Catalog'!$D:$D, 0)</f>
        <v>186.13</v>
      </c>
      <c r="N84" s="1">
        <f t="shared" si="3"/>
        <v>186.13</v>
      </c>
    </row>
    <row r="85" spans="1:14" x14ac:dyDescent="0.3">
      <c r="A85" s="1" t="s">
        <v>257</v>
      </c>
      <c r="B85" s="1" t="s">
        <v>258</v>
      </c>
      <c r="C85" s="1" t="s">
        <v>108</v>
      </c>
      <c r="D85" s="1">
        <v>1</v>
      </c>
      <c r="E85" s="12">
        <v>45742.46597222222</v>
      </c>
      <c r="F85" s="1" t="s">
        <v>12</v>
      </c>
      <c r="G85" s="1" t="s">
        <v>40</v>
      </c>
      <c r="H85" s="1" t="s">
        <v>41</v>
      </c>
      <c r="I85" s="1" t="s">
        <v>102</v>
      </c>
      <c r="J85" s="1" t="str">
        <f t="shared" si="2"/>
        <v>disputed</v>
      </c>
      <c r="K85" s="1" t="str">
        <f>_xlfn.XLOOKUP(C85, 'Product Catalog'!$A:$A, 'Product Catalog'!$B:$B, "Unknown Product")</f>
        <v>Smartwatch Model H7</v>
      </c>
      <c r="L85" s="1" t="str">
        <f>_xlfn.XLOOKUP(C85, 'Product Catalog'!$A:$A, 'Product Catalog'!$C:$C, "Unknown Category")</f>
        <v>Electronics</v>
      </c>
      <c r="M85" s="1">
        <f>_xlfn.XLOOKUP(C85, 'Product Catalog'!$A:$A, 'Product Catalog'!$D:$D, 0)</f>
        <v>204.37</v>
      </c>
      <c r="N85" s="1">
        <f t="shared" si="3"/>
        <v>204.37</v>
      </c>
    </row>
    <row r="86" spans="1:14" x14ac:dyDescent="0.3">
      <c r="A86" s="1" t="s">
        <v>259</v>
      </c>
      <c r="B86" s="1" t="s">
        <v>260</v>
      </c>
      <c r="C86" s="1" t="s">
        <v>261</v>
      </c>
      <c r="D86" s="1">
        <v>1</v>
      </c>
      <c r="E86" s="12">
        <v>45924.62777777778</v>
      </c>
      <c r="F86" s="1" t="s">
        <v>19</v>
      </c>
      <c r="G86" s="1" t="s">
        <v>31</v>
      </c>
      <c r="H86" s="1" t="s">
        <v>41</v>
      </c>
      <c r="I86" s="1" t="s">
        <v>15</v>
      </c>
      <c r="J86" s="1" t="str">
        <f t="shared" si="2"/>
        <v>delivered</v>
      </c>
      <c r="K86" s="1" t="str">
        <f>_xlfn.XLOOKUP(C86, 'Product Catalog'!$A:$A, 'Product Catalog'!$B:$B, "Unknown Product")</f>
        <v>Toaster Model C80</v>
      </c>
      <c r="L86" s="1" t="str">
        <f>_xlfn.XLOOKUP(C86, 'Product Catalog'!$A:$A, 'Product Catalog'!$C:$C, "Unknown Category")</f>
        <v>Home Goods</v>
      </c>
      <c r="M86" s="1">
        <f>_xlfn.XLOOKUP(C86, 'Product Catalog'!$A:$A, 'Product Catalog'!$D:$D, 0)</f>
        <v>45.24</v>
      </c>
      <c r="N86" s="1">
        <f t="shared" si="3"/>
        <v>45.24</v>
      </c>
    </row>
    <row r="87" spans="1:14" x14ac:dyDescent="0.3">
      <c r="A87" s="1" t="s">
        <v>262</v>
      </c>
      <c r="B87" s="1" t="s">
        <v>169</v>
      </c>
      <c r="C87" s="1" t="s">
        <v>84</v>
      </c>
      <c r="D87" s="1">
        <v>2</v>
      </c>
      <c r="E87" s="12">
        <v>45717.967361111114</v>
      </c>
      <c r="F87" s="1" t="s">
        <v>19</v>
      </c>
      <c r="G87" s="1" t="s">
        <v>13</v>
      </c>
      <c r="H87" s="1" t="s">
        <v>41</v>
      </c>
      <c r="I87" s="1" t="s">
        <v>15</v>
      </c>
      <c r="J87" s="1" t="str">
        <f t="shared" si="2"/>
        <v>delivered</v>
      </c>
      <c r="K87" s="1" t="str">
        <f>_xlfn.XLOOKUP(C87, 'Product Catalog'!$A:$A, 'Product Catalog'!$B:$B, "Unknown Product")</f>
        <v>Smartwatch Model J35</v>
      </c>
      <c r="L87" s="1" t="str">
        <f>_xlfn.XLOOKUP(C87, 'Product Catalog'!$A:$A, 'Product Catalog'!$C:$C, "Unknown Category")</f>
        <v>Electronics</v>
      </c>
      <c r="M87" s="1">
        <f>_xlfn.XLOOKUP(C87, 'Product Catalog'!$A:$A, 'Product Catalog'!$D:$D, 0)</f>
        <v>161.94999999999999</v>
      </c>
      <c r="N87" s="1">
        <f t="shared" si="3"/>
        <v>323.89999999999998</v>
      </c>
    </row>
    <row r="88" spans="1:14" x14ac:dyDescent="0.3">
      <c r="A88" s="1" t="s">
        <v>263</v>
      </c>
      <c r="B88" s="1" t="s">
        <v>264</v>
      </c>
      <c r="C88" s="1" t="s">
        <v>265</v>
      </c>
      <c r="D88" s="1">
        <v>4</v>
      </c>
      <c r="E88" s="12">
        <v>45763.82916666667</v>
      </c>
      <c r="F88" s="1" t="s">
        <v>39</v>
      </c>
      <c r="G88" s="1" t="s">
        <v>40</v>
      </c>
      <c r="H88" s="1" t="s">
        <v>51</v>
      </c>
      <c r="I88" s="1" t="s">
        <v>81</v>
      </c>
      <c r="J88" s="1" t="str">
        <f t="shared" si="2"/>
        <v>REFUNDED</v>
      </c>
      <c r="K88" s="1" t="str">
        <f>_xlfn.XLOOKUP(C88, 'Product Catalog'!$A:$A, 'Product Catalog'!$B:$B, "Unknown Product")</f>
        <v>Sneakers Model R121</v>
      </c>
      <c r="L88" s="1" t="str">
        <f>_xlfn.XLOOKUP(C88, 'Product Catalog'!$A:$A, 'Product Catalog'!$C:$C, "Unknown Category")</f>
        <v>Apparel</v>
      </c>
      <c r="M88" s="1">
        <f>_xlfn.XLOOKUP(C88, 'Product Catalog'!$A:$A, 'Product Catalog'!$D:$D, 0)</f>
        <v>44.15</v>
      </c>
      <c r="N88" s="1">
        <f t="shared" si="3"/>
        <v>176.6</v>
      </c>
    </row>
    <row r="89" spans="1:14" x14ac:dyDescent="0.3">
      <c r="A89" s="1" t="s">
        <v>266</v>
      </c>
      <c r="B89" s="1" t="s">
        <v>267</v>
      </c>
      <c r="C89" s="1" t="s">
        <v>268</v>
      </c>
      <c r="D89" s="1">
        <v>3</v>
      </c>
      <c r="E89" s="12">
        <v>45908.129166666666</v>
      </c>
      <c r="F89" s="1" t="s">
        <v>19</v>
      </c>
      <c r="G89" s="1" t="s">
        <v>31</v>
      </c>
      <c r="H89" s="1" t="s">
        <v>14</v>
      </c>
      <c r="I89" s="1" t="s">
        <v>15</v>
      </c>
      <c r="J89" s="1" t="str">
        <f t="shared" si="2"/>
        <v>delivered</v>
      </c>
      <c r="K89" s="1" t="str">
        <f>_xlfn.XLOOKUP(C89, 'Product Catalog'!$A:$A, 'Product Catalog'!$B:$B, "Unknown Product")</f>
        <v>Sneakers Model P119</v>
      </c>
      <c r="L89" s="1" t="str">
        <f>_xlfn.XLOOKUP(C89, 'Product Catalog'!$A:$A, 'Product Catalog'!$C:$C, "Unknown Category")</f>
        <v>Apparel</v>
      </c>
      <c r="M89" s="1">
        <f>_xlfn.XLOOKUP(C89, 'Product Catalog'!$A:$A, 'Product Catalog'!$D:$D, 0)</f>
        <v>19.329999999999998</v>
      </c>
      <c r="N89" s="1">
        <f t="shared" si="3"/>
        <v>57.989999999999995</v>
      </c>
    </row>
    <row r="90" spans="1:14" x14ac:dyDescent="0.3">
      <c r="A90" s="1" t="s">
        <v>269</v>
      </c>
      <c r="B90" s="1" t="s">
        <v>270</v>
      </c>
      <c r="C90" s="1" t="s">
        <v>200</v>
      </c>
      <c r="D90" s="1">
        <v>1</v>
      </c>
      <c r="E90" s="12">
        <v>45919.633333333331</v>
      </c>
      <c r="F90" s="1" t="s">
        <v>19</v>
      </c>
      <c r="G90" s="1" t="s">
        <v>13</v>
      </c>
      <c r="H90" s="1" t="s">
        <v>24</v>
      </c>
      <c r="I90" s="1" t="s">
        <v>15</v>
      </c>
      <c r="J90" s="1" t="str">
        <f t="shared" si="2"/>
        <v>delivered</v>
      </c>
      <c r="K90" s="1" t="str">
        <f>_xlfn.XLOOKUP(C90, 'Product Catalog'!$A:$A, 'Product Catalog'!$B:$B, "Unknown Product")</f>
        <v>Socks Model G58</v>
      </c>
      <c r="L90" s="1" t="str">
        <f>_xlfn.XLOOKUP(C90, 'Product Catalog'!$A:$A, 'Product Catalog'!$C:$C, "Unknown Category")</f>
        <v>Apparel</v>
      </c>
      <c r="M90" s="1">
        <f>_xlfn.XLOOKUP(C90, 'Product Catalog'!$A:$A, 'Product Catalog'!$D:$D, 0)</f>
        <v>30.18</v>
      </c>
      <c r="N90" s="1">
        <f t="shared" si="3"/>
        <v>30.18</v>
      </c>
    </row>
    <row r="91" spans="1:14" x14ac:dyDescent="0.3">
      <c r="A91" s="1" t="s">
        <v>271</v>
      </c>
      <c r="B91" s="1" t="s">
        <v>272</v>
      </c>
      <c r="C91" s="1" t="s">
        <v>195</v>
      </c>
      <c r="D91" s="1">
        <v>1</v>
      </c>
      <c r="E91" s="12">
        <v>45686.644444444442</v>
      </c>
      <c r="F91" s="1" t="s">
        <v>19</v>
      </c>
      <c r="G91" s="1" t="s">
        <v>50</v>
      </c>
      <c r="H91" s="1" t="s">
        <v>55</v>
      </c>
      <c r="I91" s="1" t="s">
        <v>81</v>
      </c>
      <c r="J91" s="1" t="str">
        <f t="shared" si="2"/>
        <v>REFUNDED</v>
      </c>
      <c r="K91" s="1" t="str">
        <f>_xlfn.XLOOKUP(C91, 'Product Catalog'!$A:$A, 'Product Catalog'!$B:$B, "Unknown Product")</f>
        <v>Blender Model L89</v>
      </c>
      <c r="L91" s="1" t="str">
        <f>_xlfn.XLOOKUP(C91, 'Product Catalog'!$A:$A, 'Product Catalog'!$C:$C, "Unknown Category")</f>
        <v>Home Goods</v>
      </c>
      <c r="M91" s="1">
        <f>_xlfn.XLOOKUP(C91, 'Product Catalog'!$A:$A, 'Product Catalog'!$D:$D, 0)</f>
        <v>138.6</v>
      </c>
      <c r="N91" s="1">
        <f t="shared" si="3"/>
        <v>138.6</v>
      </c>
    </row>
    <row r="92" spans="1:14" x14ac:dyDescent="0.3">
      <c r="A92" s="1" t="s">
        <v>273</v>
      </c>
      <c r="B92" s="1" t="s">
        <v>274</v>
      </c>
      <c r="C92" s="1" t="s">
        <v>275</v>
      </c>
      <c r="D92" s="1">
        <v>1</v>
      </c>
      <c r="E92" s="12">
        <v>45725.729861111111</v>
      </c>
      <c r="F92" s="1" t="s">
        <v>19</v>
      </c>
      <c r="G92" s="1" t="s">
        <v>46</v>
      </c>
      <c r="H92" s="1" t="s">
        <v>14</v>
      </c>
      <c r="I92" s="1" t="s">
        <v>15</v>
      </c>
      <c r="J92" s="1" t="str">
        <f t="shared" si="2"/>
        <v>delivered</v>
      </c>
      <c r="K92" s="1" t="str">
        <f>_xlfn.XLOOKUP(C92, 'Product Catalog'!$A:$A, 'Product Catalog'!$B:$B, "Unknown Product")</f>
        <v>Desk Lamp Model I112</v>
      </c>
      <c r="L92" s="1" t="str">
        <f>_xlfn.XLOOKUP(C92, 'Product Catalog'!$A:$A, 'Product Catalog'!$C:$C, "Unknown Category")</f>
        <v>Home Goods</v>
      </c>
      <c r="M92" s="1">
        <f>_xlfn.XLOOKUP(C92, 'Product Catalog'!$A:$A, 'Product Catalog'!$D:$D, 0)</f>
        <v>70.23</v>
      </c>
      <c r="N92" s="1">
        <f t="shared" si="3"/>
        <v>70.23</v>
      </c>
    </row>
    <row r="93" spans="1:14" x14ac:dyDescent="0.3">
      <c r="A93" s="1" t="s">
        <v>276</v>
      </c>
      <c r="B93" s="1" t="s">
        <v>277</v>
      </c>
      <c r="C93" s="1" t="s">
        <v>278</v>
      </c>
      <c r="D93" s="1">
        <v>1</v>
      </c>
      <c r="E93" s="12">
        <v>45870.649305555555</v>
      </c>
      <c r="F93" s="1" t="s">
        <v>19</v>
      </c>
      <c r="G93" s="1" t="s">
        <v>20</v>
      </c>
      <c r="H93" s="1" t="s">
        <v>14</v>
      </c>
      <c r="I93" s="1" t="s">
        <v>15</v>
      </c>
      <c r="J93" s="1" t="str">
        <f t="shared" si="2"/>
        <v>delivered</v>
      </c>
      <c r="K93" s="1" t="str">
        <f>_xlfn.XLOOKUP(C93, 'Product Catalog'!$A:$A, 'Product Catalog'!$B:$B, "Unknown Product")</f>
        <v>Premium Stream 1M Model L115</v>
      </c>
      <c r="L93" s="1" t="str">
        <f>_xlfn.XLOOKUP(C93, 'Product Catalog'!$A:$A, 'Product Catalog'!$C:$C, "Unknown Category")</f>
        <v>Digital Services</v>
      </c>
      <c r="M93" s="1">
        <f>_xlfn.XLOOKUP(C93, 'Product Catalog'!$A:$A, 'Product Catalog'!$D:$D, 0)</f>
        <v>62.86</v>
      </c>
      <c r="N93" s="1">
        <f t="shared" si="3"/>
        <v>62.86</v>
      </c>
    </row>
    <row r="94" spans="1:14" x14ac:dyDescent="0.3">
      <c r="A94" s="1" t="s">
        <v>279</v>
      </c>
      <c r="B94" s="1" t="s">
        <v>280</v>
      </c>
      <c r="C94" s="1" t="s">
        <v>281</v>
      </c>
      <c r="D94" s="1">
        <v>1</v>
      </c>
      <c r="E94" s="12">
        <v>45946.081944444442</v>
      </c>
      <c r="F94" s="1" t="s">
        <v>12</v>
      </c>
      <c r="G94" s="1" t="s">
        <v>31</v>
      </c>
      <c r="H94" s="1" t="s">
        <v>24</v>
      </c>
      <c r="I94" s="1" t="s">
        <v>56</v>
      </c>
      <c r="J94" s="1" t="str">
        <f t="shared" si="2"/>
        <v>cancelled</v>
      </c>
      <c r="K94" s="1" t="str">
        <f>_xlfn.XLOOKUP(C94, 'Product Catalog'!$A:$A, 'Product Catalog'!$B:$B, "Unknown Product")</f>
        <v>VPN 6-Month Pass Model B105</v>
      </c>
      <c r="L94" s="1" t="str">
        <f>_xlfn.XLOOKUP(C94, 'Product Catalog'!$A:$A, 'Product Catalog'!$C:$C, "Unknown Category")</f>
        <v>Digital Services</v>
      </c>
      <c r="M94" s="1">
        <f>_xlfn.XLOOKUP(C94, 'Product Catalog'!$A:$A, 'Product Catalog'!$D:$D, 0)</f>
        <v>36.130000000000003</v>
      </c>
      <c r="N94" s="1">
        <f t="shared" si="3"/>
        <v>36.130000000000003</v>
      </c>
    </row>
    <row r="95" spans="1:14" x14ac:dyDescent="0.3">
      <c r="A95" s="1" t="s">
        <v>282</v>
      </c>
      <c r="B95" s="1" t="s">
        <v>283</v>
      </c>
      <c r="C95" s="1" t="s">
        <v>219</v>
      </c>
      <c r="D95" s="1">
        <v>1</v>
      </c>
      <c r="E95" s="12">
        <v>45944.656944444447</v>
      </c>
      <c r="F95" s="1" t="s">
        <v>19</v>
      </c>
      <c r="G95" s="1" t="s">
        <v>109</v>
      </c>
      <c r="H95" s="1" t="s">
        <v>14</v>
      </c>
      <c r="I95" s="1" t="s">
        <v>15</v>
      </c>
      <c r="J95" s="1" t="str">
        <f t="shared" si="2"/>
        <v>delivered</v>
      </c>
      <c r="K95" s="1" t="str">
        <f>_xlfn.XLOOKUP(C95, 'Product Catalog'!$A:$A, 'Product Catalog'!$B:$B, "Unknown Product")</f>
        <v>Cap Model P15</v>
      </c>
      <c r="L95" s="1" t="str">
        <f>_xlfn.XLOOKUP(C95, 'Product Catalog'!$A:$A, 'Product Catalog'!$C:$C, "Unknown Category")</f>
        <v>Apparel</v>
      </c>
      <c r="M95" s="1">
        <f>_xlfn.XLOOKUP(C95, 'Product Catalog'!$A:$A, 'Product Catalog'!$D:$D, 0)</f>
        <v>21.11</v>
      </c>
      <c r="N95" s="1">
        <f t="shared" si="3"/>
        <v>21.11</v>
      </c>
    </row>
    <row r="96" spans="1:14" x14ac:dyDescent="0.3">
      <c r="A96" s="1" t="s">
        <v>284</v>
      </c>
      <c r="B96" s="1" t="s">
        <v>285</v>
      </c>
      <c r="C96" s="1" t="s">
        <v>54</v>
      </c>
      <c r="D96" s="1">
        <v>3</v>
      </c>
      <c r="E96" s="12">
        <v>46002.438194444447</v>
      </c>
      <c r="F96" s="1" t="s">
        <v>12</v>
      </c>
      <c r="G96" s="1" t="s">
        <v>20</v>
      </c>
      <c r="H96" s="1" t="s">
        <v>14</v>
      </c>
      <c r="I96" s="1" t="s">
        <v>15</v>
      </c>
      <c r="J96" s="1" t="str">
        <f t="shared" si="2"/>
        <v>delivered</v>
      </c>
      <c r="K96" s="1" t="str">
        <f>_xlfn.XLOOKUP(C96, 'Product Catalog'!$A:$A, 'Product Catalog'!$B:$B, "Unknown Product")</f>
        <v>Keyboard Model V21</v>
      </c>
      <c r="L96" s="1" t="str">
        <f>_xlfn.XLOOKUP(C96, 'Product Catalog'!$A:$A, 'Product Catalog'!$C:$C, "Unknown Category")</f>
        <v>Electronics</v>
      </c>
      <c r="M96" s="1">
        <f>_xlfn.XLOOKUP(C96, 'Product Catalog'!$A:$A, 'Product Catalog'!$D:$D, 0)</f>
        <v>208.12</v>
      </c>
      <c r="N96" s="1">
        <f t="shared" si="3"/>
        <v>624.36</v>
      </c>
    </row>
    <row r="97" spans="1:14" x14ac:dyDescent="0.3">
      <c r="A97" s="1" t="s">
        <v>286</v>
      </c>
      <c r="B97" s="1" t="s">
        <v>178</v>
      </c>
      <c r="C97" s="1" t="s">
        <v>95</v>
      </c>
      <c r="D97" s="1">
        <v>2</v>
      </c>
      <c r="E97" s="12">
        <v>45669.5625</v>
      </c>
      <c r="F97" s="1" t="s">
        <v>19</v>
      </c>
      <c r="G97" s="1" t="s">
        <v>46</v>
      </c>
      <c r="H97" s="1" t="s">
        <v>14</v>
      </c>
      <c r="I97" s="1" t="s">
        <v>15</v>
      </c>
      <c r="J97" s="1" t="str">
        <f t="shared" si="2"/>
        <v>delivered</v>
      </c>
      <c r="K97" s="1" t="str">
        <f>_xlfn.XLOOKUP(C97, 'Product Catalog'!$A:$A, 'Product Catalog'!$B:$B, "Unknown Product")</f>
        <v>Jacket Model U72</v>
      </c>
      <c r="L97" s="1" t="str">
        <f>_xlfn.XLOOKUP(C97, 'Product Catalog'!$A:$A, 'Product Catalog'!$C:$C, "Unknown Category")</f>
        <v>Apparel</v>
      </c>
      <c r="M97" s="1">
        <f>_xlfn.XLOOKUP(C97, 'Product Catalog'!$A:$A, 'Product Catalog'!$D:$D, 0)</f>
        <v>75.400000000000006</v>
      </c>
      <c r="N97" s="1">
        <f t="shared" si="3"/>
        <v>150.80000000000001</v>
      </c>
    </row>
    <row r="98" spans="1:14" x14ac:dyDescent="0.3">
      <c r="A98" s="1" t="s">
        <v>287</v>
      </c>
      <c r="B98" s="1" t="s">
        <v>270</v>
      </c>
      <c r="C98" s="1" t="s">
        <v>84</v>
      </c>
      <c r="D98" s="1">
        <v>5</v>
      </c>
      <c r="E98" s="12">
        <v>45788.004166666666</v>
      </c>
      <c r="F98" s="1" t="s">
        <v>170</v>
      </c>
      <c r="G98" s="1" t="s">
        <v>40</v>
      </c>
      <c r="H98" s="1" t="s">
        <v>41</v>
      </c>
      <c r="I98" s="1" t="s">
        <v>81</v>
      </c>
      <c r="J98" s="1" t="str">
        <f t="shared" si="2"/>
        <v>REFUNDED</v>
      </c>
      <c r="K98" s="1" t="str">
        <f>_xlfn.XLOOKUP(C98, 'Product Catalog'!$A:$A, 'Product Catalog'!$B:$B, "Unknown Product")</f>
        <v>Smartwatch Model J35</v>
      </c>
      <c r="L98" s="1" t="str">
        <f>_xlfn.XLOOKUP(C98, 'Product Catalog'!$A:$A, 'Product Catalog'!$C:$C, "Unknown Category")</f>
        <v>Electronics</v>
      </c>
      <c r="M98" s="1">
        <f>_xlfn.XLOOKUP(C98, 'Product Catalog'!$A:$A, 'Product Catalog'!$D:$D, 0)</f>
        <v>161.94999999999999</v>
      </c>
      <c r="N98" s="1">
        <f t="shared" si="3"/>
        <v>809.75</v>
      </c>
    </row>
    <row r="99" spans="1:14" x14ac:dyDescent="0.3">
      <c r="A99" s="1" t="s">
        <v>288</v>
      </c>
      <c r="B99" s="1" t="s">
        <v>283</v>
      </c>
      <c r="C99" s="1" t="s">
        <v>209</v>
      </c>
      <c r="D99" s="1">
        <v>4</v>
      </c>
      <c r="E99" s="12">
        <v>45769.822222222225</v>
      </c>
      <c r="F99" s="1" t="s">
        <v>19</v>
      </c>
      <c r="G99" s="1" t="s">
        <v>46</v>
      </c>
      <c r="H99" s="1" t="s">
        <v>51</v>
      </c>
      <c r="I99" s="1" t="s">
        <v>81</v>
      </c>
      <c r="J99" s="1" t="str">
        <f t="shared" si="2"/>
        <v>REFUNDED</v>
      </c>
      <c r="K99" s="1" t="str">
        <f>_xlfn.XLOOKUP(C99, 'Product Catalog'!$A:$A, 'Product Catalog'!$B:$B, "Unknown Product")</f>
        <v>Silk Scarf Model Z129</v>
      </c>
      <c r="L99" s="1" t="str">
        <f>_xlfn.XLOOKUP(C99, 'Product Catalog'!$A:$A, 'Product Catalog'!$C:$C, "Unknown Category")</f>
        <v>Luxury Goods</v>
      </c>
      <c r="M99" s="1">
        <f>_xlfn.XLOOKUP(C99, 'Product Catalog'!$A:$A, 'Product Catalog'!$D:$D, 0)</f>
        <v>1610</v>
      </c>
      <c r="N99" s="1">
        <f t="shared" si="3"/>
        <v>6440</v>
      </c>
    </row>
    <row r="100" spans="1:14" x14ac:dyDescent="0.3">
      <c r="A100" s="1" t="s">
        <v>289</v>
      </c>
      <c r="B100" s="1" t="s">
        <v>290</v>
      </c>
      <c r="C100" s="1" t="s">
        <v>151</v>
      </c>
      <c r="D100" s="1">
        <v>1</v>
      </c>
      <c r="E100" s="12">
        <v>45695.063888888886</v>
      </c>
      <c r="F100" s="1" t="s">
        <v>19</v>
      </c>
      <c r="G100" s="1" t="s">
        <v>109</v>
      </c>
      <c r="H100" s="1" t="s">
        <v>41</v>
      </c>
      <c r="I100" s="1" t="s">
        <v>15</v>
      </c>
      <c r="J100" s="1" t="str">
        <f t="shared" si="2"/>
        <v>delivered</v>
      </c>
      <c r="K100" s="1" t="str">
        <f>_xlfn.XLOOKUP(C100, 'Product Catalog'!$A:$A, 'Product Catalog'!$B:$B, "Unknown Product")</f>
        <v>Hoodie Model R43</v>
      </c>
      <c r="L100" s="1" t="str">
        <f>_xlfn.XLOOKUP(C100, 'Product Catalog'!$A:$A, 'Product Catalog'!$C:$C, "Unknown Category")</f>
        <v>Apparel</v>
      </c>
      <c r="M100" s="1">
        <f>_xlfn.XLOOKUP(C100, 'Product Catalog'!$A:$A, 'Product Catalog'!$D:$D, 0)</f>
        <v>68.040000000000006</v>
      </c>
      <c r="N100" s="1">
        <f t="shared" si="3"/>
        <v>68.040000000000006</v>
      </c>
    </row>
    <row r="101" spans="1:14" x14ac:dyDescent="0.3">
      <c r="A101" s="1" t="s">
        <v>291</v>
      </c>
      <c r="B101" s="1" t="s">
        <v>292</v>
      </c>
      <c r="C101" s="1" t="s">
        <v>293</v>
      </c>
      <c r="D101" s="1">
        <v>1</v>
      </c>
      <c r="E101" s="12">
        <v>45874.489583333336</v>
      </c>
      <c r="F101" s="1" t="s">
        <v>12</v>
      </c>
      <c r="G101" s="1" t="s">
        <v>31</v>
      </c>
      <c r="H101" s="1" t="s">
        <v>14</v>
      </c>
      <c r="I101" s="1" t="s">
        <v>15</v>
      </c>
      <c r="J101" s="1" t="str">
        <f t="shared" si="2"/>
        <v>delivered</v>
      </c>
      <c r="K101" s="1" t="str">
        <f>_xlfn.XLOOKUP(C101, 'Product Catalog'!$A:$A, 'Product Catalog'!$B:$B, "Unknown Product")</f>
        <v>Software License Tier A Model C132</v>
      </c>
      <c r="L101" s="1" t="str">
        <f>_xlfn.XLOOKUP(C101, 'Product Catalog'!$A:$A, 'Product Catalog'!$C:$C, "Unknown Category")</f>
        <v>Digital Services</v>
      </c>
      <c r="M101" s="1">
        <f>_xlfn.XLOOKUP(C101, 'Product Catalog'!$A:$A, 'Product Catalog'!$D:$D, 0)</f>
        <v>29.36</v>
      </c>
      <c r="N101" s="1">
        <f t="shared" si="3"/>
        <v>29.36</v>
      </c>
    </row>
    <row r="102" spans="1:14" x14ac:dyDescent="0.3">
      <c r="A102" s="1" t="s">
        <v>294</v>
      </c>
      <c r="B102" s="1" t="s">
        <v>295</v>
      </c>
      <c r="C102" s="1" t="s">
        <v>296</v>
      </c>
      <c r="D102" s="1">
        <v>1</v>
      </c>
      <c r="E102" s="12">
        <v>46016.090277777781</v>
      </c>
      <c r="F102" s="1" t="s">
        <v>19</v>
      </c>
      <c r="G102" s="1" t="s">
        <v>46</v>
      </c>
      <c r="H102" s="1" t="s">
        <v>24</v>
      </c>
      <c r="I102" s="1" t="s">
        <v>32</v>
      </c>
      <c r="J102" s="1" t="str">
        <f t="shared" si="2"/>
        <v>SHIPPED</v>
      </c>
      <c r="K102" s="1" t="str">
        <f>_xlfn.XLOOKUP(C102, 'Product Catalog'!$A:$A, 'Product Catalog'!$B:$B, "Unknown Product")</f>
        <v>Socks Model K62</v>
      </c>
      <c r="L102" s="1" t="str">
        <f>_xlfn.XLOOKUP(C102, 'Product Catalog'!$A:$A, 'Product Catalog'!$C:$C, "Unknown Category")</f>
        <v>Apparel</v>
      </c>
      <c r="M102" s="1">
        <f>_xlfn.XLOOKUP(C102, 'Product Catalog'!$A:$A, 'Product Catalog'!$D:$D, 0)</f>
        <v>63.42</v>
      </c>
      <c r="N102" s="1">
        <f t="shared" si="3"/>
        <v>63.42</v>
      </c>
    </row>
    <row r="103" spans="1:14" x14ac:dyDescent="0.3">
      <c r="A103" s="1" t="s">
        <v>297</v>
      </c>
      <c r="B103" s="1" t="s">
        <v>298</v>
      </c>
      <c r="C103" s="1" t="s">
        <v>71</v>
      </c>
      <c r="D103" s="1">
        <v>5</v>
      </c>
      <c r="E103" s="12">
        <v>45935.085416666669</v>
      </c>
      <c r="F103" s="1" t="s">
        <v>39</v>
      </c>
      <c r="G103" s="1" t="s">
        <v>50</v>
      </c>
      <c r="H103" s="1" t="s">
        <v>55</v>
      </c>
      <c r="I103" s="1" t="s">
        <v>81</v>
      </c>
      <c r="J103" s="1" t="str">
        <f t="shared" si="2"/>
        <v>REFUNDED</v>
      </c>
      <c r="K103" s="1" t="str">
        <f>_xlfn.XLOOKUP(C103, 'Product Catalog'!$A:$A, 'Product Catalog'!$B:$B, "Unknown Product")</f>
        <v>VPN 6-Month Pass Model D29</v>
      </c>
      <c r="L103" s="1" t="str">
        <f>_xlfn.XLOOKUP(C103, 'Product Catalog'!$A:$A, 'Product Catalog'!$C:$C, "Unknown Category")</f>
        <v>Digital Services</v>
      </c>
      <c r="M103" s="1">
        <f>_xlfn.XLOOKUP(C103, 'Product Catalog'!$A:$A, 'Product Catalog'!$D:$D, 0)</f>
        <v>10.97</v>
      </c>
      <c r="N103" s="1">
        <f t="shared" si="3"/>
        <v>54.85</v>
      </c>
    </row>
    <row r="104" spans="1:14" x14ac:dyDescent="0.3">
      <c r="A104" s="1" t="s">
        <v>299</v>
      </c>
      <c r="B104" s="1" t="s">
        <v>300</v>
      </c>
      <c r="C104" s="1" t="s">
        <v>301</v>
      </c>
      <c r="D104" s="1">
        <v>3</v>
      </c>
      <c r="E104" s="12">
        <v>45693.67083333333</v>
      </c>
      <c r="F104" s="1" t="s">
        <v>12</v>
      </c>
      <c r="G104" s="1" t="s">
        <v>31</v>
      </c>
      <c r="H104" s="1" t="s">
        <v>41</v>
      </c>
      <c r="I104" s="1" t="s">
        <v>15</v>
      </c>
      <c r="J104" s="1" t="str">
        <f t="shared" si="2"/>
        <v>delivered</v>
      </c>
      <c r="K104" s="1" t="str">
        <f>_xlfn.XLOOKUP(C104, 'Product Catalog'!$A:$A, 'Product Catalog'!$B:$B, "Unknown Product")</f>
        <v>Mouse Model D107</v>
      </c>
      <c r="L104" s="1" t="str">
        <f>_xlfn.XLOOKUP(C104, 'Product Catalog'!$A:$A, 'Product Catalog'!$C:$C, "Unknown Category")</f>
        <v>Electronics</v>
      </c>
      <c r="M104" s="1">
        <f>_xlfn.XLOOKUP(C104, 'Product Catalog'!$A:$A, 'Product Catalog'!$D:$D, 0)</f>
        <v>155.19</v>
      </c>
      <c r="N104" s="1">
        <f t="shared" si="3"/>
        <v>465.57</v>
      </c>
    </row>
    <row r="105" spans="1:14" x14ac:dyDescent="0.3">
      <c r="A105" s="1" t="s">
        <v>302</v>
      </c>
      <c r="B105" s="1" t="s">
        <v>303</v>
      </c>
      <c r="C105" s="1" t="s">
        <v>268</v>
      </c>
      <c r="D105" s="1">
        <v>1</v>
      </c>
      <c r="E105" s="12">
        <v>45674.407638888886</v>
      </c>
      <c r="F105" s="1" t="s">
        <v>12</v>
      </c>
      <c r="G105" s="1" t="s">
        <v>20</v>
      </c>
      <c r="H105" s="1" t="s">
        <v>41</v>
      </c>
      <c r="I105" s="1" t="s">
        <v>15</v>
      </c>
      <c r="J105" s="1" t="str">
        <f t="shared" si="2"/>
        <v>delivered</v>
      </c>
      <c r="K105" s="1" t="str">
        <f>_xlfn.XLOOKUP(C105, 'Product Catalog'!$A:$A, 'Product Catalog'!$B:$B, "Unknown Product")</f>
        <v>Sneakers Model P119</v>
      </c>
      <c r="L105" s="1" t="str">
        <f>_xlfn.XLOOKUP(C105, 'Product Catalog'!$A:$A, 'Product Catalog'!$C:$C, "Unknown Category")</f>
        <v>Apparel</v>
      </c>
      <c r="M105" s="1">
        <f>_xlfn.XLOOKUP(C105, 'Product Catalog'!$A:$A, 'Product Catalog'!$D:$D, 0)</f>
        <v>19.329999999999998</v>
      </c>
      <c r="N105" s="1">
        <f t="shared" si="3"/>
        <v>19.329999999999998</v>
      </c>
    </row>
    <row r="106" spans="1:14" x14ac:dyDescent="0.3">
      <c r="A106" s="1" t="s">
        <v>304</v>
      </c>
      <c r="B106" s="1" t="s">
        <v>305</v>
      </c>
      <c r="C106" s="1" t="s">
        <v>112</v>
      </c>
      <c r="D106" s="1">
        <v>1</v>
      </c>
      <c r="E106" s="12">
        <v>45867.255555555559</v>
      </c>
      <c r="F106" s="1" t="s">
        <v>19</v>
      </c>
      <c r="G106" s="1" t="s">
        <v>50</v>
      </c>
      <c r="H106" s="1" t="s">
        <v>41</v>
      </c>
      <c r="I106" s="1" t="s">
        <v>102</v>
      </c>
      <c r="J106" s="1" t="str">
        <f t="shared" si="2"/>
        <v>disputed</v>
      </c>
      <c r="K106" s="1" t="str">
        <f>_xlfn.XLOOKUP(C106, 'Product Catalog'!$A:$A, 'Product Catalog'!$B:$B, "Unknown Product")</f>
        <v>Mouse Model J87</v>
      </c>
      <c r="L106" s="1" t="str">
        <f>_xlfn.XLOOKUP(C106, 'Product Catalog'!$A:$A, 'Product Catalog'!$C:$C, "Unknown Category")</f>
        <v>Electronics</v>
      </c>
      <c r="M106" s="1">
        <f>_xlfn.XLOOKUP(C106, 'Product Catalog'!$A:$A, 'Product Catalog'!$D:$D, 0)</f>
        <v>164.06</v>
      </c>
      <c r="N106" s="1">
        <f t="shared" si="3"/>
        <v>164.06</v>
      </c>
    </row>
    <row r="107" spans="1:14" x14ac:dyDescent="0.3">
      <c r="A107" s="1" t="s">
        <v>306</v>
      </c>
      <c r="B107" s="1" t="s">
        <v>307</v>
      </c>
      <c r="C107" s="1" t="s">
        <v>80</v>
      </c>
      <c r="D107" s="1">
        <v>1</v>
      </c>
      <c r="E107" s="12">
        <v>45727.911805555559</v>
      </c>
      <c r="F107" s="1" t="s">
        <v>12</v>
      </c>
      <c r="G107" s="1" t="s">
        <v>46</v>
      </c>
      <c r="H107" s="1" t="s">
        <v>51</v>
      </c>
      <c r="I107" s="1" t="s">
        <v>56</v>
      </c>
      <c r="J107" s="1" t="str">
        <f t="shared" si="2"/>
        <v>cancelled</v>
      </c>
      <c r="K107" s="1" t="str">
        <f>_xlfn.XLOOKUP(C107, 'Product Catalog'!$A:$A, 'Product Catalog'!$B:$B, "Unknown Product")</f>
        <v>Leather Handbag Model S18</v>
      </c>
      <c r="L107" s="1" t="str">
        <f>_xlfn.XLOOKUP(C107, 'Product Catalog'!$A:$A, 'Product Catalog'!$C:$C, "Unknown Category")</f>
        <v>Luxury Goods</v>
      </c>
      <c r="M107" s="1">
        <f>_xlfn.XLOOKUP(C107, 'Product Catalog'!$A:$A, 'Product Catalog'!$D:$D, 0)</f>
        <v>1475.11</v>
      </c>
      <c r="N107" s="1">
        <f t="shared" si="3"/>
        <v>1475.11</v>
      </c>
    </row>
    <row r="108" spans="1:14" x14ac:dyDescent="0.3">
      <c r="A108" s="1" t="s">
        <v>308</v>
      </c>
      <c r="B108" s="1" t="s">
        <v>136</v>
      </c>
      <c r="C108" s="1" t="s">
        <v>309</v>
      </c>
      <c r="D108" s="1">
        <v>2</v>
      </c>
      <c r="E108" s="12">
        <v>45988.597222222219</v>
      </c>
      <c r="F108" s="1" t="s">
        <v>12</v>
      </c>
      <c r="G108" s="1" t="s">
        <v>13</v>
      </c>
      <c r="H108" s="1" t="s">
        <v>14</v>
      </c>
      <c r="I108" s="1" t="s">
        <v>15</v>
      </c>
      <c r="J108" s="1" t="str">
        <f t="shared" si="2"/>
        <v>delivered</v>
      </c>
      <c r="K108" s="1" t="str">
        <f>_xlfn.XLOOKUP(C108, 'Product Catalog'!$A:$A, 'Product Catalog'!$B:$B, "Unknown Product")</f>
        <v>Sneakers Model C2</v>
      </c>
      <c r="L108" s="1" t="str">
        <f>_xlfn.XLOOKUP(C108, 'Product Catalog'!$A:$A, 'Product Catalog'!$C:$C, "Unknown Category")</f>
        <v>Apparel</v>
      </c>
      <c r="M108" s="1">
        <f>_xlfn.XLOOKUP(C108, 'Product Catalog'!$A:$A, 'Product Catalog'!$D:$D, 0)</f>
        <v>21.27</v>
      </c>
      <c r="N108" s="1">
        <f t="shared" si="3"/>
        <v>42.54</v>
      </c>
    </row>
    <row r="109" spans="1:14" x14ac:dyDescent="0.3">
      <c r="A109" s="1" t="s">
        <v>310</v>
      </c>
      <c r="B109" s="1" t="s">
        <v>311</v>
      </c>
      <c r="C109" s="1" t="s">
        <v>181</v>
      </c>
      <c r="D109" s="1">
        <v>1</v>
      </c>
      <c r="E109" s="12">
        <v>45849.543749999997</v>
      </c>
      <c r="F109" s="1" t="s">
        <v>19</v>
      </c>
      <c r="G109" s="1" t="s">
        <v>31</v>
      </c>
      <c r="H109" s="1" t="s">
        <v>14</v>
      </c>
      <c r="I109" s="1" t="s">
        <v>15</v>
      </c>
      <c r="J109" s="1" t="str">
        <f t="shared" si="2"/>
        <v>delivered</v>
      </c>
      <c r="K109" s="1" t="str">
        <f>_xlfn.XLOOKUP(C109, 'Product Catalog'!$A:$A, 'Product Catalog'!$B:$B, "Unknown Product")</f>
        <v>Premium Stream 1M Model V99</v>
      </c>
      <c r="L109" s="1" t="str">
        <f>_xlfn.XLOOKUP(C109, 'Product Catalog'!$A:$A, 'Product Catalog'!$C:$C, "Unknown Category")</f>
        <v>Digital Services</v>
      </c>
      <c r="M109" s="1">
        <f>_xlfn.XLOOKUP(C109, 'Product Catalog'!$A:$A, 'Product Catalog'!$D:$D, 0)</f>
        <v>30.08</v>
      </c>
      <c r="N109" s="1">
        <f t="shared" si="3"/>
        <v>30.08</v>
      </c>
    </row>
    <row r="110" spans="1:14" x14ac:dyDescent="0.3">
      <c r="A110" s="1" t="s">
        <v>312</v>
      </c>
      <c r="B110" s="1" t="s">
        <v>313</v>
      </c>
      <c r="C110" s="1" t="s">
        <v>314</v>
      </c>
      <c r="D110" s="1">
        <v>1</v>
      </c>
      <c r="E110" s="12">
        <v>45887.536805555559</v>
      </c>
      <c r="F110" s="1" t="s">
        <v>19</v>
      </c>
      <c r="G110" s="1" t="s">
        <v>13</v>
      </c>
      <c r="H110" s="1" t="s">
        <v>24</v>
      </c>
      <c r="I110" s="1" t="s">
        <v>42</v>
      </c>
      <c r="J110" s="1" t="str">
        <f t="shared" si="2"/>
        <v>PENDING_REVIEW</v>
      </c>
      <c r="K110" s="1" t="str">
        <f>_xlfn.XLOOKUP(C110, 'Product Catalog'!$A:$A, 'Product Catalog'!$B:$B, "Unknown Product")</f>
        <v>Smartwatch Model A104</v>
      </c>
      <c r="L110" s="1" t="str">
        <f>_xlfn.XLOOKUP(C110, 'Product Catalog'!$A:$A, 'Product Catalog'!$C:$C, "Unknown Category")</f>
        <v>Electronics</v>
      </c>
      <c r="M110" s="1">
        <f>_xlfn.XLOOKUP(C110, 'Product Catalog'!$A:$A, 'Product Catalog'!$D:$D, 0)</f>
        <v>80.59</v>
      </c>
      <c r="N110" s="1">
        <f t="shared" si="3"/>
        <v>80.59</v>
      </c>
    </row>
    <row r="111" spans="1:14" x14ac:dyDescent="0.3">
      <c r="A111" s="1" t="s">
        <v>315</v>
      </c>
      <c r="B111" s="1" t="s">
        <v>97</v>
      </c>
      <c r="C111" s="1" t="s">
        <v>316</v>
      </c>
      <c r="D111" s="1">
        <v>4</v>
      </c>
      <c r="E111" s="12">
        <v>45850.113888888889</v>
      </c>
      <c r="F111" s="1" t="s">
        <v>19</v>
      </c>
      <c r="G111" s="1" t="s">
        <v>109</v>
      </c>
      <c r="H111" s="1" t="s">
        <v>55</v>
      </c>
      <c r="I111" s="1" t="s">
        <v>42</v>
      </c>
      <c r="J111" s="1" t="str">
        <f t="shared" si="2"/>
        <v>PENDING_REVIEW</v>
      </c>
      <c r="K111" s="1" t="str">
        <f>_xlfn.XLOOKUP(C111, 'Product Catalog'!$A:$A, 'Product Catalog'!$B:$B, "Unknown Product")</f>
        <v>Leather Handbag Model W48</v>
      </c>
      <c r="L111" s="1" t="str">
        <f>_xlfn.XLOOKUP(C111, 'Product Catalog'!$A:$A, 'Product Catalog'!$C:$C, "Unknown Category")</f>
        <v>Luxury Goods</v>
      </c>
      <c r="M111" s="1">
        <f>_xlfn.XLOOKUP(C111, 'Product Catalog'!$A:$A, 'Product Catalog'!$D:$D, 0)</f>
        <v>315.82</v>
      </c>
      <c r="N111" s="1">
        <f t="shared" si="3"/>
        <v>1263.28</v>
      </c>
    </row>
    <row r="112" spans="1:14" x14ac:dyDescent="0.3">
      <c r="A112" s="1" t="s">
        <v>317</v>
      </c>
      <c r="B112" s="1" t="s">
        <v>79</v>
      </c>
      <c r="C112" s="1" t="s">
        <v>74</v>
      </c>
      <c r="D112" s="1">
        <v>2</v>
      </c>
      <c r="E112" s="12">
        <v>46007.940972222219</v>
      </c>
      <c r="F112" s="1" t="s">
        <v>19</v>
      </c>
      <c r="G112" s="1" t="s">
        <v>13</v>
      </c>
      <c r="H112" s="1" t="s">
        <v>14</v>
      </c>
      <c r="I112" s="1" t="s">
        <v>15</v>
      </c>
      <c r="J112" s="1" t="str">
        <f t="shared" si="2"/>
        <v>delivered</v>
      </c>
      <c r="K112" s="1" t="str">
        <f>_xlfn.XLOOKUP(C112, 'Product Catalog'!$A:$A, 'Product Catalog'!$B:$B, "Unknown Product")</f>
        <v>Webcam Model D55</v>
      </c>
      <c r="L112" s="1" t="str">
        <f>_xlfn.XLOOKUP(C112, 'Product Catalog'!$A:$A, 'Product Catalog'!$C:$C, "Unknown Category")</f>
        <v>Electronics</v>
      </c>
      <c r="M112" s="1">
        <f>_xlfn.XLOOKUP(C112, 'Product Catalog'!$A:$A, 'Product Catalog'!$D:$D, 0)</f>
        <v>168.56</v>
      </c>
      <c r="N112" s="1">
        <f t="shared" si="3"/>
        <v>337.12</v>
      </c>
    </row>
    <row r="113" spans="1:14" x14ac:dyDescent="0.3">
      <c r="A113" s="1" t="s">
        <v>318</v>
      </c>
      <c r="B113" s="1" t="s">
        <v>319</v>
      </c>
      <c r="C113" s="1" t="s">
        <v>320</v>
      </c>
      <c r="D113" s="1">
        <v>5</v>
      </c>
      <c r="E113" s="12">
        <v>45934.188888888886</v>
      </c>
      <c r="F113" s="1" t="s">
        <v>12</v>
      </c>
      <c r="G113" s="1" t="s">
        <v>50</v>
      </c>
      <c r="H113" s="1" t="s">
        <v>51</v>
      </c>
      <c r="I113" s="1" t="s">
        <v>42</v>
      </c>
      <c r="J113" s="1" t="str">
        <f t="shared" si="2"/>
        <v>PENDING_REVIEW</v>
      </c>
      <c r="K113" s="1" t="str">
        <f>_xlfn.XLOOKUP(C113, 'Product Catalog'!$A:$A, 'Product Catalog'!$B:$B, "Unknown Product")</f>
        <v>Premium Stream 1M Model Y24</v>
      </c>
      <c r="L113" s="1" t="str">
        <f>_xlfn.XLOOKUP(C113, 'Product Catalog'!$A:$A, 'Product Catalog'!$C:$C, "Unknown Category")</f>
        <v>Digital Services</v>
      </c>
      <c r="M113" s="1">
        <f>_xlfn.XLOOKUP(C113, 'Product Catalog'!$A:$A, 'Product Catalog'!$D:$D, 0)</f>
        <v>29.9</v>
      </c>
      <c r="N113" s="1">
        <f t="shared" si="3"/>
        <v>149.5</v>
      </c>
    </row>
    <row r="114" spans="1:14" x14ac:dyDescent="0.3">
      <c r="A114" s="1" t="s">
        <v>321</v>
      </c>
      <c r="B114" s="1" t="s">
        <v>322</v>
      </c>
      <c r="C114" s="1" t="s">
        <v>250</v>
      </c>
      <c r="D114" s="1">
        <v>1</v>
      </c>
      <c r="E114" s="12">
        <v>45992.494444444441</v>
      </c>
      <c r="F114" s="1" t="s">
        <v>19</v>
      </c>
      <c r="G114" s="1" t="s">
        <v>13</v>
      </c>
      <c r="H114" s="1" t="s">
        <v>41</v>
      </c>
      <c r="I114" s="1" t="s">
        <v>15</v>
      </c>
      <c r="J114" s="1" t="str">
        <f t="shared" si="2"/>
        <v>delivered</v>
      </c>
      <c r="K114" s="1" t="str">
        <f>_xlfn.XLOOKUP(C114, 'Product Catalog'!$A:$A, 'Product Catalog'!$B:$B, "Unknown Product")</f>
        <v>Keyboard Model U98</v>
      </c>
      <c r="L114" s="1" t="str">
        <f>_xlfn.XLOOKUP(C114, 'Product Catalog'!$A:$A, 'Product Catalog'!$C:$C, "Unknown Category")</f>
        <v>Electronics</v>
      </c>
      <c r="M114" s="1">
        <f>_xlfn.XLOOKUP(C114, 'Product Catalog'!$A:$A, 'Product Catalog'!$D:$D, 0)</f>
        <v>188.09</v>
      </c>
      <c r="N114" s="1">
        <f t="shared" si="3"/>
        <v>188.09</v>
      </c>
    </row>
    <row r="115" spans="1:14" x14ac:dyDescent="0.3">
      <c r="A115" s="1" t="s">
        <v>323</v>
      </c>
      <c r="B115" s="1" t="s">
        <v>324</v>
      </c>
      <c r="C115" s="1" t="s">
        <v>128</v>
      </c>
      <c r="D115" s="1">
        <v>1</v>
      </c>
      <c r="E115" s="12">
        <v>45718.253472222219</v>
      </c>
      <c r="F115" s="1" t="s">
        <v>12</v>
      </c>
      <c r="G115" s="1" t="s">
        <v>40</v>
      </c>
      <c r="H115" s="1" t="s">
        <v>51</v>
      </c>
      <c r="I115" s="1" t="s">
        <v>42</v>
      </c>
      <c r="J115" s="1" t="str">
        <f t="shared" si="2"/>
        <v>PENDING_REVIEW</v>
      </c>
      <c r="K115" s="1" t="str">
        <f>_xlfn.XLOOKUP(C115, 'Product Catalog'!$A:$A, 'Product Catalog'!$B:$B, "Unknown Product")</f>
        <v>Organizer Model N39</v>
      </c>
      <c r="L115" s="1" t="str">
        <f>_xlfn.XLOOKUP(C115, 'Product Catalog'!$A:$A, 'Product Catalog'!$C:$C, "Unknown Category")</f>
        <v>Home Goods</v>
      </c>
      <c r="M115" s="1">
        <f>_xlfn.XLOOKUP(C115, 'Product Catalog'!$A:$A, 'Product Catalog'!$D:$D, 0)</f>
        <v>149.08000000000001</v>
      </c>
      <c r="N115" s="1">
        <f t="shared" si="3"/>
        <v>149.08000000000001</v>
      </c>
    </row>
    <row r="116" spans="1:14" x14ac:dyDescent="0.3">
      <c r="A116" s="1" t="s">
        <v>325</v>
      </c>
      <c r="B116" s="1" t="s">
        <v>326</v>
      </c>
      <c r="C116" s="1" t="s">
        <v>209</v>
      </c>
      <c r="D116" s="1">
        <v>4</v>
      </c>
      <c r="E116" s="12">
        <v>45933.558333333334</v>
      </c>
      <c r="F116" s="1" t="s">
        <v>12</v>
      </c>
      <c r="G116" s="1" t="s">
        <v>31</v>
      </c>
      <c r="H116" s="1" t="s">
        <v>41</v>
      </c>
      <c r="I116" s="1" t="s">
        <v>81</v>
      </c>
      <c r="J116" s="1" t="str">
        <f t="shared" si="2"/>
        <v>REFUNDED</v>
      </c>
      <c r="K116" s="1" t="str">
        <f>_xlfn.XLOOKUP(C116, 'Product Catalog'!$A:$A, 'Product Catalog'!$B:$B, "Unknown Product")</f>
        <v>Silk Scarf Model Z129</v>
      </c>
      <c r="L116" s="1" t="str">
        <f>_xlfn.XLOOKUP(C116, 'Product Catalog'!$A:$A, 'Product Catalog'!$C:$C, "Unknown Category")</f>
        <v>Luxury Goods</v>
      </c>
      <c r="M116" s="1">
        <f>_xlfn.XLOOKUP(C116, 'Product Catalog'!$A:$A, 'Product Catalog'!$D:$D, 0)</f>
        <v>1610</v>
      </c>
      <c r="N116" s="1">
        <f t="shared" si="3"/>
        <v>6440</v>
      </c>
    </row>
    <row r="117" spans="1:14" x14ac:dyDescent="0.3">
      <c r="A117" s="1" t="s">
        <v>327</v>
      </c>
      <c r="B117" s="1" t="s">
        <v>328</v>
      </c>
      <c r="C117" s="1" t="s">
        <v>329</v>
      </c>
      <c r="D117" s="1">
        <v>2</v>
      </c>
      <c r="E117" s="12">
        <v>45928.180555555555</v>
      </c>
      <c r="F117" s="1" t="s">
        <v>12</v>
      </c>
      <c r="G117" s="1" t="s">
        <v>31</v>
      </c>
      <c r="H117" s="1" t="s">
        <v>41</v>
      </c>
      <c r="I117" s="1" t="s">
        <v>42</v>
      </c>
      <c r="J117" s="1" t="str">
        <f t="shared" si="2"/>
        <v>PENDING_REVIEW</v>
      </c>
      <c r="K117" s="1" t="str">
        <f>_xlfn.XLOOKUP(C117, 'Product Catalog'!$A:$A, 'Product Catalog'!$B:$B, "Unknown Product")</f>
        <v>E-Book Access Model M64</v>
      </c>
      <c r="L117" s="1" t="str">
        <f>_xlfn.XLOOKUP(C117, 'Product Catalog'!$A:$A, 'Product Catalog'!$C:$C, "Unknown Category")</f>
        <v>Digital Services</v>
      </c>
      <c r="M117" s="1">
        <f>_xlfn.XLOOKUP(C117, 'Product Catalog'!$A:$A, 'Product Catalog'!$D:$D, 0)</f>
        <v>92.09</v>
      </c>
      <c r="N117" s="1">
        <f t="shared" si="3"/>
        <v>184.18</v>
      </c>
    </row>
    <row r="118" spans="1:14" x14ac:dyDescent="0.3">
      <c r="A118" s="1" t="s">
        <v>330</v>
      </c>
      <c r="B118" s="1" t="s">
        <v>331</v>
      </c>
      <c r="C118" s="1" t="s">
        <v>74</v>
      </c>
      <c r="D118" s="1">
        <v>1</v>
      </c>
      <c r="E118" s="12">
        <v>45772.004861111112</v>
      </c>
      <c r="F118" s="1" t="s">
        <v>12</v>
      </c>
      <c r="G118" s="1" t="s">
        <v>50</v>
      </c>
      <c r="H118" s="1" t="s">
        <v>55</v>
      </c>
      <c r="I118" s="1" t="s">
        <v>56</v>
      </c>
      <c r="J118" s="1" t="str">
        <f t="shared" si="2"/>
        <v>cancelled</v>
      </c>
      <c r="K118" s="1" t="str">
        <f>_xlfn.XLOOKUP(C118, 'Product Catalog'!$A:$A, 'Product Catalog'!$B:$B, "Unknown Product")</f>
        <v>Webcam Model D55</v>
      </c>
      <c r="L118" s="1" t="str">
        <f>_xlfn.XLOOKUP(C118, 'Product Catalog'!$A:$A, 'Product Catalog'!$C:$C, "Unknown Category")</f>
        <v>Electronics</v>
      </c>
      <c r="M118" s="1">
        <f>_xlfn.XLOOKUP(C118, 'Product Catalog'!$A:$A, 'Product Catalog'!$D:$D, 0)</f>
        <v>168.56</v>
      </c>
      <c r="N118" s="1">
        <f t="shared" si="3"/>
        <v>168.56</v>
      </c>
    </row>
    <row r="119" spans="1:14" x14ac:dyDescent="0.3">
      <c r="A119" s="1" t="s">
        <v>332</v>
      </c>
      <c r="B119" s="1" t="s">
        <v>333</v>
      </c>
      <c r="C119" s="1" t="s">
        <v>334</v>
      </c>
      <c r="D119" s="1">
        <v>1</v>
      </c>
      <c r="E119" s="12">
        <v>45669.424305555556</v>
      </c>
      <c r="F119" s="1" t="s">
        <v>19</v>
      </c>
      <c r="G119" s="1" t="s">
        <v>31</v>
      </c>
      <c r="H119" s="1" t="s">
        <v>41</v>
      </c>
      <c r="I119" s="1" t="s">
        <v>15</v>
      </c>
      <c r="J119" s="1" t="str">
        <f t="shared" si="2"/>
        <v>delivered</v>
      </c>
      <c r="K119" s="1" t="str">
        <f>_xlfn.XLOOKUP(C119, 'Product Catalog'!$A:$A, 'Product Catalog'!$B:$B, "Unknown Product")</f>
        <v>Jeans Model Q42</v>
      </c>
      <c r="L119" s="1" t="str">
        <f>_xlfn.XLOOKUP(C119, 'Product Catalog'!$A:$A, 'Product Catalog'!$C:$C, "Unknown Category")</f>
        <v>Apparel</v>
      </c>
      <c r="M119" s="1">
        <f>_xlfn.XLOOKUP(C119, 'Product Catalog'!$A:$A, 'Product Catalog'!$D:$D, 0)</f>
        <v>82.57</v>
      </c>
      <c r="N119" s="1">
        <f t="shared" si="3"/>
        <v>82.57</v>
      </c>
    </row>
    <row r="120" spans="1:14" x14ac:dyDescent="0.3">
      <c r="A120" s="1" t="s">
        <v>335</v>
      </c>
      <c r="B120" s="1" t="s">
        <v>336</v>
      </c>
      <c r="C120" s="1" t="s">
        <v>337</v>
      </c>
      <c r="D120" s="1">
        <v>1</v>
      </c>
      <c r="E120" s="12">
        <v>45895.957638888889</v>
      </c>
      <c r="F120" s="1" t="s">
        <v>12</v>
      </c>
      <c r="G120" s="1" t="s">
        <v>31</v>
      </c>
      <c r="H120" s="1" t="s">
        <v>24</v>
      </c>
      <c r="I120" s="1" t="s">
        <v>15</v>
      </c>
      <c r="J120" s="1" t="str">
        <f t="shared" si="2"/>
        <v>delivered</v>
      </c>
      <c r="K120" s="1" t="str">
        <f>_xlfn.XLOOKUP(C120, 'Product Catalog'!$A:$A, 'Product Catalog'!$B:$B, "Unknown Product")</f>
        <v>Webcam Model Z103</v>
      </c>
      <c r="L120" s="1" t="str">
        <f>_xlfn.XLOOKUP(C120, 'Product Catalog'!$A:$A, 'Product Catalog'!$C:$C, "Unknown Category")</f>
        <v>Electronics</v>
      </c>
      <c r="M120" s="1">
        <f>_xlfn.XLOOKUP(C120, 'Product Catalog'!$A:$A, 'Product Catalog'!$D:$D, 0)</f>
        <v>60.39</v>
      </c>
      <c r="N120" s="1">
        <f t="shared" si="3"/>
        <v>60.39</v>
      </c>
    </row>
    <row r="121" spans="1:14" x14ac:dyDescent="0.3">
      <c r="A121" s="1" t="s">
        <v>338</v>
      </c>
      <c r="B121" s="1" t="s">
        <v>202</v>
      </c>
      <c r="C121" s="1" t="s">
        <v>339</v>
      </c>
      <c r="D121" s="1">
        <v>5</v>
      </c>
      <c r="E121" s="12">
        <v>45936.602777777778</v>
      </c>
      <c r="F121" s="1" t="s">
        <v>19</v>
      </c>
      <c r="G121" s="1" t="s">
        <v>50</v>
      </c>
      <c r="H121" s="1" t="s">
        <v>41</v>
      </c>
      <c r="I121" s="1" t="s">
        <v>81</v>
      </c>
      <c r="J121" s="1" t="str">
        <f t="shared" si="2"/>
        <v>REFUNDED</v>
      </c>
      <c r="K121" s="1" t="str">
        <f>_xlfn.XLOOKUP(C121, 'Product Catalog'!$A:$A, 'Product Catalog'!$B:$B, "Unknown Product")</f>
        <v>E-Book Access Model K114</v>
      </c>
      <c r="L121" s="1" t="str">
        <f>_xlfn.XLOOKUP(C121, 'Product Catalog'!$A:$A, 'Product Catalog'!$C:$C, "Unknown Category")</f>
        <v>Digital Services</v>
      </c>
      <c r="M121" s="1">
        <f>_xlfn.XLOOKUP(C121, 'Product Catalog'!$A:$A, 'Product Catalog'!$D:$D, 0)</f>
        <v>57.11</v>
      </c>
      <c r="N121" s="1">
        <f t="shared" si="3"/>
        <v>285.55</v>
      </c>
    </row>
    <row r="122" spans="1:14" x14ac:dyDescent="0.3">
      <c r="A122" s="1" t="s">
        <v>340</v>
      </c>
      <c r="B122" s="1" t="s">
        <v>311</v>
      </c>
      <c r="C122" s="1" t="s">
        <v>296</v>
      </c>
      <c r="D122" s="1">
        <v>1</v>
      </c>
      <c r="E122" s="12">
        <v>45930.538888888892</v>
      </c>
      <c r="F122" s="1" t="s">
        <v>12</v>
      </c>
      <c r="G122" s="1" t="s">
        <v>46</v>
      </c>
      <c r="H122" s="1" t="s">
        <v>41</v>
      </c>
      <c r="I122" s="1" t="s">
        <v>15</v>
      </c>
      <c r="J122" s="1" t="str">
        <f t="shared" si="2"/>
        <v>delivered</v>
      </c>
      <c r="K122" s="1" t="str">
        <f>_xlfn.XLOOKUP(C122, 'Product Catalog'!$A:$A, 'Product Catalog'!$B:$B, "Unknown Product")</f>
        <v>Socks Model K62</v>
      </c>
      <c r="L122" s="1" t="str">
        <f>_xlfn.XLOOKUP(C122, 'Product Catalog'!$A:$A, 'Product Catalog'!$C:$C, "Unknown Category")</f>
        <v>Apparel</v>
      </c>
      <c r="M122" s="1">
        <f>_xlfn.XLOOKUP(C122, 'Product Catalog'!$A:$A, 'Product Catalog'!$D:$D, 0)</f>
        <v>63.42</v>
      </c>
      <c r="N122" s="1">
        <f t="shared" si="3"/>
        <v>63.42</v>
      </c>
    </row>
    <row r="123" spans="1:14" x14ac:dyDescent="0.3">
      <c r="A123" s="1" t="s">
        <v>341</v>
      </c>
      <c r="B123" s="1" t="s">
        <v>342</v>
      </c>
      <c r="C123" s="1" t="s">
        <v>229</v>
      </c>
      <c r="D123" s="1">
        <v>1</v>
      </c>
      <c r="E123" s="12">
        <v>45775.351388888892</v>
      </c>
      <c r="F123" s="1" t="s">
        <v>19</v>
      </c>
      <c r="G123" s="1" t="s">
        <v>13</v>
      </c>
      <c r="H123" s="1" t="s">
        <v>14</v>
      </c>
      <c r="I123" s="1" t="s">
        <v>15</v>
      </c>
      <c r="J123" s="1" t="str">
        <f t="shared" si="2"/>
        <v>delivered</v>
      </c>
      <c r="K123" s="1" t="str">
        <f>_xlfn.XLOOKUP(C123, 'Product Catalog'!$A:$A, 'Product Catalog'!$B:$B, "Unknown Product")</f>
        <v>Premium Stream 1M Model O118</v>
      </c>
      <c r="L123" s="1" t="str">
        <f>_xlfn.XLOOKUP(C123, 'Product Catalog'!$A:$A, 'Product Catalog'!$C:$C, "Unknown Category")</f>
        <v>Digital Services</v>
      </c>
      <c r="M123" s="1">
        <f>_xlfn.XLOOKUP(C123, 'Product Catalog'!$A:$A, 'Product Catalog'!$D:$D, 0)</f>
        <v>53.05</v>
      </c>
      <c r="N123" s="1">
        <f t="shared" si="3"/>
        <v>53.05</v>
      </c>
    </row>
    <row r="124" spans="1:14" x14ac:dyDescent="0.3">
      <c r="A124" s="1" t="s">
        <v>343</v>
      </c>
      <c r="B124" s="1" t="s">
        <v>344</v>
      </c>
      <c r="C124" s="1" t="s">
        <v>38</v>
      </c>
      <c r="D124" s="1">
        <v>1</v>
      </c>
      <c r="E124" s="12">
        <v>45893.491666666669</v>
      </c>
      <c r="F124" s="1" t="s">
        <v>19</v>
      </c>
      <c r="G124" s="1" t="s">
        <v>46</v>
      </c>
      <c r="H124" s="1" t="s">
        <v>14</v>
      </c>
      <c r="I124" s="1" t="s">
        <v>15</v>
      </c>
      <c r="J124" s="1" t="str">
        <f t="shared" si="2"/>
        <v>delivered</v>
      </c>
      <c r="K124" s="1" t="str">
        <f>_xlfn.XLOOKUP(C124, 'Product Catalog'!$A:$A, 'Product Catalog'!$B:$B, "Unknown Product")</f>
        <v>VPN 6-Month Pass Model V73</v>
      </c>
      <c r="L124" s="1" t="str">
        <f>_xlfn.XLOOKUP(C124, 'Product Catalog'!$A:$A, 'Product Catalog'!$C:$C, "Unknown Category")</f>
        <v>Digital Services</v>
      </c>
      <c r="M124" s="1">
        <f>_xlfn.XLOOKUP(C124, 'Product Catalog'!$A:$A, 'Product Catalog'!$D:$D, 0)</f>
        <v>58.13</v>
      </c>
      <c r="N124" s="1">
        <f t="shared" si="3"/>
        <v>58.13</v>
      </c>
    </row>
    <row r="125" spans="1:14" x14ac:dyDescent="0.3">
      <c r="A125" s="1" t="s">
        <v>345</v>
      </c>
      <c r="B125" s="1" t="s">
        <v>145</v>
      </c>
      <c r="C125" s="1" t="s">
        <v>256</v>
      </c>
      <c r="D125" s="1">
        <v>1</v>
      </c>
      <c r="E125" s="12">
        <v>45737.39166666667</v>
      </c>
      <c r="F125" s="1" t="s">
        <v>39</v>
      </c>
      <c r="G125" s="1" t="s">
        <v>40</v>
      </c>
      <c r="H125" s="1" t="s">
        <v>41</v>
      </c>
      <c r="I125" s="1" t="s">
        <v>56</v>
      </c>
      <c r="J125" s="1" t="str">
        <f t="shared" si="2"/>
        <v>cancelled</v>
      </c>
      <c r="K125" s="1" t="str">
        <f>_xlfn.XLOOKUP(C125, 'Product Catalog'!$A:$A, 'Product Catalog'!$B:$B, "Unknown Product")</f>
        <v>Charger Model E56</v>
      </c>
      <c r="L125" s="1" t="str">
        <f>_xlfn.XLOOKUP(C125, 'Product Catalog'!$A:$A, 'Product Catalog'!$C:$C, "Unknown Category")</f>
        <v>Electronics</v>
      </c>
      <c r="M125" s="1">
        <f>_xlfn.XLOOKUP(C125, 'Product Catalog'!$A:$A, 'Product Catalog'!$D:$D, 0)</f>
        <v>186.13</v>
      </c>
      <c r="N125" s="1">
        <f t="shared" si="3"/>
        <v>186.13</v>
      </c>
    </row>
    <row r="126" spans="1:14" x14ac:dyDescent="0.3">
      <c r="A126" s="1" t="s">
        <v>346</v>
      </c>
      <c r="B126" s="1" t="s">
        <v>347</v>
      </c>
      <c r="C126" s="1" t="s">
        <v>348</v>
      </c>
      <c r="D126" s="1">
        <v>5</v>
      </c>
      <c r="E126" s="12">
        <v>45754.160416666666</v>
      </c>
      <c r="F126" s="1" t="s">
        <v>19</v>
      </c>
      <c r="G126" s="1" t="s">
        <v>20</v>
      </c>
      <c r="H126" s="1" t="s">
        <v>41</v>
      </c>
      <c r="I126" s="1" t="s">
        <v>56</v>
      </c>
      <c r="J126" s="1" t="str">
        <f t="shared" si="2"/>
        <v>cancelled</v>
      </c>
      <c r="K126" s="1" t="str">
        <f>_xlfn.XLOOKUP(C126, 'Product Catalog'!$A:$A, 'Product Catalog'!$B:$B, "Unknown Product")</f>
        <v>Leather Handbag Model G84</v>
      </c>
      <c r="L126" s="1" t="str">
        <f>_xlfn.XLOOKUP(C126, 'Product Catalog'!$A:$A, 'Product Catalog'!$C:$C, "Unknown Category")</f>
        <v>Luxury Goods</v>
      </c>
      <c r="M126" s="1">
        <f>_xlfn.XLOOKUP(C126, 'Product Catalog'!$A:$A, 'Product Catalog'!$D:$D, 0)</f>
        <v>899.17</v>
      </c>
      <c r="N126" s="1">
        <f t="shared" si="3"/>
        <v>4495.8499999999995</v>
      </c>
    </row>
    <row r="127" spans="1:14" x14ac:dyDescent="0.3">
      <c r="A127" s="1" t="s">
        <v>349</v>
      </c>
      <c r="B127" s="1" t="s">
        <v>350</v>
      </c>
      <c r="C127" s="1" t="s">
        <v>128</v>
      </c>
      <c r="D127" s="1">
        <v>3</v>
      </c>
      <c r="E127" s="12">
        <v>45674.938888888886</v>
      </c>
      <c r="F127" s="1" t="s">
        <v>19</v>
      </c>
      <c r="G127" s="1" t="s">
        <v>46</v>
      </c>
      <c r="H127" s="1" t="s">
        <v>14</v>
      </c>
      <c r="I127" s="1" t="s">
        <v>15</v>
      </c>
      <c r="J127" s="1" t="str">
        <f t="shared" si="2"/>
        <v>delivered</v>
      </c>
      <c r="K127" s="1" t="str">
        <f>_xlfn.XLOOKUP(C127, 'Product Catalog'!$A:$A, 'Product Catalog'!$B:$B, "Unknown Product")</f>
        <v>Organizer Model N39</v>
      </c>
      <c r="L127" s="1" t="str">
        <f>_xlfn.XLOOKUP(C127, 'Product Catalog'!$A:$A, 'Product Catalog'!$C:$C, "Unknown Category")</f>
        <v>Home Goods</v>
      </c>
      <c r="M127" s="1">
        <f>_xlfn.XLOOKUP(C127, 'Product Catalog'!$A:$A, 'Product Catalog'!$D:$D, 0)</f>
        <v>149.08000000000001</v>
      </c>
      <c r="N127" s="1">
        <f t="shared" si="3"/>
        <v>447.24</v>
      </c>
    </row>
    <row r="128" spans="1:14" x14ac:dyDescent="0.3">
      <c r="A128" s="1" t="s">
        <v>351</v>
      </c>
      <c r="B128" s="1" t="s">
        <v>145</v>
      </c>
      <c r="C128" s="1" t="s">
        <v>352</v>
      </c>
      <c r="D128" s="1">
        <v>1</v>
      </c>
      <c r="E128" s="12">
        <v>45872.874305555553</v>
      </c>
      <c r="F128" s="1" t="s">
        <v>170</v>
      </c>
      <c r="G128" s="1" t="s">
        <v>40</v>
      </c>
      <c r="H128" s="1" t="s">
        <v>41</v>
      </c>
      <c r="I128" s="1" t="s">
        <v>56</v>
      </c>
      <c r="J128" s="1" t="str">
        <f t="shared" si="2"/>
        <v>cancelled</v>
      </c>
      <c r="K128" s="1" t="str">
        <f>_xlfn.XLOOKUP(C128, 'Product Catalog'!$A:$A, 'Product Catalog'!$B:$B, "Unknown Product")</f>
        <v>VPN 6-Month Pass Model U46</v>
      </c>
      <c r="L128" s="1" t="str">
        <f>_xlfn.XLOOKUP(C128, 'Product Catalog'!$A:$A, 'Product Catalog'!$C:$C, "Unknown Category")</f>
        <v>Digital Services</v>
      </c>
      <c r="M128" s="1">
        <f>_xlfn.XLOOKUP(C128, 'Product Catalog'!$A:$A, 'Product Catalog'!$D:$D, 0)</f>
        <v>47.44</v>
      </c>
      <c r="N128" s="1">
        <f t="shared" si="3"/>
        <v>47.44</v>
      </c>
    </row>
    <row r="129" spans="1:14" x14ac:dyDescent="0.3">
      <c r="A129" s="1" t="s">
        <v>353</v>
      </c>
      <c r="B129" s="1" t="s">
        <v>354</v>
      </c>
      <c r="C129" s="1" t="s">
        <v>190</v>
      </c>
      <c r="D129" s="1">
        <v>1</v>
      </c>
      <c r="E129" s="12">
        <v>45666.341666666667</v>
      </c>
      <c r="F129" s="1" t="s">
        <v>39</v>
      </c>
      <c r="G129" s="1" t="s">
        <v>31</v>
      </c>
      <c r="H129" s="1" t="s">
        <v>55</v>
      </c>
      <c r="I129" s="1" t="s">
        <v>102</v>
      </c>
      <c r="J129" s="1" t="str">
        <f t="shared" si="2"/>
        <v>disputed</v>
      </c>
      <c r="K129" s="1" t="str">
        <f>_xlfn.XLOOKUP(C129, 'Product Catalog'!$A:$A, 'Product Catalog'!$B:$B, "Unknown Product")</f>
        <v>Silk Scarf Model A52</v>
      </c>
      <c r="L129" s="1" t="str">
        <f>_xlfn.XLOOKUP(C129, 'Product Catalog'!$A:$A, 'Product Catalog'!$C:$C, "Unknown Category")</f>
        <v>Luxury Goods</v>
      </c>
      <c r="M129" s="1">
        <f>_xlfn.XLOOKUP(C129, 'Product Catalog'!$A:$A, 'Product Catalog'!$D:$D, 0)</f>
        <v>1339.88</v>
      </c>
      <c r="N129" s="1">
        <f t="shared" si="3"/>
        <v>1339.88</v>
      </c>
    </row>
    <row r="130" spans="1:14" x14ac:dyDescent="0.3">
      <c r="A130" s="1" t="s">
        <v>355</v>
      </c>
      <c r="B130" s="1" t="s">
        <v>356</v>
      </c>
      <c r="C130" s="1" t="s">
        <v>357</v>
      </c>
      <c r="D130" s="1">
        <v>2</v>
      </c>
      <c r="E130" s="12">
        <v>45763.095138888886</v>
      </c>
      <c r="F130" s="1" t="s">
        <v>19</v>
      </c>
      <c r="G130" s="1" t="s">
        <v>31</v>
      </c>
      <c r="H130" s="1" t="s">
        <v>14</v>
      </c>
      <c r="I130" s="1" t="s">
        <v>15</v>
      </c>
      <c r="J130" s="1" t="str">
        <f t="shared" ref="J130:J193" si="4">TRIM(I130)</f>
        <v>delivered</v>
      </c>
      <c r="K130" s="1" t="str">
        <f>_xlfn.XLOOKUP(C130, 'Product Catalog'!$A:$A, 'Product Catalog'!$B:$B, "Unknown Product")</f>
        <v>Blender Model C106</v>
      </c>
      <c r="L130" s="1" t="str">
        <f>_xlfn.XLOOKUP(C130, 'Product Catalog'!$A:$A, 'Product Catalog'!$C:$C, "Unknown Category")</f>
        <v>Home Goods</v>
      </c>
      <c r="M130" s="1">
        <f>_xlfn.XLOOKUP(C130, 'Product Catalog'!$A:$A, 'Product Catalog'!$D:$D, 0)</f>
        <v>112.89</v>
      </c>
      <c r="N130" s="1">
        <f t="shared" ref="N130:N193" si="5">D130 * M130</f>
        <v>225.78</v>
      </c>
    </row>
    <row r="131" spans="1:14" x14ac:dyDescent="0.3">
      <c r="A131" s="1" t="s">
        <v>358</v>
      </c>
      <c r="B131" s="1" t="s">
        <v>347</v>
      </c>
      <c r="C131" s="1" t="s">
        <v>359</v>
      </c>
      <c r="D131" s="1">
        <v>3</v>
      </c>
      <c r="E131" s="12">
        <v>45709.844444444447</v>
      </c>
      <c r="F131" s="1" t="s">
        <v>19</v>
      </c>
      <c r="G131" s="1" t="s">
        <v>46</v>
      </c>
      <c r="H131" s="1" t="s">
        <v>41</v>
      </c>
      <c r="I131" s="1" t="s">
        <v>15</v>
      </c>
      <c r="J131" s="1" t="str">
        <f t="shared" si="4"/>
        <v>delivered</v>
      </c>
      <c r="K131" s="1" t="str">
        <f>_xlfn.XLOOKUP(C131, 'Product Catalog'!$A:$A, 'Product Catalog'!$B:$B, "Unknown Product")</f>
        <v>Hoodie Model H111</v>
      </c>
      <c r="L131" s="1" t="str">
        <f>_xlfn.XLOOKUP(C131, 'Product Catalog'!$A:$A, 'Product Catalog'!$C:$C, "Unknown Category")</f>
        <v>Apparel</v>
      </c>
      <c r="M131" s="1">
        <f>_xlfn.XLOOKUP(C131, 'Product Catalog'!$A:$A, 'Product Catalog'!$D:$D, 0)</f>
        <v>57.44</v>
      </c>
      <c r="N131" s="1">
        <f t="shared" si="5"/>
        <v>172.32</v>
      </c>
    </row>
    <row r="132" spans="1:14" x14ac:dyDescent="0.3">
      <c r="A132" s="1" t="s">
        <v>360</v>
      </c>
      <c r="B132" s="1" t="s">
        <v>361</v>
      </c>
      <c r="C132" s="1" t="s">
        <v>209</v>
      </c>
      <c r="D132" s="1">
        <v>4</v>
      </c>
      <c r="E132" s="12">
        <v>45675.634722222225</v>
      </c>
      <c r="F132" s="1" t="s">
        <v>19</v>
      </c>
      <c r="G132" s="1" t="s">
        <v>13</v>
      </c>
      <c r="H132" s="1" t="s">
        <v>41</v>
      </c>
      <c r="I132" s="1" t="s">
        <v>56</v>
      </c>
      <c r="J132" s="1" t="str">
        <f t="shared" si="4"/>
        <v>cancelled</v>
      </c>
      <c r="K132" s="1" t="str">
        <f>_xlfn.XLOOKUP(C132, 'Product Catalog'!$A:$A, 'Product Catalog'!$B:$B, "Unknown Product")</f>
        <v>Silk Scarf Model Z129</v>
      </c>
      <c r="L132" s="1" t="str">
        <f>_xlfn.XLOOKUP(C132, 'Product Catalog'!$A:$A, 'Product Catalog'!$C:$C, "Unknown Category")</f>
        <v>Luxury Goods</v>
      </c>
      <c r="M132" s="1">
        <f>_xlfn.XLOOKUP(C132, 'Product Catalog'!$A:$A, 'Product Catalog'!$D:$D, 0)</f>
        <v>1610</v>
      </c>
      <c r="N132" s="1">
        <f t="shared" si="5"/>
        <v>6440</v>
      </c>
    </row>
    <row r="133" spans="1:14" x14ac:dyDescent="0.3">
      <c r="A133" s="1" t="s">
        <v>362</v>
      </c>
      <c r="B133" s="1" t="s">
        <v>208</v>
      </c>
      <c r="C133" s="1" t="s">
        <v>181</v>
      </c>
      <c r="D133" s="1">
        <v>1</v>
      </c>
      <c r="E133" s="12">
        <v>45964.955555555556</v>
      </c>
      <c r="F133" s="1" t="s">
        <v>170</v>
      </c>
      <c r="G133" s="1" t="s">
        <v>40</v>
      </c>
      <c r="H133" s="1" t="s">
        <v>41</v>
      </c>
      <c r="I133" s="1" t="s">
        <v>42</v>
      </c>
      <c r="J133" s="1" t="str">
        <f t="shared" si="4"/>
        <v>PENDING_REVIEW</v>
      </c>
      <c r="K133" s="1" t="str">
        <f>_xlfn.XLOOKUP(C133, 'Product Catalog'!$A:$A, 'Product Catalog'!$B:$B, "Unknown Product")</f>
        <v>Premium Stream 1M Model V99</v>
      </c>
      <c r="L133" s="1" t="str">
        <f>_xlfn.XLOOKUP(C133, 'Product Catalog'!$A:$A, 'Product Catalog'!$C:$C, "Unknown Category")</f>
        <v>Digital Services</v>
      </c>
      <c r="M133" s="1">
        <f>_xlfn.XLOOKUP(C133, 'Product Catalog'!$A:$A, 'Product Catalog'!$D:$D, 0)</f>
        <v>30.08</v>
      </c>
      <c r="N133" s="1">
        <f t="shared" si="5"/>
        <v>30.08</v>
      </c>
    </row>
    <row r="134" spans="1:14" x14ac:dyDescent="0.3">
      <c r="A134" s="1" t="s">
        <v>363</v>
      </c>
      <c r="B134" s="1" t="s">
        <v>267</v>
      </c>
      <c r="C134" s="1" t="s">
        <v>364</v>
      </c>
      <c r="D134" s="1">
        <v>1</v>
      </c>
      <c r="E134" s="12">
        <v>46018.068749999999</v>
      </c>
      <c r="F134" s="1" t="s">
        <v>12</v>
      </c>
      <c r="G134" s="1" t="s">
        <v>31</v>
      </c>
      <c r="H134" s="1" t="s">
        <v>14</v>
      </c>
      <c r="I134" s="1" t="s">
        <v>15</v>
      </c>
      <c r="J134" s="1" t="str">
        <f t="shared" si="4"/>
        <v>delivered</v>
      </c>
      <c r="K134" s="1" t="str">
        <f>_xlfn.XLOOKUP(C134, 'Product Catalog'!$A:$A, 'Product Catalog'!$B:$B, "Unknown Product")</f>
        <v>Desk Lamp Model J113</v>
      </c>
      <c r="L134" s="1" t="str">
        <f>_xlfn.XLOOKUP(C134, 'Product Catalog'!$A:$A, 'Product Catalog'!$C:$C, "Unknown Category")</f>
        <v>Home Goods</v>
      </c>
      <c r="M134" s="1">
        <f>_xlfn.XLOOKUP(C134, 'Product Catalog'!$A:$A, 'Product Catalog'!$D:$D, 0)</f>
        <v>69.489999999999995</v>
      </c>
      <c r="N134" s="1">
        <f t="shared" si="5"/>
        <v>69.489999999999995</v>
      </c>
    </row>
    <row r="135" spans="1:14" x14ac:dyDescent="0.3">
      <c r="A135" s="1" t="s">
        <v>365</v>
      </c>
      <c r="B135" s="1" t="s">
        <v>366</v>
      </c>
      <c r="C135" s="1" t="s">
        <v>367</v>
      </c>
      <c r="D135" s="1">
        <v>1</v>
      </c>
      <c r="E135" s="12">
        <v>45783.0625</v>
      </c>
      <c r="F135" s="1" t="s">
        <v>19</v>
      </c>
      <c r="G135" s="1" t="s">
        <v>46</v>
      </c>
      <c r="H135" s="1" t="s">
        <v>14</v>
      </c>
      <c r="I135" s="1" t="s">
        <v>32</v>
      </c>
      <c r="J135" s="1" t="str">
        <f t="shared" si="4"/>
        <v>SHIPPED</v>
      </c>
      <c r="K135" s="1" t="str">
        <f>_xlfn.XLOOKUP(C135, 'Product Catalog'!$A:$A, 'Product Catalog'!$B:$B, "Unknown Product")</f>
        <v>Cable Model P67</v>
      </c>
      <c r="L135" s="1" t="str">
        <f>_xlfn.XLOOKUP(C135, 'Product Catalog'!$A:$A, 'Product Catalog'!$C:$C, "Unknown Category")</f>
        <v>Electronics</v>
      </c>
      <c r="M135" s="1">
        <f>_xlfn.XLOOKUP(C135, 'Product Catalog'!$A:$A, 'Product Catalog'!$D:$D, 0)</f>
        <v>187.9</v>
      </c>
      <c r="N135" s="1">
        <f t="shared" si="5"/>
        <v>187.9</v>
      </c>
    </row>
    <row r="136" spans="1:14" x14ac:dyDescent="0.3">
      <c r="A136" s="1" t="s">
        <v>368</v>
      </c>
      <c r="B136" s="1" t="s">
        <v>369</v>
      </c>
      <c r="C136" s="1" t="s">
        <v>281</v>
      </c>
      <c r="D136" s="1">
        <v>2</v>
      </c>
      <c r="E136" s="12">
        <v>45863.623611111114</v>
      </c>
      <c r="F136" s="1" t="s">
        <v>12</v>
      </c>
      <c r="G136" s="1" t="s">
        <v>31</v>
      </c>
      <c r="H136" s="1" t="s">
        <v>41</v>
      </c>
      <c r="I136" s="1" t="s">
        <v>15</v>
      </c>
      <c r="J136" s="1" t="str">
        <f t="shared" si="4"/>
        <v>delivered</v>
      </c>
      <c r="K136" s="1" t="str">
        <f>_xlfn.XLOOKUP(C136, 'Product Catalog'!$A:$A, 'Product Catalog'!$B:$B, "Unknown Product")</f>
        <v>VPN 6-Month Pass Model B105</v>
      </c>
      <c r="L136" s="1" t="str">
        <f>_xlfn.XLOOKUP(C136, 'Product Catalog'!$A:$A, 'Product Catalog'!$C:$C, "Unknown Category")</f>
        <v>Digital Services</v>
      </c>
      <c r="M136" s="1">
        <f>_xlfn.XLOOKUP(C136, 'Product Catalog'!$A:$A, 'Product Catalog'!$D:$D, 0)</f>
        <v>36.130000000000003</v>
      </c>
      <c r="N136" s="1">
        <f t="shared" si="5"/>
        <v>72.260000000000005</v>
      </c>
    </row>
    <row r="137" spans="1:14" x14ac:dyDescent="0.3">
      <c r="A137" s="1" t="s">
        <v>370</v>
      </c>
      <c r="B137" s="1" t="s">
        <v>371</v>
      </c>
      <c r="C137" s="1" t="s">
        <v>59</v>
      </c>
      <c r="D137" s="1">
        <v>1</v>
      </c>
      <c r="E137" s="12">
        <v>45777.767361111109</v>
      </c>
      <c r="F137" s="1" t="s">
        <v>19</v>
      </c>
      <c r="G137" s="1" t="s">
        <v>20</v>
      </c>
      <c r="H137" s="1" t="s">
        <v>51</v>
      </c>
      <c r="I137" s="1" t="s">
        <v>42</v>
      </c>
      <c r="J137" s="1" t="str">
        <f t="shared" si="4"/>
        <v>PENDING_REVIEW</v>
      </c>
      <c r="K137" s="1" t="str">
        <f>_xlfn.XLOOKUP(C137, 'Product Catalog'!$A:$A, 'Product Catalog'!$B:$B, "Unknown Product")</f>
        <v>Silk Scarf Model Z25</v>
      </c>
      <c r="L137" s="1" t="str">
        <f>_xlfn.XLOOKUP(C137, 'Product Catalog'!$A:$A, 'Product Catalog'!$C:$C, "Unknown Category")</f>
        <v>Luxury Goods</v>
      </c>
      <c r="M137" s="1">
        <f>_xlfn.XLOOKUP(C137, 'Product Catalog'!$A:$A, 'Product Catalog'!$D:$D, 0)</f>
        <v>878.03</v>
      </c>
      <c r="N137" s="1">
        <f t="shared" si="5"/>
        <v>878.03</v>
      </c>
    </row>
    <row r="138" spans="1:14" x14ac:dyDescent="0.3">
      <c r="A138" s="1" t="s">
        <v>372</v>
      </c>
      <c r="B138" s="1" t="s">
        <v>373</v>
      </c>
      <c r="C138" s="1" t="s">
        <v>374</v>
      </c>
      <c r="D138" s="1">
        <v>1</v>
      </c>
      <c r="E138" s="12">
        <v>45769.079861111109</v>
      </c>
      <c r="F138" s="1" t="s">
        <v>19</v>
      </c>
      <c r="G138" s="1" t="s">
        <v>31</v>
      </c>
      <c r="H138" s="1" t="s">
        <v>41</v>
      </c>
      <c r="I138" s="1" t="s">
        <v>15</v>
      </c>
      <c r="J138" s="1" t="str">
        <f t="shared" si="4"/>
        <v>delivered</v>
      </c>
      <c r="K138" s="1" t="str">
        <f>_xlfn.XLOOKUP(C138, 'Product Catalog'!$A:$A, 'Product Catalog'!$B:$B, "Unknown Product")</f>
        <v>Mug Model H33</v>
      </c>
      <c r="L138" s="1" t="str">
        <f>_xlfn.XLOOKUP(C138, 'Product Catalog'!$A:$A, 'Product Catalog'!$C:$C, "Unknown Category")</f>
        <v>Home Goods</v>
      </c>
      <c r="M138" s="1">
        <f>_xlfn.XLOOKUP(C138, 'Product Catalog'!$A:$A, 'Product Catalog'!$D:$D, 0)</f>
        <v>45.31</v>
      </c>
      <c r="N138" s="1">
        <f t="shared" si="5"/>
        <v>45.31</v>
      </c>
    </row>
    <row r="139" spans="1:14" x14ac:dyDescent="0.3">
      <c r="A139" s="1" t="s">
        <v>375</v>
      </c>
      <c r="B139" s="1" t="s">
        <v>376</v>
      </c>
      <c r="C139" s="1" t="s">
        <v>377</v>
      </c>
      <c r="D139" s="1">
        <v>1</v>
      </c>
      <c r="E139" s="12">
        <v>45729.71597222222</v>
      </c>
      <c r="F139" s="1" t="s">
        <v>12</v>
      </c>
      <c r="G139" s="1" t="s">
        <v>109</v>
      </c>
      <c r="H139" s="1" t="s">
        <v>41</v>
      </c>
      <c r="I139" s="1" t="s">
        <v>81</v>
      </c>
      <c r="J139" s="1" t="str">
        <f t="shared" si="4"/>
        <v>REFUNDED</v>
      </c>
      <c r="K139" s="1" t="str">
        <f>_xlfn.XLOOKUP(C139, 'Product Catalog'!$A:$A, 'Product Catalog'!$B:$B, "Unknown Product")</f>
        <v>Mouse Model J61</v>
      </c>
      <c r="L139" s="1" t="str">
        <f>_xlfn.XLOOKUP(C139, 'Product Catalog'!$A:$A, 'Product Catalog'!$C:$C, "Unknown Category")</f>
        <v>Electronics</v>
      </c>
      <c r="M139" s="1">
        <f>_xlfn.XLOOKUP(C139, 'Product Catalog'!$A:$A, 'Product Catalog'!$D:$D, 0)</f>
        <v>232.7</v>
      </c>
      <c r="N139" s="1">
        <f t="shared" si="5"/>
        <v>232.7</v>
      </c>
    </row>
    <row r="140" spans="1:14" x14ac:dyDescent="0.3">
      <c r="A140" s="1" t="s">
        <v>378</v>
      </c>
      <c r="B140" s="1" t="s">
        <v>379</v>
      </c>
      <c r="C140" s="1" t="s">
        <v>380</v>
      </c>
      <c r="D140" s="1">
        <v>1</v>
      </c>
      <c r="E140" s="12">
        <v>45806.332638888889</v>
      </c>
      <c r="F140" s="1" t="s">
        <v>39</v>
      </c>
      <c r="G140" s="1" t="s">
        <v>50</v>
      </c>
      <c r="H140" s="1" t="s">
        <v>41</v>
      </c>
      <c r="I140" s="1" t="s">
        <v>102</v>
      </c>
      <c r="J140" s="1" t="str">
        <f t="shared" si="4"/>
        <v>disputed</v>
      </c>
      <c r="K140" s="1" t="str">
        <f>_xlfn.XLOOKUP(C140, 'Product Catalog'!$A:$A, 'Product Catalog'!$B:$B, "Unknown Product")</f>
        <v>Premium Stream 1M Model Z51</v>
      </c>
      <c r="L140" s="1" t="str">
        <f>_xlfn.XLOOKUP(C140, 'Product Catalog'!$A:$A, 'Product Catalog'!$C:$C, "Unknown Category")</f>
        <v>Digital Services</v>
      </c>
      <c r="M140" s="1">
        <f>_xlfn.XLOOKUP(C140, 'Product Catalog'!$A:$A, 'Product Catalog'!$D:$D, 0)</f>
        <v>55.69</v>
      </c>
      <c r="N140" s="1">
        <f t="shared" si="5"/>
        <v>55.69</v>
      </c>
    </row>
    <row r="141" spans="1:14" x14ac:dyDescent="0.3">
      <c r="A141" s="1" t="s">
        <v>381</v>
      </c>
      <c r="B141" s="1" t="s">
        <v>382</v>
      </c>
      <c r="C141" s="1" t="s">
        <v>383</v>
      </c>
      <c r="D141" s="1">
        <v>1</v>
      </c>
      <c r="E141" s="12">
        <v>45952.453472222223</v>
      </c>
      <c r="F141" s="1" t="s">
        <v>19</v>
      </c>
      <c r="G141" s="1" t="s">
        <v>13</v>
      </c>
      <c r="H141" s="1" t="s">
        <v>41</v>
      </c>
      <c r="I141" s="1" t="s">
        <v>32</v>
      </c>
      <c r="J141" s="1" t="str">
        <f t="shared" si="4"/>
        <v>SHIPPED</v>
      </c>
      <c r="K141" s="1" t="str">
        <f>_xlfn.XLOOKUP(C141, 'Product Catalog'!$A:$A, 'Product Catalog'!$B:$B, "Unknown Product")</f>
        <v>Keyboard Model F83</v>
      </c>
      <c r="L141" s="1" t="str">
        <f>_xlfn.XLOOKUP(C141, 'Product Catalog'!$A:$A, 'Product Catalog'!$C:$C, "Unknown Category")</f>
        <v>Electronics</v>
      </c>
      <c r="M141" s="1">
        <f>_xlfn.XLOOKUP(C141, 'Product Catalog'!$A:$A, 'Product Catalog'!$D:$D, 0)</f>
        <v>77.150000000000006</v>
      </c>
      <c r="N141" s="1">
        <f t="shared" si="5"/>
        <v>77.150000000000006</v>
      </c>
    </row>
    <row r="142" spans="1:14" x14ac:dyDescent="0.3">
      <c r="A142" s="1" t="s">
        <v>384</v>
      </c>
      <c r="B142" s="1" t="s">
        <v>385</v>
      </c>
      <c r="C142" s="1" t="s">
        <v>281</v>
      </c>
      <c r="D142" s="1">
        <v>1</v>
      </c>
      <c r="E142" s="12">
        <v>45953.85</v>
      </c>
      <c r="F142" s="1" t="s">
        <v>19</v>
      </c>
      <c r="G142" s="1" t="s">
        <v>20</v>
      </c>
      <c r="H142" s="1" t="s">
        <v>41</v>
      </c>
      <c r="I142" s="1" t="s">
        <v>15</v>
      </c>
      <c r="J142" s="1" t="str">
        <f t="shared" si="4"/>
        <v>delivered</v>
      </c>
      <c r="K142" s="1" t="str">
        <f>_xlfn.XLOOKUP(C142, 'Product Catalog'!$A:$A, 'Product Catalog'!$B:$B, "Unknown Product")</f>
        <v>VPN 6-Month Pass Model B105</v>
      </c>
      <c r="L142" s="1" t="str">
        <f>_xlfn.XLOOKUP(C142, 'Product Catalog'!$A:$A, 'Product Catalog'!$C:$C, "Unknown Category")</f>
        <v>Digital Services</v>
      </c>
      <c r="M142" s="1">
        <f>_xlfn.XLOOKUP(C142, 'Product Catalog'!$A:$A, 'Product Catalog'!$D:$D, 0)</f>
        <v>36.130000000000003</v>
      </c>
      <c r="N142" s="1">
        <f t="shared" si="5"/>
        <v>36.130000000000003</v>
      </c>
    </row>
    <row r="143" spans="1:14" x14ac:dyDescent="0.3">
      <c r="A143" s="1" t="s">
        <v>386</v>
      </c>
      <c r="B143" s="1" t="s">
        <v>142</v>
      </c>
      <c r="C143" s="1" t="s">
        <v>301</v>
      </c>
      <c r="D143" s="1">
        <v>1</v>
      </c>
      <c r="E143" s="12">
        <v>46002.455555555556</v>
      </c>
      <c r="F143" s="1" t="s">
        <v>12</v>
      </c>
      <c r="G143" s="1" t="s">
        <v>46</v>
      </c>
      <c r="H143" s="1" t="s">
        <v>41</v>
      </c>
      <c r="I143" s="1" t="s">
        <v>15</v>
      </c>
      <c r="J143" s="1" t="str">
        <f t="shared" si="4"/>
        <v>delivered</v>
      </c>
      <c r="K143" s="1" t="str">
        <f>_xlfn.XLOOKUP(C143, 'Product Catalog'!$A:$A, 'Product Catalog'!$B:$B, "Unknown Product")</f>
        <v>Mouse Model D107</v>
      </c>
      <c r="L143" s="1" t="str">
        <f>_xlfn.XLOOKUP(C143, 'Product Catalog'!$A:$A, 'Product Catalog'!$C:$C, "Unknown Category")</f>
        <v>Electronics</v>
      </c>
      <c r="M143" s="1">
        <f>_xlfn.XLOOKUP(C143, 'Product Catalog'!$A:$A, 'Product Catalog'!$D:$D, 0)</f>
        <v>155.19</v>
      </c>
      <c r="N143" s="1">
        <f t="shared" si="5"/>
        <v>155.19</v>
      </c>
    </row>
    <row r="144" spans="1:14" x14ac:dyDescent="0.3">
      <c r="A144" s="1" t="s">
        <v>387</v>
      </c>
      <c r="B144" s="1" t="s">
        <v>388</v>
      </c>
      <c r="C144" s="1" t="s">
        <v>59</v>
      </c>
      <c r="D144" s="1">
        <v>1</v>
      </c>
      <c r="E144" s="12">
        <v>45779.429166666669</v>
      </c>
      <c r="F144" s="1" t="s">
        <v>19</v>
      </c>
      <c r="G144" s="1" t="s">
        <v>50</v>
      </c>
      <c r="H144" s="1" t="s">
        <v>51</v>
      </c>
      <c r="I144" s="1" t="s">
        <v>56</v>
      </c>
      <c r="J144" s="1" t="str">
        <f t="shared" si="4"/>
        <v>cancelled</v>
      </c>
      <c r="K144" s="1" t="str">
        <f>_xlfn.XLOOKUP(C144, 'Product Catalog'!$A:$A, 'Product Catalog'!$B:$B, "Unknown Product")</f>
        <v>Silk Scarf Model Z25</v>
      </c>
      <c r="L144" s="1" t="str">
        <f>_xlfn.XLOOKUP(C144, 'Product Catalog'!$A:$A, 'Product Catalog'!$C:$C, "Unknown Category")</f>
        <v>Luxury Goods</v>
      </c>
      <c r="M144" s="1">
        <f>_xlfn.XLOOKUP(C144, 'Product Catalog'!$A:$A, 'Product Catalog'!$D:$D, 0)</f>
        <v>878.03</v>
      </c>
      <c r="N144" s="1">
        <f t="shared" si="5"/>
        <v>878.03</v>
      </c>
    </row>
    <row r="145" spans="1:14" x14ac:dyDescent="0.3">
      <c r="A145" s="1" t="s">
        <v>389</v>
      </c>
      <c r="B145" s="1" t="s">
        <v>390</v>
      </c>
      <c r="C145" s="1" t="s">
        <v>391</v>
      </c>
      <c r="D145" s="1">
        <v>1</v>
      </c>
      <c r="E145" s="12">
        <v>45731.938888888886</v>
      </c>
      <c r="F145" s="1" t="s">
        <v>19</v>
      </c>
      <c r="G145" s="1" t="s">
        <v>31</v>
      </c>
      <c r="H145" s="1" t="s">
        <v>41</v>
      </c>
      <c r="I145" s="1" t="s">
        <v>15</v>
      </c>
      <c r="J145" s="1" t="str">
        <f t="shared" si="4"/>
        <v>delivered</v>
      </c>
      <c r="K145" s="1" t="str">
        <f>_xlfn.XLOOKUP(C145, 'Product Catalog'!$A:$A, 'Product Catalog'!$B:$B, "Unknown Product")</f>
        <v>Premium Stream 1M Model P145</v>
      </c>
      <c r="L145" s="1" t="str">
        <f>_xlfn.XLOOKUP(C145, 'Product Catalog'!$A:$A, 'Product Catalog'!$C:$C, "Unknown Category")</f>
        <v>Digital Services</v>
      </c>
      <c r="M145" s="1">
        <f>_xlfn.XLOOKUP(C145, 'Product Catalog'!$A:$A, 'Product Catalog'!$D:$D, 0)</f>
        <v>84.01</v>
      </c>
      <c r="N145" s="1">
        <f t="shared" si="5"/>
        <v>84.01</v>
      </c>
    </row>
    <row r="146" spans="1:14" x14ac:dyDescent="0.3">
      <c r="A146" s="1" t="s">
        <v>392</v>
      </c>
      <c r="B146" s="1" t="s">
        <v>76</v>
      </c>
      <c r="C146" s="1" t="s">
        <v>393</v>
      </c>
      <c r="D146" s="1">
        <v>1</v>
      </c>
      <c r="E146" s="12">
        <v>45924.313888888886</v>
      </c>
      <c r="F146" s="1" t="s">
        <v>12</v>
      </c>
      <c r="G146" s="1" t="s">
        <v>13</v>
      </c>
      <c r="H146" s="1" t="s">
        <v>14</v>
      </c>
      <c r="I146" s="1" t="s">
        <v>15</v>
      </c>
      <c r="J146" s="1" t="str">
        <f t="shared" si="4"/>
        <v>delivered</v>
      </c>
      <c r="K146" s="1" t="str">
        <f>_xlfn.XLOOKUP(C146, 'Product Catalog'!$A:$A, 'Product Catalog'!$B:$B, "Unknown Product")</f>
        <v>Mouse Model B1</v>
      </c>
      <c r="L146" s="1" t="str">
        <f>_xlfn.XLOOKUP(C146, 'Product Catalog'!$A:$A, 'Product Catalog'!$C:$C, "Unknown Category")</f>
        <v>Electronics</v>
      </c>
      <c r="M146" s="1">
        <f>_xlfn.XLOOKUP(C146, 'Product Catalog'!$A:$A, 'Product Catalog'!$D:$D, 0)</f>
        <v>189.26</v>
      </c>
      <c r="N146" s="1">
        <f t="shared" si="5"/>
        <v>189.26</v>
      </c>
    </row>
    <row r="147" spans="1:14" x14ac:dyDescent="0.3">
      <c r="A147" s="1" t="s">
        <v>394</v>
      </c>
      <c r="B147" s="1" t="s">
        <v>395</v>
      </c>
      <c r="C147" s="1" t="s">
        <v>396</v>
      </c>
      <c r="D147" s="1">
        <v>5</v>
      </c>
      <c r="E147" s="12">
        <v>45869.427083333336</v>
      </c>
      <c r="F147" s="1" t="s">
        <v>170</v>
      </c>
      <c r="G147" s="1" t="s">
        <v>50</v>
      </c>
      <c r="H147" s="1" t="s">
        <v>51</v>
      </c>
      <c r="I147" s="1" t="s">
        <v>102</v>
      </c>
      <c r="J147" s="1" t="str">
        <f t="shared" si="4"/>
        <v>disputed</v>
      </c>
      <c r="K147" s="1" t="str">
        <f>_xlfn.XLOOKUP(C147, 'Product Catalog'!$A:$A, 'Product Catalog'!$B:$B, "Unknown Product")</f>
        <v>Cap Model O14</v>
      </c>
      <c r="L147" s="1" t="str">
        <f>_xlfn.XLOOKUP(C147, 'Product Catalog'!$A:$A, 'Product Catalog'!$C:$C, "Unknown Category")</f>
        <v>Apparel</v>
      </c>
      <c r="M147" s="1">
        <f>_xlfn.XLOOKUP(C147, 'Product Catalog'!$A:$A, 'Product Catalog'!$D:$D, 0)</f>
        <v>41.83</v>
      </c>
      <c r="N147" s="1">
        <f t="shared" si="5"/>
        <v>209.14999999999998</v>
      </c>
    </row>
    <row r="148" spans="1:14" x14ac:dyDescent="0.3">
      <c r="A148" s="1" t="s">
        <v>397</v>
      </c>
      <c r="B148" s="1" t="s">
        <v>398</v>
      </c>
      <c r="C148" s="1" t="s">
        <v>399</v>
      </c>
      <c r="D148" s="1">
        <v>2</v>
      </c>
      <c r="E148" s="12">
        <v>45798.086111111108</v>
      </c>
      <c r="F148" s="1" t="s">
        <v>19</v>
      </c>
      <c r="G148" s="1" t="s">
        <v>20</v>
      </c>
      <c r="H148" s="1" t="s">
        <v>41</v>
      </c>
      <c r="I148" s="1" t="s">
        <v>15</v>
      </c>
      <c r="J148" s="1" t="str">
        <f t="shared" si="4"/>
        <v>delivered</v>
      </c>
      <c r="K148" s="1" t="str">
        <f>_xlfn.XLOOKUP(C148, 'Product Catalog'!$A:$A, 'Product Catalog'!$B:$B, "Unknown Product")</f>
        <v>E-Book Access Model W22</v>
      </c>
      <c r="L148" s="1" t="str">
        <f>_xlfn.XLOOKUP(C148, 'Product Catalog'!$A:$A, 'Product Catalog'!$C:$C, "Unknown Category")</f>
        <v>Digital Services</v>
      </c>
      <c r="M148" s="1">
        <f>_xlfn.XLOOKUP(C148, 'Product Catalog'!$A:$A, 'Product Catalog'!$D:$D, 0)</f>
        <v>11.22</v>
      </c>
      <c r="N148" s="1">
        <f t="shared" si="5"/>
        <v>22.44</v>
      </c>
    </row>
    <row r="149" spans="1:14" x14ac:dyDescent="0.3">
      <c r="A149" s="1" t="s">
        <v>400</v>
      </c>
      <c r="B149" s="1" t="s">
        <v>401</v>
      </c>
      <c r="C149" s="1" t="s">
        <v>402</v>
      </c>
      <c r="D149" s="1">
        <v>5</v>
      </c>
      <c r="E149" s="12">
        <v>45943.84097222222</v>
      </c>
      <c r="F149" s="1" t="s">
        <v>19</v>
      </c>
      <c r="G149" s="1" t="s">
        <v>50</v>
      </c>
      <c r="H149" s="1" t="s">
        <v>41</v>
      </c>
      <c r="I149" s="1" t="s">
        <v>81</v>
      </c>
      <c r="J149" s="1" t="str">
        <f t="shared" si="4"/>
        <v>REFUNDED</v>
      </c>
      <c r="K149" s="1" t="str">
        <f>_xlfn.XLOOKUP(C149, 'Product Catalog'!$A:$A, 'Product Catalog'!$B:$B, "Unknown Product")</f>
        <v>Software License Tier A Model J139</v>
      </c>
      <c r="L149" s="1" t="str">
        <f>_xlfn.XLOOKUP(C149, 'Product Catalog'!$A:$A, 'Product Catalog'!$C:$C, "Unknown Category")</f>
        <v>Digital Services</v>
      </c>
      <c r="M149" s="1">
        <f>_xlfn.XLOOKUP(C149, 'Product Catalog'!$A:$A, 'Product Catalog'!$D:$D, 0)</f>
        <v>90.05</v>
      </c>
      <c r="N149" s="1">
        <f t="shared" si="5"/>
        <v>450.25</v>
      </c>
    </row>
    <row r="150" spans="1:14" x14ac:dyDescent="0.3">
      <c r="A150" s="1" t="s">
        <v>403</v>
      </c>
      <c r="B150" s="1" t="s">
        <v>319</v>
      </c>
      <c r="C150" s="1" t="s">
        <v>404</v>
      </c>
      <c r="D150" s="1">
        <v>5</v>
      </c>
      <c r="E150" s="12">
        <v>45747.890277777777</v>
      </c>
      <c r="F150" s="1" t="s">
        <v>39</v>
      </c>
      <c r="G150" s="1" t="s">
        <v>109</v>
      </c>
      <c r="H150" s="1" t="s">
        <v>51</v>
      </c>
      <c r="I150" s="1" t="s">
        <v>102</v>
      </c>
      <c r="J150" s="1" t="str">
        <f t="shared" si="4"/>
        <v>disputed</v>
      </c>
      <c r="K150" s="1" t="str">
        <f>_xlfn.XLOOKUP(C150, 'Product Catalog'!$A:$A, 'Product Catalog'!$B:$B, "Unknown Product")</f>
        <v>Gold Bracelet Model O66</v>
      </c>
      <c r="L150" s="1" t="str">
        <f>_xlfn.XLOOKUP(C150, 'Product Catalog'!$A:$A, 'Product Catalog'!$C:$C, "Unknown Category")</f>
        <v>Luxury Goods</v>
      </c>
      <c r="M150" s="1">
        <f>_xlfn.XLOOKUP(C150, 'Product Catalog'!$A:$A, 'Product Catalog'!$D:$D, 0)</f>
        <v>640.54999999999995</v>
      </c>
      <c r="N150" s="1">
        <f t="shared" si="5"/>
        <v>3202.75</v>
      </c>
    </row>
    <row r="151" spans="1:14" x14ac:dyDescent="0.3">
      <c r="A151" s="1" t="s">
        <v>405</v>
      </c>
      <c r="B151" s="1" t="s">
        <v>406</v>
      </c>
      <c r="C151" s="1" t="s">
        <v>407</v>
      </c>
      <c r="D151" s="1">
        <v>5</v>
      </c>
      <c r="E151" s="12">
        <v>46005.606944444444</v>
      </c>
      <c r="F151" s="1" t="s">
        <v>19</v>
      </c>
      <c r="G151" s="1" t="s">
        <v>50</v>
      </c>
      <c r="H151" s="1" t="s">
        <v>51</v>
      </c>
      <c r="I151" s="1" t="s">
        <v>56</v>
      </c>
      <c r="J151" s="1" t="str">
        <f t="shared" si="4"/>
        <v>cancelled</v>
      </c>
      <c r="K151" s="1" t="str">
        <f>_xlfn.XLOOKUP(C151, 'Product Catalog'!$A:$A, 'Product Catalog'!$B:$B, "Unknown Product")</f>
        <v>Desk Lamp Model K10</v>
      </c>
      <c r="L151" s="1" t="str">
        <f>_xlfn.XLOOKUP(C151, 'Product Catalog'!$A:$A, 'Product Catalog'!$C:$C, "Unknown Category")</f>
        <v>Home Goods</v>
      </c>
      <c r="M151" s="1">
        <f>_xlfn.XLOOKUP(C151, 'Product Catalog'!$A:$A, 'Product Catalog'!$D:$D, 0)</f>
        <v>62.32</v>
      </c>
      <c r="N151" s="1">
        <f t="shared" si="5"/>
        <v>311.60000000000002</v>
      </c>
    </row>
    <row r="152" spans="1:14" x14ac:dyDescent="0.3">
      <c r="A152" s="1" t="s">
        <v>408</v>
      </c>
      <c r="B152" s="1" t="s">
        <v>76</v>
      </c>
      <c r="C152" s="1" t="s">
        <v>409</v>
      </c>
      <c r="D152" s="1">
        <v>1</v>
      </c>
      <c r="E152" s="12">
        <v>45942.704861111109</v>
      </c>
      <c r="F152" s="1" t="s">
        <v>170</v>
      </c>
      <c r="G152" s="1" t="s">
        <v>40</v>
      </c>
      <c r="H152" s="1" t="s">
        <v>55</v>
      </c>
      <c r="I152" s="1" t="s">
        <v>56</v>
      </c>
      <c r="J152" s="1" t="str">
        <f t="shared" si="4"/>
        <v>cancelled</v>
      </c>
      <c r="K152" s="1" t="str">
        <f>_xlfn.XLOOKUP(C152, 'Product Catalog'!$A:$A, 'Product Catalog'!$B:$B, "Unknown Product")</f>
        <v>Desk Lamp Model I34</v>
      </c>
      <c r="L152" s="1" t="str">
        <f>_xlfn.XLOOKUP(C152, 'Product Catalog'!$A:$A, 'Product Catalog'!$C:$C, "Unknown Category")</f>
        <v>Home Goods</v>
      </c>
      <c r="M152" s="1">
        <f>_xlfn.XLOOKUP(C152, 'Product Catalog'!$A:$A, 'Product Catalog'!$D:$D, 0)</f>
        <v>141.91</v>
      </c>
      <c r="N152" s="1">
        <f t="shared" si="5"/>
        <v>141.91</v>
      </c>
    </row>
    <row r="153" spans="1:14" x14ac:dyDescent="0.3">
      <c r="A153" s="1" t="s">
        <v>410</v>
      </c>
      <c r="B153" s="1" t="s">
        <v>292</v>
      </c>
      <c r="C153" s="1" t="s">
        <v>154</v>
      </c>
      <c r="D153" s="1">
        <v>2</v>
      </c>
      <c r="E153" s="12">
        <v>45682.489583333336</v>
      </c>
      <c r="F153" s="1" t="s">
        <v>12</v>
      </c>
      <c r="G153" s="1" t="s">
        <v>46</v>
      </c>
      <c r="H153" s="1" t="s">
        <v>24</v>
      </c>
      <c r="I153" s="1" t="s">
        <v>56</v>
      </c>
      <c r="J153" s="1" t="str">
        <f t="shared" si="4"/>
        <v>cancelled</v>
      </c>
      <c r="K153" s="1" t="str">
        <f>_xlfn.XLOOKUP(C153, 'Product Catalog'!$A:$A, 'Product Catalog'!$B:$B, "Unknown Product")</f>
        <v>Desk Lamp Model N13</v>
      </c>
      <c r="L153" s="1" t="str">
        <f>_xlfn.XLOOKUP(C153, 'Product Catalog'!$A:$A, 'Product Catalog'!$C:$C, "Unknown Category")</f>
        <v>Home Goods</v>
      </c>
      <c r="M153" s="1">
        <f>_xlfn.XLOOKUP(C153, 'Product Catalog'!$A:$A, 'Product Catalog'!$D:$D, 0)</f>
        <v>50.77</v>
      </c>
      <c r="N153" s="1">
        <f t="shared" si="5"/>
        <v>101.54</v>
      </c>
    </row>
    <row r="154" spans="1:14" x14ac:dyDescent="0.3">
      <c r="A154" s="1" t="s">
        <v>411</v>
      </c>
      <c r="B154" s="1" t="s">
        <v>139</v>
      </c>
      <c r="C154" s="1" t="s">
        <v>119</v>
      </c>
      <c r="D154" s="1">
        <v>1</v>
      </c>
      <c r="E154" s="12">
        <v>45987.95416666667</v>
      </c>
      <c r="F154" s="1" t="s">
        <v>19</v>
      </c>
      <c r="G154" s="1" t="s">
        <v>109</v>
      </c>
      <c r="H154" s="1" t="s">
        <v>14</v>
      </c>
      <c r="I154" s="1" t="s">
        <v>15</v>
      </c>
      <c r="J154" s="1" t="str">
        <f t="shared" si="4"/>
        <v>delivered</v>
      </c>
      <c r="K154" s="1" t="str">
        <f>_xlfn.XLOOKUP(C154, 'Product Catalog'!$A:$A, 'Product Catalog'!$B:$B, "Unknown Product")</f>
        <v>Premium Stream 1M Model G6</v>
      </c>
      <c r="L154" s="1" t="str">
        <f>_xlfn.XLOOKUP(C154, 'Product Catalog'!$A:$A, 'Product Catalog'!$C:$C, "Unknown Category")</f>
        <v>Digital Services</v>
      </c>
      <c r="M154" s="1">
        <f>_xlfn.XLOOKUP(C154, 'Product Catalog'!$A:$A, 'Product Catalog'!$D:$D, 0)</f>
        <v>47.23</v>
      </c>
      <c r="N154" s="1">
        <f t="shared" si="5"/>
        <v>47.23</v>
      </c>
    </row>
    <row r="155" spans="1:14" x14ac:dyDescent="0.3">
      <c r="A155" s="1" t="s">
        <v>412</v>
      </c>
      <c r="B155" s="1" t="s">
        <v>172</v>
      </c>
      <c r="C155" s="1" t="s">
        <v>200</v>
      </c>
      <c r="D155" s="1">
        <v>1</v>
      </c>
      <c r="E155" s="12">
        <v>45853.745833333334</v>
      </c>
      <c r="F155" s="1" t="s">
        <v>39</v>
      </c>
      <c r="G155" s="1" t="s">
        <v>40</v>
      </c>
      <c r="H155" s="1" t="s">
        <v>55</v>
      </c>
      <c r="I155" s="1" t="s">
        <v>81</v>
      </c>
      <c r="J155" s="1" t="str">
        <f t="shared" si="4"/>
        <v>REFUNDED</v>
      </c>
      <c r="K155" s="1" t="str">
        <f>_xlfn.XLOOKUP(C155, 'Product Catalog'!$A:$A, 'Product Catalog'!$B:$B, "Unknown Product")</f>
        <v>Socks Model G58</v>
      </c>
      <c r="L155" s="1" t="str">
        <f>_xlfn.XLOOKUP(C155, 'Product Catalog'!$A:$A, 'Product Catalog'!$C:$C, "Unknown Category")</f>
        <v>Apparel</v>
      </c>
      <c r="M155" s="1">
        <f>_xlfn.XLOOKUP(C155, 'Product Catalog'!$A:$A, 'Product Catalog'!$D:$D, 0)</f>
        <v>30.18</v>
      </c>
      <c r="N155" s="1">
        <f t="shared" si="5"/>
        <v>30.18</v>
      </c>
    </row>
    <row r="156" spans="1:14" x14ac:dyDescent="0.3">
      <c r="A156" s="1" t="s">
        <v>413</v>
      </c>
      <c r="B156" s="1" t="s">
        <v>414</v>
      </c>
      <c r="C156" s="1" t="s">
        <v>415</v>
      </c>
      <c r="D156" s="1">
        <v>2</v>
      </c>
      <c r="E156" s="12">
        <v>45821.990277777775</v>
      </c>
      <c r="F156" s="1" t="s">
        <v>12</v>
      </c>
      <c r="G156" s="1" t="s">
        <v>46</v>
      </c>
      <c r="H156" s="1" t="s">
        <v>14</v>
      </c>
      <c r="I156" s="1" t="s">
        <v>15</v>
      </c>
      <c r="J156" s="1" t="str">
        <f t="shared" si="4"/>
        <v>delivered</v>
      </c>
      <c r="K156" s="1" t="str">
        <f>_xlfn.XLOOKUP(C156, 'Product Catalog'!$A:$A, 'Product Catalog'!$B:$B, "Unknown Product")</f>
        <v>Premium Stream 1M Model S148</v>
      </c>
      <c r="L156" s="1" t="str">
        <f>_xlfn.XLOOKUP(C156, 'Product Catalog'!$A:$A, 'Product Catalog'!$C:$C, "Unknown Category")</f>
        <v>Digital Services</v>
      </c>
      <c r="M156" s="1">
        <f>_xlfn.XLOOKUP(C156, 'Product Catalog'!$A:$A, 'Product Catalog'!$D:$D, 0)</f>
        <v>9.73</v>
      </c>
      <c r="N156" s="1">
        <f t="shared" si="5"/>
        <v>19.46</v>
      </c>
    </row>
    <row r="157" spans="1:14" x14ac:dyDescent="0.3">
      <c r="A157" s="1" t="s">
        <v>416</v>
      </c>
      <c r="B157" s="1" t="s">
        <v>417</v>
      </c>
      <c r="C157" s="1" t="s">
        <v>224</v>
      </c>
      <c r="D157" s="1">
        <v>1</v>
      </c>
      <c r="E157" s="12">
        <v>45871.580555555556</v>
      </c>
      <c r="F157" s="1" t="s">
        <v>19</v>
      </c>
      <c r="G157" s="1" t="s">
        <v>31</v>
      </c>
      <c r="H157" s="1" t="s">
        <v>41</v>
      </c>
      <c r="I157" s="1" t="s">
        <v>15</v>
      </c>
      <c r="J157" s="1" t="str">
        <f t="shared" si="4"/>
        <v>delivered</v>
      </c>
      <c r="K157" s="1" t="str">
        <f>_xlfn.XLOOKUP(C157, 'Product Catalog'!$A:$A, 'Product Catalog'!$B:$B, "Unknown Product")</f>
        <v>Organizer Model P93</v>
      </c>
      <c r="L157" s="1" t="str">
        <f>_xlfn.XLOOKUP(C157, 'Product Catalog'!$A:$A, 'Product Catalog'!$C:$C, "Unknown Category")</f>
        <v>Home Goods</v>
      </c>
      <c r="M157" s="1">
        <f>_xlfn.XLOOKUP(C157, 'Product Catalog'!$A:$A, 'Product Catalog'!$D:$D, 0)</f>
        <v>175.55</v>
      </c>
      <c r="N157" s="1">
        <f t="shared" si="5"/>
        <v>175.55</v>
      </c>
    </row>
    <row r="158" spans="1:14" x14ac:dyDescent="0.3">
      <c r="A158" s="1" t="s">
        <v>418</v>
      </c>
      <c r="B158" s="1" t="s">
        <v>22</v>
      </c>
      <c r="C158" s="1" t="s">
        <v>253</v>
      </c>
      <c r="D158" s="1">
        <v>5</v>
      </c>
      <c r="E158" s="12">
        <v>45734.426388888889</v>
      </c>
      <c r="F158" s="1" t="s">
        <v>12</v>
      </c>
      <c r="G158" s="1" t="s">
        <v>50</v>
      </c>
      <c r="H158" s="1" t="s">
        <v>41</v>
      </c>
      <c r="I158" s="1" t="s">
        <v>56</v>
      </c>
      <c r="J158" s="1" t="str">
        <f t="shared" si="4"/>
        <v>cancelled</v>
      </c>
      <c r="K158" s="1" t="str">
        <f>_xlfn.XLOOKUP(C158, 'Product Catalog'!$A:$A, 'Product Catalog'!$B:$B, "Unknown Product")</f>
        <v>Hoodie Model B79</v>
      </c>
      <c r="L158" s="1" t="str">
        <f>_xlfn.XLOOKUP(C158, 'Product Catalog'!$A:$A, 'Product Catalog'!$C:$C, "Unknown Category")</f>
        <v>Apparel</v>
      </c>
      <c r="M158" s="1">
        <f>_xlfn.XLOOKUP(C158, 'Product Catalog'!$A:$A, 'Product Catalog'!$D:$D, 0)</f>
        <v>106.9</v>
      </c>
      <c r="N158" s="1">
        <f t="shared" si="5"/>
        <v>534.5</v>
      </c>
    </row>
    <row r="159" spans="1:14" x14ac:dyDescent="0.3">
      <c r="A159" s="1" t="s">
        <v>419</v>
      </c>
      <c r="B159" s="1" t="s">
        <v>420</v>
      </c>
      <c r="C159" s="1" t="s">
        <v>301</v>
      </c>
      <c r="D159" s="1">
        <v>5</v>
      </c>
      <c r="E159" s="12">
        <v>45850.261111111111</v>
      </c>
      <c r="F159" s="1" t="s">
        <v>12</v>
      </c>
      <c r="G159" s="1" t="s">
        <v>50</v>
      </c>
      <c r="H159" s="1" t="s">
        <v>55</v>
      </c>
      <c r="I159" s="1" t="s">
        <v>42</v>
      </c>
      <c r="J159" s="1" t="str">
        <f t="shared" si="4"/>
        <v>PENDING_REVIEW</v>
      </c>
      <c r="K159" s="1" t="str">
        <f>_xlfn.XLOOKUP(C159, 'Product Catalog'!$A:$A, 'Product Catalog'!$B:$B, "Unknown Product")</f>
        <v>Mouse Model D107</v>
      </c>
      <c r="L159" s="1" t="str">
        <f>_xlfn.XLOOKUP(C159, 'Product Catalog'!$A:$A, 'Product Catalog'!$C:$C, "Unknown Category")</f>
        <v>Electronics</v>
      </c>
      <c r="M159" s="1">
        <f>_xlfn.XLOOKUP(C159, 'Product Catalog'!$A:$A, 'Product Catalog'!$D:$D, 0)</f>
        <v>155.19</v>
      </c>
      <c r="N159" s="1">
        <f t="shared" si="5"/>
        <v>775.95</v>
      </c>
    </row>
    <row r="160" spans="1:14" x14ac:dyDescent="0.3">
      <c r="A160" s="1" t="s">
        <v>421</v>
      </c>
      <c r="B160" s="1" t="s">
        <v>422</v>
      </c>
      <c r="C160" s="1" t="s">
        <v>137</v>
      </c>
      <c r="D160" s="1">
        <v>1</v>
      </c>
      <c r="E160" s="12">
        <v>45933.67291666667</v>
      </c>
      <c r="F160" s="1" t="s">
        <v>39</v>
      </c>
      <c r="G160" s="1" t="s">
        <v>50</v>
      </c>
      <c r="H160" s="1" t="s">
        <v>51</v>
      </c>
      <c r="I160" s="1" t="s">
        <v>81</v>
      </c>
      <c r="J160" s="1" t="str">
        <f t="shared" si="4"/>
        <v>REFUNDED</v>
      </c>
      <c r="K160" s="1" t="str">
        <f>_xlfn.XLOOKUP(C160, 'Product Catalog'!$A:$A, 'Product Catalog'!$B:$B, "Unknown Product")</f>
        <v>VPN 6-Month Pass Model M90</v>
      </c>
      <c r="L160" s="1" t="str">
        <f>_xlfn.XLOOKUP(C160, 'Product Catalog'!$A:$A, 'Product Catalog'!$C:$C, "Unknown Category")</f>
        <v>Digital Services</v>
      </c>
      <c r="M160" s="1">
        <f>_xlfn.XLOOKUP(C160, 'Product Catalog'!$A:$A, 'Product Catalog'!$D:$D, 0)</f>
        <v>5.91</v>
      </c>
      <c r="N160" s="1">
        <f t="shared" si="5"/>
        <v>5.91</v>
      </c>
    </row>
    <row r="161" spans="1:14" x14ac:dyDescent="0.3">
      <c r="A161" s="1" t="s">
        <v>423</v>
      </c>
      <c r="B161" s="1" t="s">
        <v>169</v>
      </c>
      <c r="C161" s="1" t="s">
        <v>424</v>
      </c>
      <c r="D161" s="1">
        <v>2</v>
      </c>
      <c r="E161" s="12">
        <v>45781.320138888892</v>
      </c>
      <c r="F161" s="1" t="s">
        <v>19</v>
      </c>
      <c r="G161" s="1" t="s">
        <v>46</v>
      </c>
      <c r="H161" s="1" t="s">
        <v>41</v>
      </c>
      <c r="I161" s="1" t="s">
        <v>56</v>
      </c>
      <c r="J161" s="1" t="str">
        <f t="shared" si="4"/>
        <v>cancelled</v>
      </c>
      <c r="K161" s="1" t="str">
        <f>_xlfn.XLOOKUP(C161, 'Product Catalog'!$A:$A, 'Product Catalog'!$B:$B, "Unknown Product")</f>
        <v>Software License Tier A Model M142</v>
      </c>
      <c r="L161" s="1" t="str">
        <f>_xlfn.XLOOKUP(C161, 'Product Catalog'!$A:$A, 'Product Catalog'!$C:$C, "Unknown Category")</f>
        <v>Digital Services</v>
      </c>
      <c r="M161" s="1">
        <f>_xlfn.XLOOKUP(C161, 'Product Catalog'!$A:$A, 'Product Catalog'!$D:$D, 0)</f>
        <v>55.59</v>
      </c>
      <c r="N161" s="1">
        <f t="shared" si="5"/>
        <v>111.18</v>
      </c>
    </row>
    <row r="162" spans="1:14" x14ac:dyDescent="0.3">
      <c r="A162" s="1" t="s">
        <v>425</v>
      </c>
      <c r="B162" s="1" t="s">
        <v>356</v>
      </c>
      <c r="C162" s="1" t="s">
        <v>176</v>
      </c>
      <c r="D162" s="1">
        <v>5</v>
      </c>
      <c r="E162" s="12">
        <v>45811.204861111109</v>
      </c>
      <c r="F162" s="1" t="s">
        <v>39</v>
      </c>
      <c r="G162" s="1" t="s">
        <v>109</v>
      </c>
      <c r="H162" s="1" t="s">
        <v>41</v>
      </c>
      <c r="I162" s="1" t="s">
        <v>56</v>
      </c>
      <c r="J162" s="1" t="str">
        <f t="shared" si="4"/>
        <v>cancelled</v>
      </c>
      <c r="K162" s="1" t="str">
        <f>_xlfn.XLOOKUP(C162, 'Product Catalog'!$A:$A, 'Product Catalog'!$B:$B, "Unknown Product")</f>
        <v>Leather Handbag Model U124</v>
      </c>
      <c r="L162" s="1" t="str">
        <f>_xlfn.XLOOKUP(C162, 'Product Catalog'!$A:$A, 'Product Catalog'!$C:$C, "Unknown Category")</f>
        <v>Luxury Goods</v>
      </c>
      <c r="M162" s="1">
        <f>_xlfn.XLOOKUP(C162, 'Product Catalog'!$A:$A, 'Product Catalog'!$D:$D, 0)</f>
        <v>1880.36</v>
      </c>
      <c r="N162" s="1">
        <f t="shared" si="5"/>
        <v>9401.7999999999993</v>
      </c>
    </row>
    <row r="163" spans="1:14" x14ac:dyDescent="0.3">
      <c r="A163" s="1" t="s">
        <v>426</v>
      </c>
      <c r="B163" s="1" t="s">
        <v>34</v>
      </c>
      <c r="C163" s="1" t="s">
        <v>65</v>
      </c>
      <c r="D163" s="1">
        <v>1</v>
      </c>
      <c r="E163" s="12">
        <v>45895.081944444442</v>
      </c>
      <c r="F163" s="1" t="s">
        <v>19</v>
      </c>
      <c r="G163" s="1" t="s">
        <v>31</v>
      </c>
      <c r="H163" s="1" t="s">
        <v>41</v>
      </c>
      <c r="I163" s="1" t="s">
        <v>15</v>
      </c>
      <c r="J163" s="1" t="str">
        <f t="shared" si="4"/>
        <v>delivered</v>
      </c>
      <c r="K163" s="1" t="str">
        <f>_xlfn.XLOOKUP(C163, 'Product Catalog'!$A:$A, 'Product Catalog'!$B:$B, "Unknown Product")</f>
        <v>Cap Model T97</v>
      </c>
      <c r="L163" s="1" t="str">
        <f>_xlfn.XLOOKUP(C163, 'Product Catalog'!$A:$A, 'Product Catalog'!$C:$C, "Unknown Category")</f>
        <v>Apparel</v>
      </c>
      <c r="M163" s="1">
        <f>_xlfn.XLOOKUP(C163, 'Product Catalog'!$A:$A, 'Product Catalog'!$D:$D, 0)</f>
        <v>99.18</v>
      </c>
      <c r="N163" s="1">
        <f t="shared" si="5"/>
        <v>99.18</v>
      </c>
    </row>
    <row r="164" spans="1:14" x14ac:dyDescent="0.3">
      <c r="A164" s="1" t="s">
        <v>427</v>
      </c>
      <c r="B164" s="1" t="s">
        <v>10</v>
      </c>
      <c r="C164" s="1" t="s">
        <v>404</v>
      </c>
      <c r="D164" s="1">
        <v>4</v>
      </c>
      <c r="E164" s="12">
        <v>45945.586805555555</v>
      </c>
      <c r="F164" s="1" t="s">
        <v>39</v>
      </c>
      <c r="G164" s="1" t="s">
        <v>31</v>
      </c>
      <c r="H164" s="1" t="s">
        <v>55</v>
      </c>
      <c r="I164" s="1" t="s">
        <v>42</v>
      </c>
      <c r="J164" s="1" t="str">
        <f t="shared" si="4"/>
        <v>PENDING_REVIEW</v>
      </c>
      <c r="K164" s="1" t="str">
        <f>_xlfn.XLOOKUP(C164, 'Product Catalog'!$A:$A, 'Product Catalog'!$B:$B, "Unknown Product")</f>
        <v>Gold Bracelet Model O66</v>
      </c>
      <c r="L164" s="1" t="str">
        <f>_xlfn.XLOOKUP(C164, 'Product Catalog'!$A:$A, 'Product Catalog'!$C:$C, "Unknown Category")</f>
        <v>Luxury Goods</v>
      </c>
      <c r="M164" s="1">
        <f>_xlfn.XLOOKUP(C164, 'Product Catalog'!$A:$A, 'Product Catalog'!$D:$D, 0)</f>
        <v>640.54999999999995</v>
      </c>
      <c r="N164" s="1">
        <f t="shared" si="5"/>
        <v>2562.1999999999998</v>
      </c>
    </row>
    <row r="165" spans="1:14" x14ac:dyDescent="0.3">
      <c r="A165" s="1" t="s">
        <v>428</v>
      </c>
      <c r="B165" s="1" t="s">
        <v>429</v>
      </c>
      <c r="C165" s="1" t="s">
        <v>206</v>
      </c>
      <c r="D165" s="1">
        <v>1</v>
      </c>
      <c r="E165" s="12">
        <v>45871.792361111111</v>
      </c>
      <c r="F165" s="1" t="s">
        <v>12</v>
      </c>
      <c r="G165" s="1" t="s">
        <v>109</v>
      </c>
      <c r="H165" s="1" t="s">
        <v>14</v>
      </c>
      <c r="I165" s="1" t="s">
        <v>15</v>
      </c>
      <c r="J165" s="1" t="str">
        <f t="shared" si="4"/>
        <v>delivered</v>
      </c>
      <c r="K165" s="1" t="str">
        <f>_xlfn.XLOOKUP(C165, 'Product Catalog'!$A:$A, 'Product Catalog'!$B:$B, "Unknown Product")</f>
        <v>Webcam Model F31</v>
      </c>
      <c r="L165" s="1" t="str">
        <f>_xlfn.XLOOKUP(C165, 'Product Catalog'!$A:$A, 'Product Catalog'!$C:$C, "Unknown Category")</f>
        <v>Electronics</v>
      </c>
      <c r="M165" s="1">
        <f>_xlfn.XLOOKUP(C165, 'Product Catalog'!$A:$A, 'Product Catalog'!$D:$D, 0)</f>
        <v>184.37</v>
      </c>
      <c r="N165" s="1">
        <f t="shared" si="5"/>
        <v>184.37</v>
      </c>
    </row>
    <row r="166" spans="1:14" x14ac:dyDescent="0.3">
      <c r="A166" s="1" t="s">
        <v>430</v>
      </c>
      <c r="B166" s="1" t="s">
        <v>83</v>
      </c>
      <c r="C166" s="1" t="s">
        <v>181</v>
      </c>
      <c r="D166" s="1">
        <v>1</v>
      </c>
      <c r="E166" s="12">
        <v>45929.19027777778</v>
      </c>
      <c r="F166" s="1" t="s">
        <v>12</v>
      </c>
      <c r="G166" s="1" t="s">
        <v>46</v>
      </c>
      <c r="H166" s="1" t="s">
        <v>41</v>
      </c>
      <c r="I166" s="1" t="s">
        <v>15</v>
      </c>
      <c r="J166" s="1" t="str">
        <f t="shared" si="4"/>
        <v>delivered</v>
      </c>
      <c r="K166" s="1" t="str">
        <f>_xlfn.XLOOKUP(C166, 'Product Catalog'!$A:$A, 'Product Catalog'!$B:$B, "Unknown Product")</f>
        <v>Premium Stream 1M Model V99</v>
      </c>
      <c r="L166" s="1" t="str">
        <f>_xlfn.XLOOKUP(C166, 'Product Catalog'!$A:$A, 'Product Catalog'!$C:$C, "Unknown Category")</f>
        <v>Digital Services</v>
      </c>
      <c r="M166" s="1">
        <f>_xlfn.XLOOKUP(C166, 'Product Catalog'!$A:$A, 'Product Catalog'!$D:$D, 0)</f>
        <v>30.08</v>
      </c>
      <c r="N166" s="1">
        <f t="shared" si="5"/>
        <v>30.08</v>
      </c>
    </row>
    <row r="167" spans="1:14" x14ac:dyDescent="0.3">
      <c r="A167" s="1" t="s">
        <v>431</v>
      </c>
      <c r="B167" s="1" t="s">
        <v>432</v>
      </c>
      <c r="C167" s="1" t="s">
        <v>265</v>
      </c>
      <c r="D167" s="1">
        <v>1</v>
      </c>
      <c r="E167" s="12">
        <v>45856.345138888886</v>
      </c>
      <c r="F167" s="1" t="s">
        <v>19</v>
      </c>
      <c r="G167" s="1" t="s">
        <v>13</v>
      </c>
      <c r="H167" s="1" t="s">
        <v>14</v>
      </c>
      <c r="I167" s="1" t="s">
        <v>15</v>
      </c>
      <c r="J167" s="1" t="str">
        <f t="shared" si="4"/>
        <v>delivered</v>
      </c>
      <c r="K167" s="1" t="str">
        <f>_xlfn.XLOOKUP(C167, 'Product Catalog'!$A:$A, 'Product Catalog'!$B:$B, "Unknown Product")</f>
        <v>Sneakers Model R121</v>
      </c>
      <c r="L167" s="1" t="str">
        <f>_xlfn.XLOOKUP(C167, 'Product Catalog'!$A:$A, 'Product Catalog'!$C:$C, "Unknown Category")</f>
        <v>Apparel</v>
      </c>
      <c r="M167" s="1">
        <f>_xlfn.XLOOKUP(C167, 'Product Catalog'!$A:$A, 'Product Catalog'!$D:$D, 0)</f>
        <v>44.15</v>
      </c>
      <c r="N167" s="1">
        <f t="shared" si="5"/>
        <v>44.15</v>
      </c>
    </row>
    <row r="168" spans="1:14" x14ac:dyDescent="0.3">
      <c r="A168" s="1" t="s">
        <v>433</v>
      </c>
      <c r="B168" s="1" t="s">
        <v>434</v>
      </c>
      <c r="C168" s="1" t="s">
        <v>151</v>
      </c>
      <c r="D168" s="1">
        <v>1</v>
      </c>
      <c r="E168" s="12">
        <v>45788.288888888892</v>
      </c>
      <c r="F168" s="1" t="s">
        <v>12</v>
      </c>
      <c r="G168" s="1" t="s">
        <v>13</v>
      </c>
      <c r="H168" s="1" t="s">
        <v>14</v>
      </c>
      <c r="I168" s="1" t="s">
        <v>15</v>
      </c>
      <c r="J168" s="1" t="str">
        <f t="shared" si="4"/>
        <v>delivered</v>
      </c>
      <c r="K168" s="1" t="str">
        <f>_xlfn.XLOOKUP(C168, 'Product Catalog'!$A:$A, 'Product Catalog'!$B:$B, "Unknown Product")</f>
        <v>Hoodie Model R43</v>
      </c>
      <c r="L168" s="1" t="str">
        <f>_xlfn.XLOOKUP(C168, 'Product Catalog'!$A:$A, 'Product Catalog'!$C:$C, "Unknown Category")</f>
        <v>Apparel</v>
      </c>
      <c r="M168" s="1">
        <f>_xlfn.XLOOKUP(C168, 'Product Catalog'!$A:$A, 'Product Catalog'!$D:$D, 0)</f>
        <v>68.040000000000006</v>
      </c>
      <c r="N168" s="1">
        <f t="shared" si="5"/>
        <v>68.040000000000006</v>
      </c>
    </row>
    <row r="169" spans="1:14" x14ac:dyDescent="0.3">
      <c r="A169" s="1" t="s">
        <v>435</v>
      </c>
      <c r="B169" s="1" t="s">
        <v>292</v>
      </c>
      <c r="C169" s="1" t="s">
        <v>119</v>
      </c>
      <c r="D169" s="1">
        <v>4</v>
      </c>
      <c r="E169" s="12">
        <v>45827.919444444444</v>
      </c>
      <c r="F169" s="1" t="s">
        <v>39</v>
      </c>
      <c r="G169" s="1" t="s">
        <v>40</v>
      </c>
      <c r="H169" s="1" t="s">
        <v>51</v>
      </c>
      <c r="I169" s="1" t="s">
        <v>42</v>
      </c>
      <c r="J169" s="1" t="str">
        <f t="shared" si="4"/>
        <v>PENDING_REVIEW</v>
      </c>
      <c r="K169" s="1" t="str">
        <f>_xlfn.XLOOKUP(C169, 'Product Catalog'!$A:$A, 'Product Catalog'!$B:$B, "Unknown Product")</f>
        <v>Premium Stream 1M Model G6</v>
      </c>
      <c r="L169" s="1" t="str">
        <f>_xlfn.XLOOKUP(C169, 'Product Catalog'!$A:$A, 'Product Catalog'!$C:$C, "Unknown Category")</f>
        <v>Digital Services</v>
      </c>
      <c r="M169" s="1">
        <f>_xlfn.XLOOKUP(C169, 'Product Catalog'!$A:$A, 'Product Catalog'!$D:$D, 0)</f>
        <v>47.23</v>
      </c>
      <c r="N169" s="1">
        <f t="shared" si="5"/>
        <v>188.92</v>
      </c>
    </row>
    <row r="170" spans="1:14" x14ac:dyDescent="0.3">
      <c r="A170" s="1" t="s">
        <v>436</v>
      </c>
      <c r="B170" s="1" t="s">
        <v>437</v>
      </c>
      <c r="C170" s="1" t="s">
        <v>137</v>
      </c>
      <c r="D170" s="1">
        <v>1</v>
      </c>
      <c r="E170" s="12">
        <v>45698.63958333333</v>
      </c>
      <c r="F170" s="1" t="s">
        <v>19</v>
      </c>
      <c r="G170" s="1" t="s">
        <v>31</v>
      </c>
      <c r="H170" s="1" t="s">
        <v>41</v>
      </c>
      <c r="I170" s="1" t="s">
        <v>15</v>
      </c>
      <c r="J170" s="1" t="str">
        <f t="shared" si="4"/>
        <v>delivered</v>
      </c>
      <c r="K170" s="1" t="str">
        <f>_xlfn.XLOOKUP(C170, 'Product Catalog'!$A:$A, 'Product Catalog'!$B:$B, "Unknown Product")</f>
        <v>VPN 6-Month Pass Model M90</v>
      </c>
      <c r="L170" s="1" t="str">
        <f>_xlfn.XLOOKUP(C170, 'Product Catalog'!$A:$A, 'Product Catalog'!$C:$C, "Unknown Category")</f>
        <v>Digital Services</v>
      </c>
      <c r="M170" s="1">
        <f>_xlfn.XLOOKUP(C170, 'Product Catalog'!$A:$A, 'Product Catalog'!$D:$D, 0)</f>
        <v>5.91</v>
      </c>
      <c r="N170" s="1">
        <f t="shared" si="5"/>
        <v>5.91</v>
      </c>
    </row>
    <row r="171" spans="1:14" x14ac:dyDescent="0.3">
      <c r="A171" s="1" t="s">
        <v>438</v>
      </c>
      <c r="B171" s="1" t="s">
        <v>439</v>
      </c>
      <c r="C171" s="1" t="s">
        <v>23</v>
      </c>
      <c r="D171" s="1">
        <v>1</v>
      </c>
      <c r="E171" s="12">
        <v>45847.131249999999</v>
      </c>
      <c r="F171" s="1" t="s">
        <v>19</v>
      </c>
      <c r="G171" s="1" t="s">
        <v>31</v>
      </c>
      <c r="H171" s="1" t="s">
        <v>14</v>
      </c>
      <c r="I171" s="1" t="s">
        <v>15</v>
      </c>
      <c r="J171" s="1" t="str">
        <f t="shared" si="4"/>
        <v>delivered</v>
      </c>
      <c r="K171" s="1" t="str">
        <f>_xlfn.XLOOKUP(C171, 'Product Catalog'!$A:$A, 'Product Catalog'!$B:$B, "Unknown Product")</f>
        <v>Mouse Model A78</v>
      </c>
      <c r="L171" s="1" t="str">
        <f>_xlfn.XLOOKUP(C171, 'Product Catalog'!$A:$A, 'Product Catalog'!$C:$C, "Unknown Category")</f>
        <v>Electronics</v>
      </c>
      <c r="M171" s="1">
        <f>_xlfn.XLOOKUP(C171, 'Product Catalog'!$A:$A, 'Product Catalog'!$D:$D, 0)</f>
        <v>141.34</v>
      </c>
      <c r="N171" s="1">
        <f t="shared" si="5"/>
        <v>141.34</v>
      </c>
    </row>
    <row r="172" spans="1:14" x14ac:dyDescent="0.3">
      <c r="A172" s="1" t="s">
        <v>440</v>
      </c>
      <c r="B172" s="1" t="s">
        <v>401</v>
      </c>
      <c r="C172" s="1" t="s">
        <v>84</v>
      </c>
      <c r="D172" s="1">
        <v>4</v>
      </c>
      <c r="E172" s="12">
        <v>45932.270833333336</v>
      </c>
      <c r="F172" s="1" t="s">
        <v>39</v>
      </c>
      <c r="G172" s="1" t="s">
        <v>50</v>
      </c>
      <c r="H172" s="1" t="s">
        <v>55</v>
      </c>
      <c r="I172" s="1" t="s">
        <v>102</v>
      </c>
      <c r="J172" s="1" t="str">
        <f t="shared" si="4"/>
        <v>disputed</v>
      </c>
      <c r="K172" s="1" t="str">
        <f>_xlfn.XLOOKUP(C172, 'Product Catalog'!$A:$A, 'Product Catalog'!$B:$B, "Unknown Product")</f>
        <v>Smartwatch Model J35</v>
      </c>
      <c r="L172" s="1" t="str">
        <f>_xlfn.XLOOKUP(C172, 'Product Catalog'!$A:$A, 'Product Catalog'!$C:$C, "Unknown Category")</f>
        <v>Electronics</v>
      </c>
      <c r="M172" s="1">
        <f>_xlfn.XLOOKUP(C172, 'Product Catalog'!$A:$A, 'Product Catalog'!$D:$D, 0)</f>
        <v>161.94999999999999</v>
      </c>
      <c r="N172" s="1">
        <f t="shared" si="5"/>
        <v>647.79999999999995</v>
      </c>
    </row>
    <row r="173" spans="1:14" x14ac:dyDescent="0.3">
      <c r="A173" s="1" t="s">
        <v>441</v>
      </c>
      <c r="B173" s="1" t="s">
        <v>442</v>
      </c>
      <c r="C173" s="1" t="s">
        <v>164</v>
      </c>
      <c r="D173" s="1">
        <v>5</v>
      </c>
      <c r="E173" s="12">
        <v>45684.381249999999</v>
      </c>
      <c r="F173" s="1" t="s">
        <v>19</v>
      </c>
      <c r="G173" s="1" t="s">
        <v>46</v>
      </c>
      <c r="H173" s="1" t="s">
        <v>51</v>
      </c>
      <c r="I173" s="1" t="s">
        <v>56</v>
      </c>
      <c r="J173" s="1" t="str">
        <f t="shared" si="4"/>
        <v>cancelled</v>
      </c>
      <c r="K173" s="1" t="str">
        <f>_xlfn.XLOOKUP(C173, 'Product Catalog'!$A:$A, 'Product Catalog'!$B:$B, "Unknown Product")</f>
        <v>Gold Bracelet Model A26</v>
      </c>
      <c r="L173" s="1" t="str">
        <f>_xlfn.XLOOKUP(C173, 'Product Catalog'!$A:$A, 'Product Catalog'!$C:$C, "Unknown Category")</f>
        <v>Luxury Goods</v>
      </c>
      <c r="M173" s="1">
        <f>_xlfn.XLOOKUP(C173, 'Product Catalog'!$A:$A, 'Product Catalog'!$D:$D, 0)</f>
        <v>1096.3900000000001</v>
      </c>
      <c r="N173" s="1">
        <f t="shared" si="5"/>
        <v>5481.9500000000007</v>
      </c>
    </row>
    <row r="174" spans="1:14" x14ac:dyDescent="0.3">
      <c r="A174" s="1" t="s">
        <v>443</v>
      </c>
      <c r="B174" s="1" t="s">
        <v>444</v>
      </c>
      <c r="C174" s="1" t="s">
        <v>119</v>
      </c>
      <c r="D174" s="1">
        <v>4</v>
      </c>
      <c r="E174" s="12">
        <v>45851.957638888889</v>
      </c>
      <c r="F174" s="1" t="s">
        <v>19</v>
      </c>
      <c r="G174" s="1" t="s">
        <v>50</v>
      </c>
      <c r="H174" s="1" t="s">
        <v>41</v>
      </c>
      <c r="I174" s="1" t="s">
        <v>81</v>
      </c>
      <c r="J174" s="1" t="str">
        <f t="shared" si="4"/>
        <v>REFUNDED</v>
      </c>
      <c r="K174" s="1" t="str">
        <f>_xlfn.XLOOKUP(C174, 'Product Catalog'!$A:$A, 'Product Catalog'!$B:$B, "Unknown Product")</f>
        <v>Premium Stream 1M Model G6</v>
      </c>
      <c r="L174" s="1" t="str">
        <f>_xlfn.XLOOKUP(C174, 'Product Catalog'!$A:$A, 'Product Catalog'!$C:$C, "Unknown Category")</f>
        <v>Digital Services</v>
      </c>
      <c r="M174" s="1">
        <f>_xlfn.XLOOKUP(C174, 'Product Catalog'!$A:$A, 'Product Catalog'!$D:$D, 0)</f>
        <v>47.23</v>
      </c>
      <c r="N174" s="1">
        <f t="shared" si="5"/>
        <v>188.92</v>
      </c>
    </row>
    <row r="175" spans="1:14" x14ac:dyDescent="0.3">
      <c r="A175" s="1" t="s">
        <v>445</v>
      </c>
      <c r="B175" s="1" t="s">
        <v>86</v>
      </c>
      <c r="C175" s="1" t="s">
        <v>446</v>
      </c>
      <c r="D175" s="1">
        <v>5</v>
      </c>
      <c r="E175" s="12">
        <v>45967.856944444444</v>
      </c>
      <c r="F175" s="1" t="s">
        <v>170</v>
      </c>
      <c r="G175" s="1" t="s">
        <v>31</v>
      </c>
      <c r="H175" s="1" t="s">
        <v>41</v>
      </c>
      <c r="I175" s="1" t="s">
        <v>102</v>
      </c>
      <c r="J175" s="1" t="str">
        <f t="shared" si="4"/>
        <v>disputed</v>
      </c>
      <c r="K175" s="1" t="str">
        <f>_xlfn.XLOOKUP(C175, 'Product Catalog'!$A:$A, 'Product Catalog'!$B:$B, "Unknown Product")</f>
        <v>Silk Scarf Model K36</v>
      </c>
      <c r="L175" s="1" t="str">
        <f>_xlfn.XLOOKUP(C175, 'Product Catalog'!$A:$A, 'Product Catalog'!$C:$C, "Unknown Category")</f>
        <v>Luxury Goods</v>
      </c>
      <c r="M175" s="1">
        <f>_xlfn.XLOOKUP(C175, 'Product Catalog'!$A:$A, 'Product Catalog'!$D:$D, 0)</f>
        <v>737.6</v>
      </c>
      <c r="N175" s="1">
        <f t="shared" si="5"/>
        <v>3688</v>
      </c>
    </row>
    <row r="176" spans="1:14" x14ac:dyDescent="0.3">
      <c r="A176" s="1" t="s">
        <v>447</v>
      </c>
      <c r="B176" s="1" t="s">
        <v>448</v>
      </c>
      <c r="C176" s="1" t="s">
        <v>393</v>
      </c>
      <c r="D176" s="1">
        <v>2</v>
      </c>
      <c r="E176" s="12">
        <v>45678.103472222225</v>
      </c>
      <c r="F176" s="1" t="s">
        <v>19</v>
      </c>
      <c r="G176" s="1" t="s">
        <v>13</v>
      </c>
      <c r="H176" s="1" t="s">
        <v>14</v>
      </c>
      <c r="I176" s="1" t="s">
        <v>15</v>
      </c>
      <c r="J176" s="1" t="str">
        <f t="shared" si="4"/>
        <v>delivered</v>
      </c>
      <c r="K176" s="1" t="str">
        <f>_xlfn.XLOOKUP(C176, 'Product Catalog'!$A:$A, 'Product Catalog'!$B:$B, "Unknown Product")</f>
        <v>Mouse Model B1</v>
      </c>
      <c r="L176" s="1" t="str">
        <f>_xlfn.XLOOKUP(C176, 'Product Catalog'!$A:$A, 'Product Catalog'!$C:$C, "Unknown Category")</f>
        <v>Electronics</v>
      </c>
      <c r="M176" s="1">
        <f>_xlfn.XLOOKUP(C176, 'Product Catalog'!$A:$A, 'Product Catalog'!$D:$D, 0)</f>
        <v>189.26</v>
      </c>
      <c r="N176" s="1">
        <f t="shared" si="5"/>
        <v>378.52</v>
      </c>
    </row>
    <row r="177" spans="1:14" x14ac:dyDescent="0.3">
      <c r="A177" s="1" t="s">
        <v>449</v>
      </c>
      <c r="B177" s="1" t="s">
        <v>280</v>
      </c>
      <c r="C177" s="1" t="s">
        <v>320</v>
      </c>
      <c r="D177" s="1">
        <v>1</v>
      </c>
      <c r="E177" s="12">
        <v>45754.835416666669</v>
      </c>
      <c r="F177" s="1" t="s">
        <v>19</v>
      </c>
      <c r="G177" s="1" t="s">
        <v>31</v>
      </c>
      <c r="H177" s="1" t="s">
        <v>14</v>
      </c>
      <c r="I177" s="1" t="s">
        <v>15</v>
      </c>
      <c r="J177" s="1" t="str">
        <f t="shared" si="4"/>
        <v>delivered</v>
      </c>
      <c r="K177" s="1" t="str">
        <f>_xlfn.XLOOKUP(C177, 'Product Catalog'!$A:$A, 'Product Catalog'!$B:$B, "Unknown Product")</f>
        <v>Premium Stream 1M Model Y24</v>
      </c>
      <c r="L177" s="1" t="str">
        <f>_xlfn.XLOOKUP(C177, 'Product Catalog'!$A:$A, 'Product Catalog'!$C:$C, "Unknown Category")</f>
        <v>Digital Services</v>
      </c>
      <c r="M177" s="1">
        <f>_xlfn.XLOOKUP(C177, 'Product Catalog'!$A:$A, 'Product Catalog'!$D:$D, 0)</f>
        <v>29.9</v>
      </c>
      <c r="N177" s="1">
        <f t="shared" si="5"/>
        <v>29.9</v>
      </c>
    </row>
    <row r="178" spans="1:14" x14ac:dyDescent="0.3">
      <c r="A178" s="1" t="s">
        <v>450</v>
      </c>
      <c r="B178" s="1" t="s">
        <v>451</v>
      </c>
      <c r="C178" s="1" t="s">
        <v>452</v>
      </c>
      <c r="D178" s="1">
        <v>2</v>
      </c>
      <c r="E178" s="12">
        <v>46001.794444444444</v>
      </c>
      <c r="F178" s="1" t="s">
        <v>19</v>
      </c>
      <c r="G178" s="1" t="s">
        <v>20</v>
      </c>
      <c r="H178" s="1" t="s">
        <v>41</v>
      </c>
      <c r="I178" s="1" t="s">
        <v>32</v>
      </c>
      <c r="J178" s="1" t="str">
        <f t="shared" si="4"/>
        <v>SHIPPED</v>
      </c>
      <c r="K178" s="1" t="str">
        <f>_xlfn.XLOOKUP(C178, 'Product Catalog'!$A:$A, 'Product Catalog'!$B:$B, "Unknown Product")</f>
        <v>E-Book Access Model U150</v>
      </c>
      <c r="L178" s="1" t="str">
        <f>_xlfn.XLOOKUP(C178, 'Product Catalog'!$A:$A, 'Product Catalog'!$C:$C, "Unknown Category")</f>
        <v>Digital Services</v>
      </c>
      <c r="M178" s="1">
        <f>_xlfn.XLOOKUP(C178, 'Product Catalog'!$A:$A, 'Product Catalog'!$D:$D, 0)</f>
        <v>75.69</v>
      </c>
      <c r="N178" s="1">
        <f t="shared" si="5"/>
        <v>151.38</v>
      </c>
    </row>
    <row r="179" spans="1:14" x14ac:dyDescent="0.3">
      <c r="A179" s="1" t="s">
        <v>453</v>
      </c>
      <c r="B179" s="1" t="s">
        <v>454</v>
      </c>
      <c r="C179" s="1" t="s">
        <v>247</v>
      </c>
      <c r="D179" s="1">
        <v>4</v>
      </c>
      <c r="E179" s="12">
        <v>45769.681250000001</v>
      </c>
      <c r="F179" s="1" t="s">
        <v>12</v>
      </c>
      <c r="G179" s="1" t="s">
        <v>31</v>
      </c>
      <c r="H179" s="1" t="s">
        <v>51</v>
      </c>
      <c r="I179" s="1" t="s">
        <v>81</v>
      </c>
      <c r="J179" s="1" t="str">
        <f t="shared" si="4"/>
        <v>REFUNDED</v>
      </c>
      <c r="K179" s="1" t="str">
        <f>_xlfn.XLOOKUP(C179, 'Product Catalog'!$A:$A, 'Product Catalog'!$B:$B, "Unknown Product")</f>
        <v>Silk Scarf Model N117</v>
      </c>
      <c r="L179" s="1" t="str">
        <f>_xlfn.XLOOKUP(C179, 'Product Catalog'!$A:$A, 'Product Catalog'!$C:$C, "Unknown Category")</f>
        <v>Luxury Goods</v>
      </c>
      <c r="M179" s="1">
        <f>_xlfn.XLOOKUP(C179, 'Product Catalog'!$A:$A, 'Product Catalog'!$D:$D, 0)</f>
        <v>1740.35</v>
      </c>
      <c r="N179" s="1">
        <f t="shared" si="5"/>
        <v>6961.4</v>
      </c>
    </row>
    <row r="180" spans="1:14" x14ac:dyDescent="0.3">
      <c r="A180" s="1" t="s">
        <v>455</v>
      </c>
      <c r="B180" s="1" t="s">
        <v>456</v>
      </c>
      <c r="C180" s="1" t="s">
        <v>27</v>
      </c>
      <c r="D180" s="1">
        <v>1</v>
      </c>
      <c r="E180" s="12">
        <v>45764.472916666666</v>
      </c>
      <c r="F180" s="1" t="s">
        <v>19</v>
      </c>
      <c r="G180" s="1" t="s">
        <v>46</v>
      </c>
      <c r="H180" s="1" t="s">
        <v>41</v>
      </c>
      <c r="I180" s="1" t="s">
        <v>15</v>
      </c>
      <c r="J180" s="1" t="str">
        <f t="shared" si="4"/>
        <v>delivered</v>
      </c>
      <c r="K180" s="1" t="str">
        <f>_xlfn.XLOOKUP(C180, 'Product Catalog'!$A:$A, 'Product Catalog'!$B:$B, "Unknown Product")</f>
        <v>Premium Stream 1M Model B53</v>
      </c>
      <c r="L180" s="1" t="str">
        <f>_xlfn.XLOOKUP(C180, 'Product Catalog'!$A:$A, 'Product Catalog'!$C:$C, "Unknown Category")</f>
        <v>Digital Services</v>
      </c>
      <c r="M180" s="1">
        <f>_xlfn.XLOOKUP(C180, 'Product Catalog'!$A:$A, 'Product Catalog'!$D:$D, 0)</f>
        <v>13.87</v>
      </c>
      <c r="N180" s="1">
        <f t="shared" si="5"/>
        <v>13.87</v>
      </c>
    </row>
    <row r="181" spans="1:14" x14ac:dyDescent="0.3">
      <c r="A181" s="1" t="s">
        <v>457</v>
      </c>
      <c r="B181" s="1" t="s">
        <v>458</v>
      </c>
      <c r="C181" s="1" t="s">
        <v>459</v>
      </c>
      <c r="D181" s="1">
        <v>1</v>
      </c>
      <c r="E181" s="12">
        <v>45813.021527777775</v>
      </c>
      <c r="F181" s="1" t="s">
        <v>19</v>
      </c>
      <c r="G181" s="1" t="s">
        <v>40</v>
      </c>
      <c r="H181" s="1" t="s">
        <v>55</v>
      </c>
      <c r="I181" s="1" t="s">
        <v>42</v>
      </c>
      <c r="J181" s="1" t="str">
        <f t="shared" si="4"/>
        <v>PENDING_REVIEW</v>
      </c>
      <c r="K181" s="1" t="str">
        <f>_xlfn.XLOOKUP(C181, 'Product Catalog'!$A:$A, 'Product Catalog'!$B:$B, "Unknown Product")</f>
        <v>Mouse Model I60</v>
      </c>
      <c r="L181" s="1" t="str">
        <f>_xlfn.XLOOKUP(C181, 'Product Catalog'!$A:$A, 'Product Catalog'!$C:$C, "Unknown Category")</f>
        <v>Electronics</v>
      </c>
      <c r="M181" s="1">
        <f>_xlfn.XLOOKUP(C181, 'Product Catalog'!$A:$A, 'Product Catalog'!$D:$D, 0)</f>
        <v>168.25</v>
      </c>
      <c r="N181" s="1">
        <f t="shared" si="5"/>
        <v>168.25</v>
      </c>
    </row>
    <row r="182" spans="1:14" x14ac:dyDescent="0.3">
      <c r="A182" s="1" t="s">
        <v>460</v>
      </c>
      <c r="B182" s="1" t="s">
        <v>461</v>
      </c>
      <c r="C182" s="1" t="s">
        <v>462</v>
      </c>
      <c r="D182" s="1">
        <v>1</v>
      </c>
      <c r="E182" s="12">
        <v>45766.270138888889</v>
      </c>
      <c r="F182" s="1" t="s">
        <v>12</v>
      </c>
      <c r="G182" s="1" t="s">
        <v>109</v>
      </c>
      <c r="H182" s="1" t="s">
        <v>41</v>
      </c>
      <c r="I182" s="1" t="s">
        <v>15</v>
      </c>
      <c r="J182" s="1" t="str">
        <f t="shared" si="4"/>
        <v>delivered</v>
      </c>
      <c r="K182" s="1" t="str">
        <f>_xlfn.XLOOKUP(C182, 'Product Catalog'!$A:$A, 'Product Catalog'!$B:$B, "Unknown Product")</f>
        <v>Mouse Model K88</v>
      </c>
      <c r="L182" s="1" t="str">
        <f>_xlfn.XLOOKUP(C182, 'Product Catalog'!$A:$A, 'Product Catalog'!$C:$C, "Unknown Category")</f>
        <v>Electronics</v>
      </c>
      <c r="M182" s="1">
        <f>_xlfn.XLOOKUP(C182, 'Product Catalog'!$A:$A, 'Product Catalog'!$D:$D, 0)</f>
        <v>93.39</v>
      </c>
      <c r="N182" s="1">
        <f t="shared" si="5"/>
        <v>93.39</v>
      </c>
    </row>
    <row r="183" spans="1:14" x14ac:dyDescent="0.3">
      <c r="A183" s="1" t="s">
        <v>463</v>
      </c>
      <c r="B183" s="1" t="s">
        <v>199</v>
      </c>
      <c r="C183" s="1" t="s">
        <v>23</v>
      </c>
      <c r="D183" s="1">
        <v>4</v>
      </c>
      <c r="E183" s="12">
        <v>45718.680555555555</v>
      </c>
      <c r="F183" s="1" t="s">
        <v>12</v>
      </c>
      <c r="G183" s="1" t="s">
        <v>50</v>
      </c>
      <c r="H183" s="1" t="s">
        <v>55</v>
      </c>
      <c r="I183" s="1" t="s">
        <v>56</v>
      </c>
      <c r="J183" s="1" t="str">
        <f t="shared" si="4"/>
        <v>cancelled</v>
      </c>
      <c r="K183" s="1" t="str">
        <f>_xlfn.XLOOKUP(C183, 'Product Catalog'!$A:$A, 'Product Catalog'!$B:$B, "Unknown Product")</f>
        <v>Mouse Model A78</v>
      </c>
      <c r="L183" s="1" t="str">
        <f>_xlfn.XLOOKUP(C183, 'Product Catalog'!$A:$A, 'Product Catalog'!$C:$C, "Unknown Category")</f>
        <v>Electronics</v>
      </c>
      <c r="M183" s="1">
        <f>_xlfn.XLOOKUP(C183, 'Product Catalog'!$A:$A, 'Product Catalog'!$D:$D, 0)</f>
        <v>141.34</v>
      </c>
      <c r="N183" s="1">
        <f t="shared" si="5"/>
        <v>565.36</v>
      </c>
    </row>
    <row r="184" spans="1:14" x14ac:dyDescent="0.3">
      <c r="A184" s="1" t="s">
        <v>464</v>
      </c>
      <c r="B184" s="1" t="s">
        <v>236</v>
      </c>
      <c r="C184" s="1" t="s">
        <v>359</v>
      </c>
      <c r="D184" s="1">
        <v>4</v>
      </c>
      <c r="E184" s="12">
        <v>45782.988888888889</v>
      </c>
      <c r="F184" s="1" t="s">
        <v>170</v>
      </c>
      <c r="G184" s="1" t="s">
        <v>50</v>
      </c>
      <c r="H184" s="1" t="s">
        <v>55</v>
      </c>
      <c r="I184" s="1" t="s">
        <v>42</v>
      </c>
      <c r="J184" s="1" t="str">
        <f t="shared" si="4"/>
        <v>PENDING_REVIEW</v>
      </c>
      <c r="K184" s="1" t="str">
        <f>_xlfn.XLOOKUP(C184, 'Product Catalog'!$A:$A, 'Product Catalog'!$B:$B, "Unknown Product")</f>
        <v>Hoodie Model H111</v>
      </c>
      <c r="L184" s="1" t="str">
        <f>_xlfn.XLOOKUP(C184, 'Product Catalog'!$A:$A, 'Product Catalog'!$C:$C, "Unknown Category")</f>
        <v>Apparel</v>
      </c>
      <c r="M184" s="1">
        <f>_xlfn.XLOOKUP(C184, 'Product Catalog'!$A:$A, 'Product Catalog'!$D:$D, 0)</f>
        <v>57.44</v>
      </c>
      <c r="N184" s="1">
        <f t="shared" si="5"/>
        <v>229.76</v>
      </c>
    </row>
    <row r="185" spans="1:14" x14ac:dyDescent="0.3">
      <c r="A185" s="1" t="s">
        <v>465</v>
      </c>
      <c r="B185" s="1" t="s">
        <v>228</v>
      </c>
      <c r="C185" s="1" t="s">
        <v>466</v>
      </c>
      <c r="D185" s="1">
        <v>2</v>
      </c>
      <c r="E185" s="12">
        <v>45967.290277777778</v>
      </c>
      <c r="F185" s="1" t="s">
        <v>19</v>
      </c>
      <c r="G185" s="1" t="s">
        <v>46</v>
      </c>
      <c r="H185" s="1" t="s">
        <v>24</v>
      </c>
      <c r="I185" s="1" t="s">
        <v>15</v>
      </c>
      <c r="J185" s="1" t="str">
        <f t="shared" si="4"/>
        <v>delivered</v>
      </c>
      <c r="K185" s="1" t="str">
        <f>_xlfn.XLOOKUP(C185, 'Product Catalog'!$A:$A, 'Product Catalog'!$B:$B, "Unknown Product")</f>
        <v>VPN 6-Month Pass Model L11</v>
      </c>
      <c r="L185" s="1" t="str">
        <f>_xlfn.XLOOKUP(C185, 'Product Catalog'!$A:$A, 'Product Catalog'!$C:$C, "Unknown Category")</f>
        <v>Digital Services</v>
      </c>
      <c r="M185" s="1">
        <f>_xlfn.XLOOKUP(C185, 'Product Catalog'!$A:$A, 'Product Catalog'!$D:$D, 0)</f>
        <v>16.73</v>
      </c>
      <c r="N185" s="1">
        <f t="shared" si="5"/>
        <v>33.46</v>
      </c>
    </row>
    <row r="186" spans="1:14" x14ac:dyDescent="0.3">
      <c r="A186" s="1" t="s">
        <v>467</v>
      </c>
      <c r="B186" s="1" t="s">
        <v>468</v>
      </c>
      <c r="C186" s="1" t="s">
        <v>396</v>
      </c>
      <c r="D186" s="1">
        <v>1</v>
      </c>
      <c r="E186" s="12">
        <v>45861.340277777781</v>
      </c>
      <c r="F186" s="1" t="s">
        <v>12</v>
      </c>
      <c r="G186" s="1" t="s">
        <v>20</v>
      </c>
      <c r="H186" s="1" t="s">
        <v>14</v>
      </c>
      <c r="I186" s="1" t="s">
        <v>32</v>
      </c>
      <c r="J186" s="1" t="str">
        <f t="shared" si="4"/>
        <v>SHIPPED</v>
      </c>
      <c r="K186" s="1" t="str">
        <f>_xlfn.XLOOKUP(C186, 'Product Catalog'!$A:$A, 'Product Catalog'!$B:$B, "Unknown Product")</f>
        <v>Cap Model O14</v>
      </c>
      <c r="L186" s="1" t="str">
        <f>_xlfn.XLOOKUP(C186, 'Product Catalog'!$A:$A, 'Product Catalog'!$C:$C, "Unknown Category")</f>
        <v>Apparel</v>
      </c>
      <c r="M186" s="1">
        <f>_xlfn.XLOOKUP(C186, 'Product Catalog'!$A:$A, 'Product Catalog'!$D:$D, 0)</f>
        <v>41.83</v>
      </c>
      <c r="N186" s="1">
        <f t="shared" si="5"/>
        <v>41.83</v>
      </c>
    </row>
    <row r="187" spans="1:14" x14ac:dyDescent="0.3">
      <c r="A187" s="1" t="s">
        <v>469</v>
      </c>
      <c r="B187" s="1" t="s">
        <v>470</v>
      </c>
      <c r="C187" s="1" t="s">
        <v>151</v>
      </c>
      <c r="D187" s="1">
        <v>3</v>
      </c>
      <c r="E187" s="12">
        <v>45940.456944444442</v>
      </c>
      <c r="F187" s="1" t="s">
        <v>19</v>
      </c>
      <c r="G187" s="1" t="s">
        <v>46</v>
      </c>
      <c r="H187" s="1" t="s">
        <v>41</v>
      </c>
      <c r="I187" s="1" t="s">
        <v>15</v>
      </c>
      <c r="J187" s="1" t="str">
        <f t="shared" si="4"/>
        <v>delivered</v>
      </c>
      <c r="K187" s="1" t="str">
        <f>_xlfn.XLOOKUP(C187, 'Product Catalog'!$A:$A, 'Product Catalog'!$B:$B, "Unknown Product")</f>
        <v>Hoodie Model R43</v>
      </c>
      <c r="L187" s="1" t="str">
        <f>_xlfn.XLOOKUP(C187, 'Product Catalog'!$A:$A, 'Product Catalog'!$C:$C, "Unknown Category")</f>
        <v>Apparel</v>
      </c>
      <c r="M187" s="1">
        <f>_xlfn.XLOOKUP(C187, 'Product Catalog'!$A:$A, 'Product Catalog'!$D:$D, 0)</f>
        <v>68.040000000000006</v>
      </c>
      <c r="N187" s="1">
        <f t="shared" si="5"/>
        <v>204.12</v>
      </c>
    </row>
    <row r="188" spans="1:14" x14ac:dyDescent="0.3">
      <c r="A188" s="1" t="s">
        <v>471</v>
      </c>
      <c r="B188" s="1" t="s">
        <v>159</v>
      </c>
      <c r="C188" s="1" t="s">
        <v>167</v>
      </c>
      <c r="D188" s="1">
        <v>1</v>
      </c>
      <c r="E188" s="12">
        <v>45802.540972222225</v>
      </c>
      <c r="F188" s="1" t="s">
        <v>19</v>
      </c>
      <c r="G188" s="1" t="s">
        <v>13</v>
      </c>
      <c r="H188" s="1" t="s">
        <v>14</v>
      </c>
      <c r="I188" s="1" t="s">
        <v>15</v>
      </c>
      <c r="J188" s="1" t="str">
        <f t="shared" si="4"/>
        <v>delivered</v>
      </c>
      <c r="K188" s="1" t="str">
        <f>_xlfn.XLOOKUP(C188, 'Product Catalog'!$A:$A, 'Product Catalog'!$B:$B, "Unknown Product")</f>
        <v>Premium Stream 1M Model V125</v>
      </c>
      <c r="L188" s="1" t="str">
        <f>_xlfn.XLOOKUP(C188, 'Product Catalog'!$A:$A, 'Product Catalog'!$C:$C, "Unknown Category")</f>
        <v>Digital Services</v>
      </c>
      <c r="M188" s="1">
        <f>_xlfn.XLOOKUP(C188, 'Product Catalog'!$A:$A, 'Product Catalog'!$D:$D, 0)</f>
        <v>18.87</v>
      </c>
      <c r="N188" s="1">
        <f t="shared" si="5"/>
        <v>18.87</v>
      </c>
    </row>
    <row r="189" spans="1:14" x14ac:dyDescent="0.3">
      <c r="A189" s="1" t="s">
        <v>472</v>
      </c>
      <c r="B189" s="1" t="s">
        <v>311</v>
      </c>
      <c r="C189" s="1" t="s">
        <v>473</v>
      </c>
      <c r="D189" s="1">
        <v>2</v>
      </c>
      <c r="E189" s="12">
        <v>45896.758333333331</v>
      </c>
      <c r="F189" s="1" t="s">
        <v>19</v>
      </c>
      <c r="G189" s="1" t="s">
        <v>109</v>
      </c>
      <c r="H189" s="1" t="s">
        <v>41</v>
      </c>
      <c r="I189" s="1" t="s">
        <v>15</v>
      </c>
      <c r="J189" s="1" t="str">
        <f t="shared" si="4"/>
        <v>delivered</v>
      </c>
      <c r="K189" s="1" t="str">
        <f>_xlfn.XLOOKUP(C189, 'Product Catalog'!$A:$A, 'Product Catalog'!$B:$B, "Unknown Product")</f>
        <v>Desk Lamp Model I138</v>
      </c>
      <c r="L189" s="1" t="str">
        <f>_xlfn.XLOOKUP(C189, 'Product Catalog'!$A:$A, 'Product Catalog'!$C:$C, "Unknown Category")</f>
        <v>Home Goods</v>
      </c>
      <c r="M189" s="1">
        <f>_xlfn.XLOOKUP(C189, 'Product Catalog'!$A:$A, 'Product Catalog'!$D:$D, 0)</f>
        <v>94.55</v>
      </c>
      <c r="N189" s="1">
        <f t="shared" si="5"/>
        <v>189.1</v>
      </c>
    </row>
    <row r="190" spans="1:14" x14ac:dyDescent="0.3">
      <c r="A190" s="1" t="s">
        <v>474</v>
      </c>
      <c r="B190" s="1" t="s">
        <v>234</v>
      </c>
      <c r="C190" s="1" t="s">
        <v>27</v>
      </c>
      <c r="D190" s="1">
        <v>1</v>
      </c>
      <c r="E190" s="12">
        <v>45990.510416666664</v>
      </c>
      <c r="F190" s="1" t="s">
        <v>12</v>
      </c>
      <c r="G190" s="1" t="s">
        <v>40</v>
      </c>
      <c r="H190" s="1" t="s">
        <v>51</v>
      </c>
      <c r="I190" s="1" t="s">
        <v>102</v>
      </c>
      <c r="J190" s="1" t="str">
        <f t="shared" si="4"/>
        <v>disputed</v>
      </c>
      <c r="K190" s="1" t="str">
        <f>_xlfn.XLOOKUP(C190, 'Product Catalog'!$A:$A, 'Product Catalog'!$B:$B, "Unknown Product")</f>
        <v>Premium Stream 1M Model B53</v>
      </c>
      <c r="L190" s="1" t="str">
        <f>_xlfn.XLOOKUP(C190, 'Product Catalog'!$A:$A, 'Product Catalog'!$C:$C, "Unknown Category")</f>
        <v>Digital Services</v>
      </c>
      <c r="M190" s="1">
        <f>_xlfn.XLOOKUP(C190, 'Product Catalog'!$A:$A, 'Product Catalog'!$D:$D, 0)</f>
        <v>13.87</v>
      </c>
      <c r="N190" s="1">
        <f t="shared" si="5"/>
        <v>13.87</v>
      </c>
    </row>
    <row r="191" spans="1:14" x14ac:dyDescent="0.3">
      <c r="A191" s="1" t="s">
        <v>475</v>
      </c>
      <c r="B191" s="1" t="s">
        <v>476</v>
      </c>
      <c r="C191" s="1" t="s">
        <v>391</v>
      </c>
      <c r="D191" s="1">
        <v>1</v>
      </c>
      <c r="E191" s="12">
        <v>45815.371527777781</v>
      </c>
      <c r="F191" s="1" t="s">
        <v>12</v>
      </c>
      <c r="G191" s="1" t="s">
        <v>46</v>
      </c>
      <c r="H191" s="1" t="s">
        <v>41</v>
      </c>
      <c r="I191" s="1" t="s">
        <v>15</v>
      </c>
      <c r="J191" s="1" t="str">
        <f t="shared" si="4"/>
        <v>delivered</v>
      </c>
      <c r="K191" s="1" t="str">
        <f>_xlfn.XLOOKUP(C191, 'Product Catalog'!$A:$A, 'Product Catalog'!$B:$B, "Unknown Product")</f>
        <v>Premium Stream 1M Model P145</v>
      </c>
      <c r="L191" s="1" t="str">
        <f>_xlfn.XLOOKUP(C191, 'Product Catalog'!$A:$A, 'Product Catalog'!$C:$C, "Unknown Category")</f>
        <v>Digital Services</v>
      </c>
      <c r="M191" s="1">
        <f>_xlfn.XLOOKUP(C191, 'Product Catalog'!$A:$A, 'Product Catalog'!$D:$D, 0)</f>
        <v>84.01</v>
      </c>
      <c r="N191" s="1">
        <f t="shared" si="5"/>
        <v>84.01</v>
      </c>
    </row>
    <row r="192" spans="1:14" x14ac:dyDescent="0.3">
      <c r="A192" s="1" t="s">
        <v>477</v>
      </c>
      <c r="B192" s="1" t="s">
        <v>478</v>
      </c>
      <c r="C192" s="1" t="s">
        <v>334</v>
      </c>
      <c r="D192" s="1">
        <v>1</v>
      </c>
      <c r="E192" s="12">
        <v>45842.729166666664</v>
      </c>
      <c r="F192" s="1" t="s">
        <v>19</v>
      </c>
      <c r="G192" s="1" t="s">
        <v>31</v>
      </c>
      <c r="H192" s="1" t="s">
        <v>14</v>
      </c>
      <c r="I192" s="1" t="s">
        <v>15</v>
      </c>
      <c r="J192" s="1" t="str">
        <f t="shared" si="4"/>
        <v>delivered</v>
      </c>
      <c r="K192" s="1" t="str">
        <f>_xlfn.XLOOKUP(C192, 'Product Catalog'!$A:$A, 'Product Catalog'!$B:$B, "Unknown Product")</f>
        <v>Jeans Model Q42</v>
      </c>
      <c r="L192" s="1" t="str">
        <f>_xlfn.XLOOKUP(C192, 'Product Catalog'!$A:$A, 'Product Catalog'!$C:$C, "Unknown Category")</f>
        <v>Apparel</v>
      </c>
      <c r="M192" s="1">
        <f>_xlfn.XLOOKUP(C192, 'Product Catalog'!$A:$A, 'Product Catalog'!$D:$D, 0)</f>
        <v>82.57</v>
      </c>
      <c r="N192" s="1">
        <f t="shared" si="5"/>
        <v>82.57</v>
      </c>
    </row>
    <row r="193" spans="1:14" x14ac:dyDescent="0.3">
      <c r="A193" s="1" t="s">
        <v>479</v>
      </c>
      <c r="B193" s="1" t="s">
        <v>480</v>
      </c>
      <c r="C193" s="1" t="s">
        <v>45</v>
      </c>
      <c r="D193" s="1">
        <v>1</v>
      </c>
      <c r="E193" s="12">
        <v>45912.662499999999</v>
      </c>
      <c r="F193" s="1" t="s">
        <v>19</v>
      </c>
      <c r="G193" s="1" t="s">
        <v>20</v>
      </c>
      <c r="H193" s="1" t="s">
        <v>24</v>
      </c>
      <c r="I193" s="1" t="s">
        <v>15</v>
      </c>
      <c r="J193" s="1" t="str">
        <f t="shared" si="4"/>
        <v>delivered</v>
      </c>
      <c r="K193" s="1" t="str">
        <f>_xlfn.XLOOKUP(C193, 'Product Catalog'!$A:$A, 'Product Catalog'!$B:$B, "Unknown Product")</f>
        <v>Jacket Model N91</v>
      </c>
      <c r="L193" s="1" t="str">
        <f>_xlfn.XLOOKUP(C193, 'Product Catalog'!$A:$A, 'Product Catalog'!$C:$C, "Unknown Category")</f>
        <v>Apparel</v>
      </c>
      <c r="M193" s="1">
        <f>_xlfn.XLOOKUP(C193, 'Product Catalog'!$A:$A, 'Product Catalog'!$D:$D, 0)</f>
        <v>13.96</v>
      </c>
      <c r="N193" s="1">
        <f t="shared" si="5"/>
        <v>13.96</v>
      </c>
    </row>
    <row r="194" spans="1:14" x14ac:dyDescent="0.3">
      <c r="A194" s="1" t="s">
        <v>481</v>
      </c>
      <c r="B194" s="1" t="s">
        <v>255</v>
      </c>
      <c r="C194" s="1" t="s">
        <v>482</v>
      </c>
      <c r="D194" s="1">
        <v>3</v>
      </c>
      <c r="E194" s="12">
        <v>45708.667361111111</v>
      </c>
      <c r="F194" s="1" t="s">
        <v>19</v>
      </c>
      <c r="G194" s="1" t="s">
        <v>13</v>
      </c>
      <c r="H194" s="1" t="s">
        <v>14</v>
      </c>
      <c r="I194" s="1" t="s">
        <v>15</v>
      </c>
      <c r="J194" s="1" t="str">
        <f t="shared" ref="J194:J257" si="6">TRIM(I194)</f>
        <v>delivered</v>
      </c>
      <c r="K194" s="1" t="str">
        <f>_xlfn.XLOOKUP(C194, 'Product Catalog'!$A:$A, 'Product Catalog'!$B:$B, "Unknown Product")</f>
        <v>VPN 6-Month Pass Model E30</v>
      </c>
      <c r="L194" s="1" t="str">
        <f>_xlfn.XLOOKUP(C194, 'Product Catalog'!$A:$A, 'Product Catalog'!$C:$C, "Unknown Category")</f>
        <v>Digital Services</v>
      </c>
      <c r="M194" s="1">
        <f>_xlfn.XLOOKUP(C194, 'Product Catalog'!$A:$A, 'Product Catalog'!$D:$D, 0)</f>
        <v>28.63</v>
      </c>
      <c r="N194" s="1">
        <f t="shared" ref="N194:N257" si="7">D194 * M194</f>
        <v>85.89</v>
      </c>
    </row>
    <row r="195" spans="1:14" x14ac:dyDescent="0.3">
      <c r="A195" s="1" t="s">
        <v>483</v>
      </c>
      <c r="B195" s="1" t="s">
        <v>484</v>
      </c>
      <c r="C195" s="1" t="s">
        <v>485</v>
      </c>
      <c r="D195" s="1">
        <v>4</v>
      </c>
      <c r="E195" s="12">
        <v>45821.288888888892</v>
      </c>
      <c r="F195" s="1" t="s">
        <v>39</v>
      </c>
      <c r="G195" s="1" t="s">
        <v>40</v>
      </c>
      <c r="H195" s="1" t="s">
        <v>51</v>
      </c>
      <c r="I195" s="1" t="s">
        <v>102</v>
      </c>
      <c r="J195" s="1" t="str">
        <f t="shared" si="6"/>
        <v>disputed</v>
      </c>
      <c r="K195" s="1" t="str">
        <f>_xlfn.XLOOKUP(C195, 'Product Catalog'!$A:$A, 'Product Catalog'!$B:$B, "Unknown Product")</f>
        <v>Smartwatch Model K140</v>
      </c>
      <c r="L195" s="1" t="str">
        <f>_xlfn.XLOOKUP(C195, 'Product Catalog'!$A:$A, 'Product Catalog'!$C:$C, "Unknown Category")</f>
        <v>Electronics</v>
      </c>
      <c r="M195" s="1">
        <f>_xlfn.XLOOKUP(C195, 'Product Catalog'!$A:$A, 'Product Catalog'!$D:$D, 0)</f>
        <v>221.95</v>
      </c>
      <c r="N195" s="1">
        <f t="shared" si="7"/>
        <v>887.8</v>
      </c>
    </row>
    <row r="196" spans="1:14" x14ac:dyDescent="0.3">
      <c r="A196" s="1" t="s">
        <v>486</v>
      </c>
      <c r="B196" s="1" t="s">
        <v>17</v>
      </c>
      <c r="C196" s="1" t="s">
        <v>112</v>
      </c>
      <c r="D196" s="1">
        <v>1</v>
      </c>
      <c r="E196" s="12">
        <v>45847.444444444445</v>
      </c>
      <c r="F196" s="1" t="s">
        <v>12</v>
      </c>
      <c r="G196" s="1" t="s">
        <v>46</v>
      </c>
      <c r="H196" s="1" t="s">
        <v>14</v>
      </c>
      <c r="I196" s="1" t="s">
        <v>15</v>
      </c>
      <c r="J196" s="1" t="str">
        <f t="shared" si="6"/>
        <v>delivered</v>
      </c>
      <c r="K196" s="1" t="str">
        <f>_xlfn.XLOOKUP(C196, 'Product Catalog'!$A:$A, 'Product Catalog'!$B:$B, "Unknown Product")</f>
        <v>Mouse Model J87</v>
      </c>
      <c r="L196" s="1" t="str">
        <f>_xlfn.XLOOKUP(C196, 'Product Catalog'!$A:$A, 'Product Catalog'!$C:$C, "Unknown Category")</f>
        <v>Electronics</v>
      </c>
      <c r="M196" s="1">
        <f>_xlfn.XLOOKUP(C196, 'Product Catalog'!$A:$A, 'Product Catalog'!$D:$D, 0)</f>
        <v>164.06</v>
      </c>
      <c r="N196" s="1">
        <f t="shared" si="7"/>
        <v>164.06</v>
      </c>
    </row>
    <row r="197" spans="1:14" x14ac:dyDescent="0.3">
      <c r="A197" s="1" t="s">
        <v>487</v>
      </c>
      <c r="B197" s="1" t="s">
        <v>488</v>
      </c>
      <c r="C197" s="1" t="s">
        <v>184</v>
      </c>
      <c r="D197" s="1">
        <v>5</v>
      </c>
      <c r="E197" s="12">
        <v>45869.064583333333</v>
      </c>
      <c r="F197" s="1" t="s">
        <v>19</v>
      </c>
      <c r="G197" s="1" t="s">
        <v>50</v>
      </c>
      <c r="H197" s="1" t="s">
        <v>55</v>
      </c>
      <c r="I197" s="1" t="s">
        <v>102</v>
      </c>
      <c r="J197" s="1" t="str">
        <f t="shared" si="6"/>
        <v>disputed</v>
      </c>
      <c r="K197" s="1" t="str">
        <f>_xlfn.XLOOKUP(C197, 'Product Catalog'!$A:$A, 'Product Catalog'!$B:$B, "Unknown Product")</f>
        <v>Jacket Model O40</v>
      </c>
      <c r="L197" s="1" t="str">
        <f>_xlfn.XLOOKUP(C197, 'Product Catalog'!$A:$A, 'Product Catalog'!$C:$C, "Unknown Category")</f>
        <v>Apparel</v>
      </c>
      <c r="M197" s="1">
        <f>_xlfn.XLOOKUP(C197, 'Product Catalog'!$A:$A, 'Product Catalog'!$D:$D, 0)</f>
        <v>114.16</v>
      </c>
      <c r="N197" s="1">
        <f t="shared" si="7"/>
        <v>570.79999999999995</v>
      </c>
    </row>
    <row r="198" spans="1:14" x14ac:dyDescent="0.3">
      <c r="A198" s="1" t="s">
        <v>489</v>
      </c>
      <c r="B198" s="1" t="s">
        <v>73</v>
      </c>
      <c r="C198" s="1" t="s">
        <v>296</v>
      </c>
      <c r="D198" s="1">
        <v>1</v>
      </c>
      <c r="E198" s="12">
        <v>45946.314583333333</v>
      </c>
      <c r="F198" s="1" t="s">
        <v>12</v>
      </c>
      <c r="G198" s="1" t="s">
        <v>109</v>
      </c>
      <c r="H198" s="1" t="s">
        <v>41</v>
      </c>
      <c r="I198" s="1" t="s">
        <v>15</v>
      </c>
      <c r="J198" s="1" t="str">
        <f t="shared" si="6"/>
        <v>delivered</v>
      </c>
      <c r="K198" s="1" t="str">
        <f>_xlfn.XLOOKUP(C198, 'Product Catalog'!$A:$A, 'Product Catalog'!$B:$B, "Unknown Product")</f>
        <v>Socks Model K62</v>
      </c>
      <c r="L198" s="1" t="str">
        <f>_xlfn.XLOOKUP(C198, 'Product Catalog'!$A:$A, 'Product Catalog'!$C:$C, "Unknown Category")</f>
        <v>Apparel</v>
      </c>
      <c r="M198" s="1">
        <f>_xlfn.XLOOKUP(C198, 'Product Catalog'!$A:$A, 'Product Catalog'!$D:$D, 0)</f>
        <v>63.42</v>
      </c>
      <c r="N198" s="1">
        <f t="shared" si="7"/>
        <v>63.42</v>
      </c>
    </row>
    <row r="199" spans="1:14" x14ac:dyDescent="0.3">
      <c r="A199" s="1" t="s">
        <v>490</v>
      </c>
      <c r="B199" s="1" t="s">
        <v>491</v>
      </c>
      <c r="C199" s="1" t="s">
        <v>492</v>
      </c>
      <c r="D199" s="1">
        <v>1</v>
      </c>
      <c r="E199" s="12">
        <v>45732.022916666669</v>
      </c>
      <c r="F199" s="1" t="s">
        <v>19</v>
      </c>
      <c r="G199" s="1" t="s">
        <v>31</v>
      </c>
      <c r="H199" s="1" t="s">
        <v>41</v>
      </c>
      <c r="I199" s="1" t="s">
        <v>32</v>
      </c>
      <c r="J199" s="1" t="str">
        <f t="shared" si="6"/>
        <v>SHIPPED</v>
      </c>
      <c r="K199" s="1" t="str">
        <f>_xlfn.XLOOKUP(C199, 'Product Catalog'!$A:$A, 'Product Catalog'!$B:$B, "Unknown Product")</f>
        <v>Blender Model Q16</v>
      </c>
      <c r="L199" s="1" t="str">
        <f>_xlfn.XLOOKUP(C199, 'Product Catalog'!$A:$A, 'Product Catalog'!$C:$C, "Unknown Category")</f>
        <v>Home Goods</v>
      </c>
      <c r="M199" s="1">
        <f>_xlfn.XLOOKUP(C199, 'Product Catalog'!$A:$A, 'Product Catalog'!$D:$D, 0)</f>
        <v>79.23</v>
      </c>
      <c r="N199" s="1">
        <f t="shared" si="7"/>
        <v>79.23</v>
      </c>
    </row>
    <row r="200" spans="1:14" x14ac:dyDescent="0.3">
      <c r="A200" s="1" t="s">
        <v>493</v>
      </c>
      <c r="B200" s="1" t="s">
        <v>494</v>
      </c>
      <c r="C200" s="1" t="s">
        <v>466</v>
      </c>
      <c r="D200" s="1">
        <v>1</v>
      </c>
      <c r="E200" s="12">
        <v>45791.786805555559</v>
      </c>
      <c r="F200" s="1" t="s">
        <v>12</v>
      </c>
      <c r="G200" s="1" t="s">
        <v>20</v>
      </c>
      <c r="H200" s="1" t="s">
        <v>24</v>
      </c>
      <c r="I200" s="1" t="s">
        <v>15</v>
      </c>
      <c r="J200" s="1" t="str">
        <f t="shared" si="6"/>
        <v>delivered</v>
      </c>
      <c r="K200" s="1" t="str">
        <f>_xlfn.XLOOKUP(C200, 'Product Catalog'!$A:$A, 'Product Catalog'!$B:$B, "Unknown Product")</f>
        <v>VPN 6-Month Pass Model L11</v>
      </c>
      <c r="L200" s="1" t="str">
        <f>_xlfn.XLOOKUP(C200, 'Product Catalog'!$A:$A, 'Product Catalog'!$C:$C, "Unknown Category")</f>
        <v>Digital Services</v>
      </c>
      <c r="M200" s="1">
        <f>_xlfn.XLOOKUP(C200, 'Product Catalog'!$A:$A, 'Product Catalog'!$D:$D, 0)</f>
        <v>16.73</v>
      </c>
      <c r="N200" s="1">
        <f t="shared" si="7"/>
        <v>16.73</v>
      </c>
    </row>
    <row r="201" spans="1:14" x14ac:dyDescent="0.3">
      <c r="A201" s="1" t="s">
        <v>495</v>
      </c>
      <c r="B201" s="1" t="s">
        <v>133</v>
      </c>
      <c r="C201" s="1" t="s">
        <v>496</v>
      </c>
      <c r="D201" s="1">
        <v>1</v>
      </c>
      <c r="E201" s="12">
        <v>45957.823611111111</v>
      </c>
      <c r="F201" s="1" t="s">
        <v>12</v>
      </c>
      <c r="G201" s="1" t="s">
        <v>31</v>
      </c>
      <c r="H201" s="1" t="s">
        <v>41</v>
      </c>
      <c r="I201" s="1" t="s">
        <v>56</v>
      </c>
      <c r="J201" s="1" t="str">
        <f t="shared" si="6"/>
        <v>cancelled</v>
      </c>
      <c r="K201" s="1" t="str">
        <f>_xlfn.XLOOKUP(C201, 'Product Catalog'!$A:$A, 'Product Catalog'!$B:$B, "Unknown Product")</f>
        <v>Mug Model T45</v>
      </c>
      <c r="L201" s="1" t="str">
        <f>_xlfn.XLOOKUP(C201, 'Product Catalog'!$A:$A, 'Product Catalog'!$C:$C, "Unknown Category")</f>
        <v>Home Goods</v>
      </c>
      <c r="M201" s="1">
        <f>_xlfn.XLOOKUP(C201, 'Product Catalog'!$A:$A, 'Product Catalog'!$D:$D, 0)</f>
        <v>179.22</v>
      </c>
      <c r="N201" s="1">
        <f t="shared" si="7"/>
        <v>179.22</v>
      </c>
    </row>
    <row r="202" spans="1:14" x14ac:dyDescent="0.3">
      <c r="A202" s="1" t="s">
        <v>497</v>
      </c>
      <c r="B202" s="1" t="s">
        <v>488</v>
      </c>
      <c r="C202" s="1" t="s">
        <v>498</v>
      </c>
      <c r="D202" s="1">
        <v>4</v>
      </c>
      <c r="E202" s="12">
        <v>45871.419444444444</v>
      </c>
      <c r="F202" s="1" t="s">
        <v>19</v>
      </c>
      <c r="G202" s="1" t="s">
        <v>13</v>
      </c>
      <c r="H202" s="1" t="s">
        <v>55</v>
      </c>
      <c r="I202" s="1" t="s">
        <v>56</v>
      </c>
      <c r="J202" s="1" t="str">
        <f t="shared" si="6"/>
        <v>cancelled</v>
      </c>
      <c r="K202" s="1" t="str">
        <f>_xlfn.XLOOKUP(C202, 'Product Catalog'!$A:$A, 'Product Catalog'!$B:$B, "Unknown Product")</f>
        <v>Leather Handbag Model N143</v>
      </c>
      <c r="L202" s="1" t="str">
        <f>_xlfn.XLOOKUP(C202, 'Product Catalog'!$A:$A, 'Product Catalog'!$C:$C, "Unknown Category")</f>
        <v>Luxury Goods</v>
      </c>
      <c r="M202" s="1">
        <f>_xlfn.XLOOKUP(C202, 'Product Catalog'!$A:$A, 'Product Catalog'!$D:$D, 0)</f>
        <v>1374.1</v>
      </c>
      <c r="N202" s="1">
        <f t="shared" si="7"/>
        <v>5496.4</v>
      </c>
    </row>
    <row r="203" spans="1:14" x14ac:dyDescent="0.3">
      <c r="A203" s="1" t="s">
        <v>499</v>
      </c>
      <c r="B203" s="1" t="s">
        <v>500</v>
      </c>
      <c r="C203" s="1" t="s">
        <v>265</v>
      </c>
      <c r="D203" s="1">
        <v>1</v>
      </c>
      <c r="E203" s="12">
        <v>45736.27847222222</v>
      </c>
      <c r="F203" s="1" t="s">
        <v>12</v>
      </c>
      <c r="G203" s="1" t="s">
        <v>31</v>
      </c>
      <c r="H203" s="1" t="s">
        <v>14</v>
      </c>
      <c r="I203" s="1" t="s">
        <v>15</v>
      </c>
      <c r="J203" s="1" t="str">
        <f t="shared" si="6"/>
        <v>delivered</v>
      </c>
      <c r="K203" s="1" t="str">
        <f>_xlfn.XLOOKUP(C203, 'Product Catalog'!$A:$A, 'Product Catalog'!$B:$B, "Unknown Product")</f>
        <v>Sneakers Model R121</v>
      </c>
      <c r="L203" s="1" t="str">
        <f>_xlfn.XLOOKUP(C203, 'Product Catalog'!$A:$A, 'Product Catalog'!$C:$C, "Unknown Category")</f>
        <v>Apparel</v>
      </c>
      <c r="M203" s="1">
        <f>_xlfn.XLOOKUP(C203, 'Product Catalog'!$A:$A, 'Product Catalog'!$D:$D, 0)</f>
        <v>44.15</v>
      </c>
      <c r="N203" s="1">
        <f t="shared" si="7"/>
        <v>44.15</v>
      </c>
    </row>
    <row r="204" spans="1:14" x14ac:dyDescent="0.3">
      <c r="A204" s="1" t="s">
        <v>501</v>
      </c>
      <c r="B204" s="1" t="s">
        <v>502</v>
      </c>
      <c r="C204" s="1" t="s">
        <v>134</v>
      </c>
      <c r="D204" s="1">
        <v>1</v>
      </c>
      <c r="E204" s="12">
        <v>45826.32708333333</v>
      </c>
      <c r="F204" s="1" t="s">
        <v>12</v>
      </c>
      <c r="G204" s="1" t="s">
        <v>109</v>
      </c>
      <c r="H204" s="1" t="s">
        <v>14</v>
      </c>
      <c r="I204" s="1" t="s">
        <v>15</v>
      </c>
      <c r="J204" s="1" t="str">
        <f t="shared" si="6"/>
        <v>delivered</v>
      </c>
      <c r="K204" s="1" t="str">
        <f>_xlfn.XLOOKUP(C204, 'Product Catalog'!$A:$A, 'Product Catalog'!$B:$B, "Unknown Product")</f>
        <v>Cloud Storage Basic Model O144</v>
      </c>
      <c r="L204" s="1" t="str">
        <f>_xlfn.XLOOKUP(C204, 'Product Catalog'!$A:$A, 'Product Catalog'!$C:$C, "Unknown Category")</f>
        <v>Digital Services</v>
      </c>
      <c r="M204" s="1">
        <f>_xlfn.XLOOKUP(C204, 'Product Catalog'!$A:$A, 'Product Catalog'!$D:$D, 0)</f>
        <v>41.55</v>
      </c>
      <c r="N204" s="1">
        <f t="shared" si="7"/>
        <v>41.55</v>
      </c>
    </row>
    <row r="205" spans="1:14" x14ac:dyDescent="0.3">
      <c r="A205" s="1" t="s">
        <v>503</v>
      </c>
      <c r="B205" s="1" t="s">
        <v>228</v>
      </c>
      <c r="C205" s="1" t="s">
        <v>293</v>
      </c>
      <c r="D205" s="1">
        <v>5</v>
      </c>
      <c r="E205" s="12">
        <v>45852.80972222222</v>
      </c>
      <c r="F205" s="1" t="s">
        <v>39</v>
      </c>
      <c r="G205" s="1" t="s">
        <v>50</v>
      </c>
      <c r="H205" s="1" t="s">
        <v>55</v>
      </c>
      <c r="I205" s="1" t="s">
        <v>42</v>
      </c>
      <c r="J205" s="1" t="str">
        <f t="shared" si="6"/>
        <v>PENDING_REVIEW</v>
      </c>
      <c r="K205" s="1" t="str">
        <f>_xlfn.XLOOKUP(C205, 'Product Catalog'!$A:$A, 'Product Catalog'!$B:$B, "Unknown Product")</f>
        <v>Software License Tier A Model C132</v>
      </c>
      <c r="L205" s="1" t="str">
        <f>_xlfn.XLOOKUP(C205, 'Product Catalog'!$A:$A, 'Product Catalog'!$C:$C, "Unknown Category")</f>
        <v>Digital Services</v>
      </c>
      <c r="M205" s="1">
        <f>_xlfn.XLOOKUP(C205, 'Product Catalog'!$A:$A, 'Product Catalog'!$D:$D, 0)</f>
        <v>29.36</v>
      </c>
      <c r="N205" s="1">
        <f t="shared" si="7"/>
        <v>146.80000000000001</v>
      </c>
    </row>
    <row r="206" spans="1:14" x14ac:dyDescent="0.3">
      <c r="A206" s="1" t="s">
        <v>504</v>
      </c>
      <c r="B206" s="1" t="s">
        <v>22</v>
      </c>
      <c r="C206" s="1" t="s">
        <v>87</v>
      </c>
      <c r="D206" s="1">
        <v>1</v>
      </c>
      <c r="E206" s="12">
        <v>45783.709722222222</v>
      </c>
      <c r="F206" s="1" t="s">
        <v>12</v>
      </c>
      <c r="G206" s="1" t="s">
        <v>13</v>
      </c>
      <c r="H206" s="1" t="s">
        <v>41</v>
      </c>
      <c r="I206" s="1" t="s">
        <v>56</v>
      </c>
      <c r="J206" s="1" t="str">
        <f t="shared" si="6"/>
        <v>cancelled</v>
      </c>
      <c r="K206" s="1" t="str">
        <f>_xlfn.XLOOKUP(C206, 'Product Catalog'!$A:$A, 'Product Catalog'!$B:$B, "Unknown Product")</f>
        <v>T-Shirt Model S122</v>
      </c>
      <c r="L206" s="1" t="str">
        <f>_xlfn.XLOOKUP(C206, 'Product Catalog'!$A:$A, 'Product Catalog'!$C:$C, "Unknown Category")</f>
        <v>Apparel</v>
      </c>
      <c r="M206" s="1">
        <f>_xlfn.XLOOKUP(C206, 'Product Catalog'!$A:$A, 'Product Catalog'!$D:$D, 0)</f>
        <v>15.08</v>
      </c>
      <c r="N206" s="1">
        <f t="shared" si="7"/>
        <v>15.08</v>
      </c>
    </row>
    <row r="207" spans="1:14" x14ac:dyDescent="0.3">
      <c r="A207" s="1" t="s">
        <v>505</v>
      </c>
      <c r="B207" s="1" t="s">
        <v>406</v>
      </c>
      <c r="C207" s="1" t="s">
        <v>112</v>
      </c>
      <c r="D207" s="1">
        <v>1</v>
      </c>
      <c r="E207" s="12">
        <v>45939.930555555555</v>
      </c>
      <c r="F207" s="1" t="s">
        <v>12</v>
      </c>
      <c r="G207" s="1" t="s">
        <v>20</v>
      </c>
      <c r="H207" s="1" t="s">
        <v>41</v>
      </c>
      <c r="I207" s="1" t="s">
        <v>42</v>
      </c>
      <c r="J207" s="1" t="str">
        <f t="shared" si="6"/>
        <v>PENDING_REVIEW</v>
      </c>
      <c r="K207" s="1" t="str">
        <f>_xlfn.XLOOKUP(C207, 'Product Catalog'!$A:$A, 'Product Catalog'!$B:$B, "Unknown Product")</f>
        <v>Mouse Model J87</v>
      </c>
      <c r="L207" s="1" t="str">
        <f>_xlfn.XLOOKUP(C207, 'Product Catalog'!$A:$A, 'Product Catalog'!$C:$C, "Unknown Category")</f>
        <v>Electronics</v>
      </c>
      <c r="M207" s="1">
        <f>_xlfn.XLOOKUP(C207, 'Product Catalog'!$A:$A, 'Product Catalog'!$D:$D, 0)</f>
        <v>164.06</v>
      </c>
      <c r="N207" s="1">
        <f t="shared" si="7"/>
        <v>164.06</v>
      </c>
    </row>
    <row r="208" spans="1:14" x14ac:dyDescent="0.3">
      <c r="A208" s="1" t="s">
        <v>506</v>
      </c>
      <c r="B208" s="1" t="s">
        <v>507</v>
      </c>
      <c r="C208" s="1" t="s">
        <v>281</v>
      </c>
      <c r="D208" s="1">
        <v>5</v>
      </c>
      <c r="E208" s="12">
        <v>46008.479861111111</v>
      </c>
      <c r="F208" s="1" t="s">
        <v>39</v>
      </c>
      <c r="G208" s="1" t="s">
        <v>50</v>
      </c>
      <c r="H208" s="1" t="s">
        <v>41</v>
      </c>
      <c r="I208" s="1" t="s">
        <v>81</v>
      </c>
      <c r="J208" s="1" t="str">
        <f t="shared" si="6"/>
        <v>REFUNDED</v>
      </c>
      <c r="K208" s="1" t="str">
        <f>_xlfn.XLOOKUP(C208, 'Product Catalog'!$A:$A, 'Product Catalog'!$B:$B, "Unknown Product")</f>
        <v>VPN 6-Month Pass Model B105</v>
      </c>
      <c r="L208" s="1" t="str">
        <f>_xlfn.XLOOKUP(C208, 'Product Catalog'!$A:$A, 'Product Catalog'!$C:$C, "Unknown Category")</f>
        <v>Digital Services</v>
      </c>
      <c r="M208" s="1">
        <f>_xlfn.XLOOKUP(C208, 'Product Catalog'!$A:$A, 'Product Catalog'!$D:$D, 0)</f>
        <v>36.130000000000003</v>
      </c>
      <c r="N208" s="1">
        <f t="shared" si="7"/>
        <v>180.65</v>
      </c>
    </row>
    <row r="209" spans="1:14" x14ac:dyDescent="0.3">
      <c r="A209" s="1" t="s">
        <v>508</v>
      </c>
      <c r="B209" s="1" t="s">
        <v>344</v>
      </c>
      <c r="C209" s="1" t="s">
        <v>391</v>
      </c>
      <c r="D209" s="1">
        <v>3</v>
      </c>
      <c r="E209" s="12">
        <v>45789.694444444445</v>
      </c>
      <c r="F209" s="1" t="s">
        <v>19</v>
      </c>
      <c r="G209" s="1" t="s">
        <v>46</v>
      </c>
      <c r="H209" s="1" t="s">
        <v>24</v>
      </c>
      <c r="I209" s="1" t="s">
        <v>15</v>
      </c>
      <c r="J209" s="1" t="str">
        <f t="shared" si="6"/>
        <v>delivered</v>
      </c>
      <c r="K209" s="1" t="str">
        <f>_xlfn.XLOOKUP(C209, 'Product Catalog'!$A:$A, 'Product Catalog'!$B:$B, "Unknown Product")</f>
        <v>Premium Stream 1M Model P145</v>
      </c>
      <c r="L209" s="1" t="str">
        <f>_xlfn.XLOOKUP(C209, 'Product Catalog'!$A:$A, 'Product Catalog'!$C:$C, "Unknown Category")</f>
        <v>Digital Services</v>
      </c>
      <c r="M209" s="1">
        <f>_xlfn.XLOOKUP(C209, 'Product Catalog'!$A:$A, 'Product Catalog'!$D:$D, 0)</f>
        <v>84.01</v>
      </c>
      <c r="N209" s="1">
        <f t="shared" si="7"/>
        <v>252.03000000000003</v>
      </c>
    </row>
    <row r="210" spans="1:14" x14ac:dyDescent="0.3">
      <c r="A210" s="1" t="s">
        <v>509</v>
      </c>
      <c r="B210" s="1" t="s">
        <v>510</v>
      </c>
      <c r="C210" s="1" t="s">
        <v>140</v>
      </c>
      <c r="D210" s="1">
        <v>1</v>
      </c>
      <c r="E210" s="12">
        <v>45986.697222222225</v>
      </c>
      <c r="F210" s="1" t="s">
        <v>12</v>
      </c>
      <c r="G210" s="1" t="s">
        <v>20</v>
      </c>
      <c r="H210" s="1" t="s">
        <v>41</v>
      </c>
      <c r="I210" s="1" t="s">
        <v>15</v>
      </c>
      <c r="J210" s="1" t="str">
        <f t="shared" si="6"/>
        <v>delivered</v>
      </c>
      <c r="K210" s="1" t="str">
        <f>_xlfn.XLOOKUP(C210, 'Product Catalog'!$A:$A, 'Product Catalog'!$B:$B, "Unknown Product")</f>
        <v>Blender Model H85</v>
      </c>
      <c r="L210" s="1" t="str">
        <f>_xlfn.XLOOKUP(C210, 'Product Catalog'!$A:$A, 'Product Catalog'!$C:$C, "Unknown Category")</f>
        <v>Home Goods</v>
      </c>
      <c r="M210" s="1">
        <f>_xlfn.XLOOKUP(C210, 'Product Catalog'!$A:$A, 'Product Catalog'!$D:$D, 0)</f>
        <v>130</v>
      </c>
      <c r="N210" s="1">
        <f t="shared" si="7"/>
        <v>130</v>
      </c>
    </row>
    <row r="211" spans="1:14" x14ac:dyDescent="0.3">
      <c r="A211" s="1" t="s">
        <v>511</v>
      </c>
      <c r="B211" s="1" t="s">
        <v>369</v>
      </c>
      <c r="C211" s="1" t="s">
        <v>512</v>
      </c>
      <c r="D211" s="1">
        <v>4</v>
      </c>
      <c r="E211" s="12">
        <v>45893.238888888889</v>
      </c>
      <c r="F211" s="1" t="s">
        <v>39</v>
      </c>
      <c r="G211" s="1" t="s">
        <v>20</v>
      </c>
      <c r="H211" s="1" t="s">
        <v>55</v>
      </c>
      <c r="I211" s="1" t="s">
        <v>42</v>
      </c>
      <c r="J211" s="1" t="str">
        <f t="shared" si="6"/>
        <v>PENDING_REVIEW</v>
      </c>
      <c r="K211" s="1" t="str">
        <f>_xlfn.XLOOKUP(C211, 'Product Catalog'!$A:$A, 'Product Catalog'!$B:$B, "Unknown Product")</f>
        <v>Designer Watch Model M116</v>
      </c>
      <c r="L211" s="1" t="str">
        <f>_xlfn.XLOOKUP(C211, 'Product Catalog'!$A:$A, 'Product Catalog'!$C:$C, "Unknown Category")</f>
        <v>Luxury Goods</v>
      </c>
      <c r="M211" s="1">
        <f>_xlfn.XLOOKUP(C211, 'Product Catalog'!$A:$A, 'Product Catalog'!$D:$D, 0)</f>
        <v>968.52</v>
      </c>
      <c r="N211" s="1">
        <f t="shared" si="7"/>
        <v>3874.08</v>
      </c>
    </row>
    <row r="212" spans="1:14" x14ac:dyDescent="0.3">
      <c r="A212" s="1" t="s">
        <v>513</v>
      </c>
      <c r="B212" s="1" t="s">
        <v>336</v>
      </c>
      <c r="C212" s="1" t="s">
        <v>339</v>
      </c>
      <c r="D212" s="1">
        <v>4</v>
      </c>
      <c r="E212" s="12">
        <v>45838.240277777775</v>
      </c>
      <c r="F212" s="1" t="s">
        <v>170</v>
      </c>
      <c r="G212" s="1" t="s">
        <v>50</v>
      </c>
      <c r="H212" s="1" t="s">
        <v>51</v>
      </c>
      <c r="I212" s="1" t="s">
        <v>81</v>
      </c>
      <c r="J212" s="1" t="str">
        <f t="shared" si="6"/>
        <v>REFUNDED</v>
      </c>
      <c r="K212" s="1" t="str">
        <f>_xlfn.XLOOKUP(C212, 'Product Catalog'!$A:$A, 'Product Catalog'!$B:$B, "Unknown Product")</f>
        <v>E-Book Access Model K114</v>
      </c>
      <c r="L212" s="1" t="str">
        <f>_xlfn.XLOOKUP(C212, 'Product Catalog'!$A:$A, 'Product Catalog'!$C:$C, "Unknown Category")</f>
        <v>Digital Services</v>
      </c>
      <c r="M212" s="1">
        <f>_xlfn.XLOOKUP(C212, 'Product Catalog'!$A:$A, 'Product Catalog'!$D:$D, 0)</f>
        <v>57.11</v>
      </c>
      <c r="N212" s="1">
        <f t="shared" si="7"/>
        <v>228.44</v>
      </c>
    </row>
    <row r="213" spans="1:14" x14ac:dyDescent="0.3">
      <c r="A213" s="1" t="s">
        <v>514</v>
      </c>
      <c r="B213" s="1" t="s">
        <v>515</v>
      </c>
      <c r="C213" s="1" t="s">
        <v>391</v>
      </c>
      <c r="D213" s="1">
        <v>1</v>
      </c>
      <c r="E213" s="12">
        <v>45729.777083333334</v>
      </c>
      <c r="F213" s="1" t="s">
        <v>12</v>
      </c>
      <c r="G213" s="1" t="s">
        <v>46</v>
      </c>
      <c r="H213" s="1" t="s">
        <v>24</v>
      </c>
      <c r="I213" s="1" t="s">
        <v>15</v>
      </c>
      <c r="J213" s="1" t="str">
        <f t="shared" si="6"/>
        <v>delivered</v>
      </c>
      <c r="K213" s="1" t="str">
        <f>_xlfn.XLOOKUP(C213, 'Product Catalog'!$A:$A, 'Product Catalog'!$B:$B, "Unknown Product")</f>
        <v>Premium Stream 1M Model P145</v>
      </c>
      <c r="L213" s="1" t="str">
        <f>_xlfn.XLOOKUP(C213, 'Product Catalog'!$A:$A, 'Product Catalog'!$C:$C, "Unknown Category")</f>
        <v>Digital Services</v>
      </c>
      <c r="M213" s="1">
        <f>_xlfn.XLOOKUP(C213, 'Product Catalog'!$A:$A, 'Product Catalog'!$D:$D, 0)</f>
        <v>84.01</v>
      </c>
      <c r="N213" s="1">
        <f t="shared" si="7"/>
        <v>84.01</v>
      </c>
    </row>
    <row r="214" spans="1:14" x14ac:dyDescent="0.3">
      <c r="A214" s="1" t="s">
        <v>516</v>
      </c>
      <c r="B214" s="1" t="s">
        <v>517</v>
      </c>
      <c r="C214" s="1" t="s">
        <v>192</v>
      </c>
      <c r="D214" s="1">
        <v>1</v>
      </c>
      <c r="E214" s="12">
        <v>45908.261111111111</v>
      </c>
      <c r="F214" s="1" t="s">
        <v>19</v>
      </c>
      <c r="G214" s="1" t="s">
        <v>40</v>
      </c>
      <c r="H214" s="1" t="s">
        <v>51</v>
      </c>
      <c r="I214" s="1" t="s">
        <v>102</v>
      </c>
      <c r="J214" s="1" t="str">
        <f t="shared" si="6"/>
        <v>disputed</v>
      </c>
      <c r="K214" s="1" t="str">
        <f>_xlfn.XLOOKUP(C214, 'Product Catalog'!$A:$A, 'Product Catalog'!$B:$B, "Unknown Product")</f>
        <v>Leather Handbag Model R69</v>
      </c>
      <c r="L214" s="1" t="str">
        <f>_xlfn.XLOOKUP(C214, 'Product Catalog'!$A:$A, 'Product Catalog'!$C:$C, "Unknown Category")</f>
        <v>Luxury Goods</v>
      </c>
      <c r="M214" s="1">
        <f>_xlfn.XLOOKUP(C214, 'Product Catalog'!$A:$A, 'Product Catalog'!$D:$D, 0)</f>
        <v>425.14</v>
      </c>
      <c r="N214" s="1">
        <f t="shared" si="7"/>
        <v>425.14</v>
      </c>
    </row>
    <row r="215" spans="1:14" x14ac:dyDescent="0.3">
      <c r="A215" s="1" t="s">
        <v>518</v>
      </c>
      <c r="B215" s="1" t="s">
        <v>484</v>
      </c>
      <c r="C215" s="1" t="s">
        <v>519</v>
      </c>
      <c r="D215" s="1">
        <v>1</v>
      </c>
      <c r="E215" s="12">
        <v>45935.912499999999</v>
      </c>
      <c r="F215" s="1" t="s">
        <v>12</v>
      </c>
      <c r="G215" s="1" t="s">
        <v>13</v>
      </c>
      <c r="H215" s="1" t="s">
        <v>14</v>
      </c>
      <c r="I215" s="1" t="s">
        <v>15</v>
      </c>
      <c r="J215" s="1" t="str">
        <f t="shared" si="6"/>
        <v>delivered</v>
      </c>
      <c r="K215" s="1" t="str">
        <f>_xlfn.XLOOKUP(C215, 'Product Catalog'!$A:$A, 'Product Catalog'!$B:$B, "Unknown Product")</f>
        <v>T-Shirt Model S70</v>
      </c>
      <c r="L215" s="1" t="str">
        <f>_xlfn.XLOOKUP(C215, 'Product Catalog'!$A:$A, 'Product Catalog'!$C:$C, "Unknown Category")</f>
        <v>Apparel</v>
      </c>
      <c r="M215" s="1">
        <f>_xlfn.XLOOKUP(C215, 'Product Catalog'!$A:$A, 'Product Catalog'!$D:$D, 0)</f>
        <v>75.45</v>
      </c>
      <c r="N215" s="1">
        <f t="shared" si="7"/>
        <v>75.45</v>
      </c>
    </row>
    <row r="216" spans="1:14" x14ac:dyDescent="0.3">
      <c r="A216" s="1" t="s">
        <v>520</v>
      </c>
      <c r="B216" s="1" t="s">
        <v>130</v>
      </c>
      <c r="C216" s="1" t="s">
        <v>195</v>
      </c>
      <c r="D216" s="1">
        <v>1</v>
      </c>
      <c r="E216" s="12">
        <v>45688.745138888888</v>
      </c>
      <c r="F216" s="1" t="s">
        <v>19</v>
      </c>
      <c r="G216" s="1" t="s">
        <v>20</v>
      </c>
      <c r="H216" s="1" t="s">
        <v>24</v>
      </c>
      <c r="I216" s="1" t="s">
        <v>15</v>
      </c>
      <c r="J216" s="1" t="str">
        <f t="shared" si="6"/>
        <v>delivered</v>
      </c>
      <c r="K216" s="1" t="str">
        <f>_xlfn.XLOOKUP(C216, 'Product Catalog'!$A:$A, 'Product Catalog'!$B:$B, "Unknown Product")</f>
        <v>Blender Model L89</v>
      </c>
      <c r="L216" s="1" t="str">
        <f>_xlfn.XLOOKUP(C216, 'Product Catalog'!$A:$A, 'Product Catalog'!$C:$C, "Unknown Category")</f>
        <v>Home Goods</v>
      </c>
      <c r="M216" s="1">
        <f>_xlfn.XLOOKUP(C216, 'Product Catalog'!$A:$A, 'Product Catalog'!$D:$D, 0)</f>
        <v>138.6</v>
      </c>
      <c r="N216" s="1">
        <f t="shared" si="7"/>
        <v>138.6</v>
      </c>
    </row>
    <row r="217" spans="1:14" x14ac:dyDescent="0.3">
      <c r="A217" s="1" t="s">
        <v>521</v>
      </c>
      <c r="B217" s="1" t="s">
        <v>326</v>
      </c>
      <c r="C217" s="1" t="s">
        <v>522</v>
      </c>
      <c r="D217" s="1">
        <v>4</v>
      </c>
      <c r="E217" s="12">
        <v>45675.105555555558</v>
      </c>
      <c r="F217" s="1" t="s">
        <v>39</v>
      </c>
      <c r="G217" s="1" t="s">
        <v>46</v>
      </c>
      <c r="H217" s="1" t="s">
        <v>51</v>
      </c>
      <c r="I217" s="1" t="s">
        <v>42</v>
      </c>
      <c r="J217" s="1" t="str">
        <f t="shared" si="6"/>
        <v>PENDING_REVIEW</v>
      </c>
      <c r="K217" s="1" t="str">
        <f>_xlfn.XLOOKUP(C217, 'Product Catalog'!$A:$A, 'Product Catalog'!$B:$B, "Unknown Product")</f>
        <v>Leather Handbag Model F5</v>
      </c>
      <c r="L217" s="1" t="str">
        <f>_xlfn.XLOOKUP(C217, 'Product Catalog'!$A:$A, 'Product Catalog'!$C:$C, "Unknown Category")</f>
        <v>Luxury Goods</v>
      </c>
      <c r="M217" s="1">
        <f>_xlfn.XLOOKUP(C217, 'Product Catalog'!$A:$A, 'Product Catalog'!$D:$D, 0)</f>
        <v>1875.24</v>
      </c>
      <c r="N217" s="1">
        <f t="shared" si="7"/>
        <v>7500.96</v>
      </c>
    </row>
    <row r="218" spans="1:14" x14ac:dyDescent="0.3">
      <c r="A218" s="1" t="s">
        <v>523</v>
      </c>
      <c r="B218" s="1" t="s">
        <v>83</v>
      </c>
      <c r="C218" s="1" t="s">
        <v>80</v>
      </c>
      <c r="D218" s="1">
        <v>5</v>
      </c>
      <c r="E218" s="12">
        <v>46000.068749999999</v>
      </c>
      <c r="F218" s="1" t="s">
        <v>170</v>
      </c>
      <c r="G218" s="1" t="s">
        <v>31</v>
      </c>
      <c r="H218" s="1" t="s">
        <v>51</v>
      </c>
      <c r="I218" s="1" t="s">
        <v>56</v>
      </c>
      <c r="J218" s="1" t="str">
        <f t="shared" si="6"/>
        <v>cancelled</v>
      </c>
      <c r="K218" s="1" t="str">
        <f>_xlfn.XLOOKUP(C218, 'Product Catalog'!$A:$A, 'Product Catalog'!$B:$B, "Unknown Product")</f>
        <v>Leather Handbag Model S18</v>
      </c>
      <c r="L218" s="1" t="str">
        <f>_xlfn.XLOOKUP(C218, 'Product Catalog'!$A:$A, 'Product Catalog'!$C:$C, "Unknown Category")</f>
        <v>Luxury Goods</v>
      </c>
      <c r="M218" s="1">
        <f>_xlfn.XLOOKUP(C218, 'Product Catalog'!$A:$A, 'Product Catalog'!$D:$D, 0)</f>
        <v>1475.11</v>
      </c>
      <c r="N218" s="1">
        <f t="shared" si="7"/>
        <v>7375.5499999999993</v>
      </c>
    </row>
    <row r="219" spans="1:14" x14ac:dyDescent="0.3">
      <c r="A219" s="1" t="s">
        <v>524</v>
      </c>
      <c r="B219" s="1" t="s">
        <v>525</v>
      </c>
      <c r="C219" s="1" t="s">
        <v>466</v>
      </c>
      <c r="D219" s="1">
        <v>1</v>
      </c>
      <c r="E219" s="12">
        <v>45661.586111111108</v>
      </c>
      <c r="F219" s="1" t="s">
        <v>12</v>
      </c>
      <c r="G219" s="1" t="s">
        <v>46</v>
      </c>
      <c r="H219" s="1" t="s">
        <v>41</v>
      </c>
      <c r="I219" s="1" t="s">
        <v>15</v>
      </c>
      <c r="J219" s="1" t="str">
        <f t="shared" si="6"/>
        <v>delivered</v>
      </c>
      <c r="K219" s="1" t="str">
        <f>_xlfn.XLOOKUP(C219, 'Product Catalog'!$A:$A, 'Product Catalog'!$B:$B, "Unknown Product")</f>
        <v>VPN 6-Month Pass Model L11</v>
      </c>
      <c r="L219" s="1" t="str">
        <f>_xlfn.XLOOKUP(C219, 'Product Catalog'!$A:$A, 'Product Catalog'!$C:$C, "Unknown Category")</f>
        <v>Digital Services</v>
      </c>
      <c r="M219" s="1">
        <f>_xlfn.XLOOKUP(C219, 'Product Catalog'!$A:$A, 'Product Catalog'!$D:$D, 0)</f>
        <v>16.73</v>
      </c>
      <c r="N219" s="1">
        <f t="shared" si="7"/>
        <v>16.73</v>
      </c>
    </row>
    <row r="220" spans="1:14" x14ac:dyDescent="0.3">
      <c r="A220" s="1" t="s">
        <v>526</v>
      </c>
      <c r="B220" s="1" t="s">
        <v>461</v>
      </c>
      <c r="C220" s="1" t="s">
        <v>527</v>
      </c>
      <c r="D220" s="1">
        <v>1</v>
      </c>
      <c r="E220" s="12">
        <v>45728.896527777775</v>
      </c>
      <c r="F220" s="1" t="s">
        <v>19</v>
      </c>
      <c r="G220" s="1" t="s">
        <v>20</v>
      </c>
      <c r="H220" s="1" t="s">
        <v>51</v>
      </c>
      <c r="I220" s="1" t="s">
        <v>81</v>
      </c>
      <c r="J220" s="1" t="str">
        <f t="shared" si="6"/>
        <v>REFUNDED</v>
      </c>
      <c r="K220" s="1" t="str">
        <f>_xlfn.XLOOKUP(C220, 'Product Catalog'!$A:$A, 'Product Catalog'!$B:$B, "Unknown Product")</f>
        <v>Leather Handbag Model S96</v>
      </c>
      <c r="L220" s="1" t="str">
        <f>_xlfn.XLOOKUP(C220, 'Product Catalog'!$A:$A, 'Product Catalog'!$C:$C, "Unknown Category")</f>
        <v>Luxury Goods</v>
      </c>
      <c r="M220" s="1">
        <f>_xlfn.XLOOKUP(C220, 'Product Catalog'!$A:$A, 'Product Catalog'!$D:$D, 0)</f>
        <v>2336.6799999999998</v>
      </c>
      <c r="N220" s="1">
        <f t="shared" si="7"/>
        <v>2336.6799999999998</v>
      </c>
    </row>
    <row r="221" spans="1:14" x14ac:dyDescent="0.3">
      <c r="A221" s="1" t="s">
        <v>528</v>
      </c>
      <c r="B221" s="1" t="s">
        <v>444</v>
      </c>
      <c r="C221" s="1" t="s">
        <v>452</v>
      </c>
      <c r="D221" s="1">
        <v>1</v>
      </c>
      <c r="E221" s="12">
        <v>45776.09652777778</v>
      </c>
      <c r="F221" s="1" t="s">
        <v>19</v>
      </c>
      <c r="G221" s="1" t="s">
        <v>13</v>
      </c>
      <c r="H221" s="1" t="s">
        <v>41</v>
      </c>
      <c r="I221" s="1" t="s">
        <v>15</v>
      </c>
      <c r="J221" s="1" t="str">
        <f t="shared" si="6"/>
        <v>delivered</v>
      </c>
      <c r="K221" s="1" t="str">
        <f>_xlfn.XLOOKUP(C221, 'Product Catalog'!$A:$A, 'Product Catalog'!$B:$B, "Unknown Product")</f>
        <v>E-Book Access Model U150</v>
      </c>
      <c r="L221" s="1" t="str">
        <f>_xlfn.XLOOKUP(C221, 'Product Catalog'!$A:$A, 'Product Catalog'!$C:$C, "Unknown Category")</f>
        <v>Digital Services</v>
      </c>
      <c r="M221" s="1">
        <f>_xlfn.XLOOKUP(C221, 'Product Catalog'!$A:$A, 'Product Catalog'!$D:$D, 0)</f>
        <v>75.69</v>
      </c>
      <c r="N221" s="1">
        <f t="shared" si="7"/>
        <v>75.69</v>
      </c>
    </row>
    <row r="222" spans="1:14" x14ac:dyDescent="0.3">
      <c r="A222" s="1" t="s">
        <v>529</v>
      </c>
      <c r="B222" s="1" t="s">
        <v>530</v>
      </c>
      <c r="C222" s="1" t="s">
        <v>531</v>
      </c>
      <c r="D222" s="1">
        <v>1</v>
      </c>
      <c r="E222" s="12">
        <v>45735.012499999997</v>
      </c>
      <c r="F222" s="1" t="s">
        <v>12</v>
      </c>
      <c r="G222" s="1" t="s">
        <v>109</v>
      </c>
      <c r="H222" s="1" t="s">
        <v>14</v>
      </c>
      <c r="I222" s="1" t="s">
        <v>32</v>
      </c>
      <c r="J222" s="1" t="str">
        <f t="shared" si="6"/>
        <v>SHIPPED</v>
      </c>
      <c r="K222" s="1" t="str">
        <f>_xlfn.XLOOKUP(C222, 'Product Catalog'!$A:$A, 'Product Catalog'!$B:$B, "Unknown Product")</f>
        <v>Organizer Model Y102</v>
      </c>
      <c r="L222" s="1" t="str">
        <f>_xlfn.XLOOKUP(C222, 'Product Catalog'!$A:$A, 'Product Catalog'!$C:$C, "Unknown Category")</f>
        <v>Home Goods</v>
      </c>
      <c r="M222" s="1">
        <f>_xlfn.XLOOKUP(C222, 'Product Catalog'!$A:$A, 'Product Catalog'!$D:$D, 0)</f>
        <v>147.26</v>
      </c>
      <c r="N222" s="1">
        <f t="shared" si="7"/>
        <v>147.26</v>
      </c>
    </row>
    <row r="223" spans="1:14" x14ac:dyDescent="0.3">
      <c r="A223" s="1" t="s">
        <v>532</v>
      </c>
      <c r="B223" s="1" t="s">
        <v>533</v>
      </c>
      <c r="C223" s="1" t="s">
        <v>84</v>
      </c>
      <c r="D223" s="1">
        <v>5</v>
      </c>
      <c r="E223" s="12">
        <v>45769.71875</v>
      </c>
      <c r="F223" s="1" t="s">
        <v>170</v>
      </c>
      <c r="G223" s="1" t="s">
        <v>50</v>
      </c>
      <c r="H223" s="1" t="s">
        <v>41</v>
      </c>
      <c r="I223" s="1" t="s">
        <v>56</v>
      </c>
      <c r="J223" s="1" t="str">
        <f t="shared" si="6"/>
        <v>cancelled</v>
      </c>
      <c r="K223" s="1" t="str">
        <f>_xlfn.XLOOKUP(C223, 'Product Catalog'!$A:$A, 'Product Catalog'!$B:$B, "Unknown Product")</f>
        <v>Smartwatch Model J35</v>
      </c>
      <c r="L223" s="1" t="str">
        <f>_xlfn.XLOOKUP(C223, 'Product Catalog'!$A:$A, 'Product Catalog'!$C:$C, "Unknown Category")</f>
        <v>Electronics</v>
      </c>
      <c r="M223" s="1">
        <f>_xlfn.XLOOKUP(C223, 'Product Catalog'!$A:$A, 'Product Catalog'!$D:$D, 0)</f>
        <v>161.94999999999999</v>
      </c>
      <c r="N223" s="1">
        <f t="shared" si="7"/>
        <v>809.75</v>
      </c>
    </row>
    <row r="224" spans="1:14" x14ac:dyDescent="0.3">
      <c r="A224" s="1" t="s">
        <v>534</v>
      </c>
      <c r="B224" s="1" t="s">
        <v>515</v>
      </c>
      <c r="C224" s="1" t="s">
        <v>316</v>
      </c>
      <c r="D224" s="1">
        <v>4</v>
      </c>
      <c r="E224" s="12">
        <v>45891.530555555553</v>
      </c>
      <c r="F224" s="1" t="s">
        <v>170</v>
      </c>
      <c r="G224" s="1" t="s">
        <v>50</v>
      </c>
      <c r="H224" s="1" t="s">
        <v>55</v>
      </c>
      <c r="I224" s="1" t="s">
        <v>42</v>
      </c>
      <c r="J224" s="1" t="str">
        <f t="shared" si="6"/>
        <v>PENDING_REVIEW</v>
      </c>
      <c r="K224" s="1" t="str">
        <f>_xlfn.XLOOKUP(C224, 'Product Catalog'!$A:$A, 'Product Catalog'!$B:$B, "Unknown Product")</f>
        <v>Leather Handbag Model W48</v>
      </c>
      <c r="L224" s="1" t="str">
        <f>_xlfn.XLOOKUP(C224, 'Product Catalog'!$A:$A, 'Product Catalog'!$C:$C, "Unknown Category")</f>
        <v>Luxury Goods</v>
      </c>
      <c r="M224" s="1">
        <f>_xlfn.XLOOKUP(C224, 'Product Catalog'!$A:$A, 'Product Catalog'!$D:$D, 0)</f>
        <v>315.82</v>
      </c>
      <c r="N224" s="1">
        <f t="shared" si="7"/>
        <v>1263.28</v>
      </c>
    </row>
    <row r="225" spans="1:14" x14ac:dyDescent="0.3">
      <c r="A225" s="1" t="s">
        <v>535</v>
      </c>
      <c r="B225" s="1" t="s">
        <v>476</v>
      </c>
      <c r="C225" s="1" t="s">
        <v>134</v>
      </c>
      <c r="D225" s="1">
        <v>1</v>
      </c>
      <c r="E225" s="12">
        <v>45688.878472222219</v>
      </c>
      <c r="F225" s="1" t="s">
        <v>19</v>
      </c>
      <c r="G225" s="1" t="s">
        <v>31</v>
      </c>
      <c r="H225" s="1" t="s">
        <v>41</v>
      </c>
      <c r="I225" s="1" t="s">
        <v>15</v>
      </c>
      <c r="J225" s="1" t="str">
        <f t="shared" si="6"/>
        <v>delivered</v>
      </c>
      <c r="K225" s="1" t="str">
        <f>_xlfn.XLOOKUP(C225, 'Product Catalog'!$A:$A, 'Product Catalog'!$B:$B, "Unknown Product")</f>
        <v>Cloud Storage Basic Model O144</v>
      </c>
      <c r="L225" s="1" t="str">
        <f>_xlfn.XLOOKUP(C225, 'Product Catalog'!$A:$A, 'Product Catalog'!$C:$C, "Unknown Category")</f>
        <v>Digital Services</v>
      </c>
      <c r="M225" s="1">
        <f>_xlfn.XLOOKUP(C225, 'Product Catalog'!$A:$A, 'Product Catalog'!$D:$D, 0)</f>
        <v>41.55</v>
      </c>
      <c r="N225" s="1">
        <f t="shared" si="7"/>
        <v>41.55</v>
      </c>
    </row>
    <row r="226" spans="1:14" x14ac:dyDescent="0.3">
      <c r="A226" s="1" t="s">
        <v>536</v>
      </c>
      <c r="B226" s="1" t="s">
        <v>537</v>
      </c>
      <c r="C226" s="1" t="s">
        <v>23</v>
      </c>
      <c r="D226" s="1">
        <v>1</v>
      </c>
      <c r="E226" s="12">
        <v>45984.947916666664</v>
      </c>
      <c r="F226" s="1" t="s">
        <v>39</v>
      </c>
      <c r="G226" s="1" t="s">
        <v>50</v>
      </c>
      <c r="H226" s="1" t="s">
        <v>51</v>
      </c>
      <c r="I226" s="1" t="s">
        <v>42</v>
      </c>
      <c r="J226" s="1" t="str">
        <f t="shared" si="6"/>
        <v>PENDING_REVIEW</v>
      </c>
      <c r="K226" s="1" t="str">
        <f>_xlfn.XLOOKUP(C226, 'Product Catalog'!$A:$A, 'Product Catalog'!$B:$B, "Unknown Product")</f>
        <v>Mouse Model A78</v>
      </c>
      <c r="L226" s="1" t="str">
        <f>_xlfn.XLOOKUP(C226, 'Product Catalog'!$A:$A, 'Product Catalog'!$C:$C, "Unknown Category")</f>
        <v>Electronics</v>
      </c>
      <c r="M226" s="1">
        <f>_xlfn.XLOOKUP(C226, 'Product Catalog'!$A:$A, 'Product Catalog'!$D:$D, 0)</f>
        <v>141.34</v>
      </c>
      <c r="N226" s="1">
        <f t="shared" si="7"/>
        <v>141.34</v>
      </c>
    </row>
    <row r="227" spans="1:14" x14ac:dyDescent="0.3">
      <c r="A227" s="1" t="s">
        <v>538</v>
      </c>
      <c r="B227" s="1" t="s">
        <v>539</v>
      </c>
      <c r="C227" s="1" t="s">
        <v>309</v>
      </c>
      <c r="D227" s="1">
        <v>4</v>
      </c>
      <c r="E227" s="12">
        <v>45973.686805555553</v>
      </c>
      <c r="F227" s="1" t="s">
        <v>170</v>
      </c>
      <c r="G227" s="1" t="s">
        <v>40</v>
      </c>
      <c r="H227" s="1" t="s">
        <v>51</v>
      </c>
      <c r="I227" s="1" t="s">
        <v>56</v>
      </c>
      <c r="J227" s="1" t="str">
        <f t="shared" si="6"/>
        <v>cancelled</v>
      </c>
      <c r="K227" s="1" t="str">
        <f>_xlfn.XLOOKUP(C227, 'Product Catalog'!$A:$A, 'Product Catalog'!$B:$B, "Unknown Product")</f>
        <v>Sneakers Model C2</v>
      </c>
      <c r="L227" s="1" t="str">
        <f>_xlfn.XLOOKUP(C227, 'Product Catalog'!$A:$A, 'Product Catalog'!$C:$C, "Unknown Category")</f>
        <v>Apparel</v>
      </c>
      <c r="M227" s="1">
        <f>_xlfn.XLOOKUP(C227, 'Product Catalog'!$A:$A, 'Product Catalog'!$D:$D, 0)</f>
        <v>21.27</v>
      </c>
      <c r="N227" s="1">
        <f t="shared" si="7"/>
        <v>85.08</v>
      </c>
    </row>
    <row r="228" spans="1:14" x14ac:dyDescent="0.3">
      <c r="A228" s="1" t="s">
        <v>540</v>
      </c>
      <c r="B228" s="1" t="s">
        <v>234</v>
      </c>
      <c r="C228" s="1" t="s">
        <v>167</v>
      </c>
      <c r="D228" s="1">
        <v>2</v>
      </c>
      <c r="E228" s="12">
        <v>45995.693749999999</v>
      </c>
      <c r="F228" s="1" t="s">
        <v>12</v>
      </c>
      <c r="G228" s="1" t="s">
        <v>20</v>
      </c>
      <c r="H228" s="1" t="s">
        <v>41</v>
      </c>
      <c r="I228" s="1" t="s">
        <v>81</v>
      </c>
      <c r="J228" s="1" t="str">
        <f t="shared" si="6"/>
        <v>REFUNDED</v>
      </c>
      <c r="K228" s="1" t="str">
        <f>_xlfn.XLOOKUP(C228, 'Product Catalog'!$A:$A, 'Product Catalog'!$B:$B, "Unknown Product")</f>
        <v>Premium Stream 1M Model V125</v>
      </c>
      <c r="L228" s="1" t="str">
        <f>_xlfn.XLOOKUP(C228, 'Product Catalog'!$A:$A, 'Product Catalog'!$C:$C, "Unknown Category")</f>
        <v>Digital Services</v>
      </c>
      <c r="M228" s="1">
        <f>_xlfn.XLOOKUP(C228, 'Product Catalog'!$A:$A, 'Product Catalog'!$D:$D, 0)</f>
        <v>18.87</v>
      </c>
      <c r="N228" s="1">
        <f t="shared" si="7"/>
        <v>37.74</v>
      </c>
    </row>
    <row r="229" spans="1:14" x14ac:dyDescent="0.3">
      <c r="A229" s="1" t="s">
        <v>541</v>
      </c>
      <c r="B229" s="1" t="s">
        <v>510</v>
      </c>
      <c r="C229" s="1" t="s">
        <v>542</v>
      </c>
      <c r="D229" s="1">
        <v>1</v>
      </c>
      <c r="E229" s="12">
        <v>45666.009027777778</v>
      </c>
      <c r="F229" s="1" t="s">
        <v>39</v>
      </c>
      <c r="G229" s="1" t="s">
        <v>50</v>
      </c>
      <c r="H229" s="1" t="s">
        <v>55</v>
      </c>
      <c r="I229" s="1" t="s">
        <v>102</v>
      </c>
      <c r="J229" s="1" t="str">
        <f t="shared" si="6"/>
        <v>disputed</v>
      </c>
      <c r="K229" s="1" t="str">
        <f>_xlfn.XLOOKUP(C229, 'Product Catalog'!$A:$A, 'Product Catalog'!$B:$B, "Unknown Product")</f>
        <v>Cable Model M38</v>
      </c>
      <c r="L229" s="1" t="str">
        <f>_xlfn.XLOOKUP(C229, 'Product Catalog'!$A:$A, 'Product Catalog'!$C:$C, "Unknown Category")</f>
        <v>Electronics</v>
      </c>
      <c r="M229" s="1">
        <f>_xlfn.XLOOKUP(C229, 'Product Catalog'!$A:$A, 'Product Catalog'!$D:$D, 0)</f>
        <v>91.18</v>
      </c>
      <c r="N229" s="1">
        <f t="shared" si="7"/>
        <v>91.18</v>
      </c>
    </row>
    <row r="230" spans="1:14" x14ac:dyDescent="0.3">
      <c r="A230" s="1" t="s">
        <v>543</v>
      </c>
      <c r="B230" s="1" t="s">
        <v>544</v>
      </c>
      <c r="C230" s="1" t="s">
        <v>396</v>
      </c>
      <c r="D230" s="1">
        <v>1</v>
      </c>
      <c r="E230" s="12">
        <v>45930.78402777778</v>
      </c>
      <c r="F230" s="1" t="s">
        <v>19</v>
      </c>
      <c r="G230" s="1" t="s">
        <v>13</v>
      </c>
      <c r="H230" s="1" t="s">
        <v>14</v>
      </c>
      <c r="I230" s="1" t="s">
        <v>15</v>
      </c>
      <c r="J230" s="1" t="str">
        <f t="shared" si="6"/>
        <v>delivered</v>
      </c>
      <c r="K230" s="1" t="str">
        <f>_xlfn.XLOOKUP(C230, 'Product Catalog'!$A:$A, 'Product Catalog'!$B:$B, "Unknown Product")</f>
        <v>Cap Model O14</v>
      </c>
      <c r="L230" s="1" t="str">
        <f>_xlfn.XLOOKUP(C230, 'Product Catalog'!$A:$A, 'Product Catalog'!$C:$C, "Unknown Category")</f>
        <v>Apparel</v>
      </c>
      <c r="M230" s="1">
        <f>_xlfn.XLOOKUP(C230, 'Product Catalog'!$A:$A, 'Product Catalog'!$D:$D, 0)</f>
        <v>41.83</v>
      </c>
      <c r="N230" s="1">
        <f t="shared" si="7"/>
        <v>41.83</v>
      </c>
    </row>
    <row r="231" spans="1:14" x14ac:dyDescent="0.3">
      <c r="A231" s="1" t="s">
        <v>545</v>
      </c>
      <c r="B231" s="1" t="s">
        <v>546</v>
      </c>
      <c r="C231" s="1" t="s">
        <v>531</v>
      </c>
      <c r="D231" s="1">
        <v>1</v>
      </c>
      <c r="E231" s="12">
        <v>45868.01666666667</v>
      </c>
      <c r="F231" s="1" t="s">
        <v>12</v>
      </c>
      <c r="G231" s="1" t="s">
        <v>31</v>
      </c>
      <c r="H231" s="1" t="s">
        <v>24</v>
      </c>
      <c r="I231" s="1" t="s">
        <v>15</v>
      </c>
      <c r="J231" s="1" t="str">
        <f t="shared" si="6"/>
        <v>delivered</v>
      </c>
      <c r="K231" s="1" t="str">
        <f>_xlfn.XLOOKUP(C231, 'Product Catalog'!$A:$A, 'Product Catalog'!$B:$B, "Unknown Product")</f>
        <v>Organizer Model Y102</v>
      </c>
      <c r="L231" s="1" t="str">
        <f>_xlfn.XLOOKUP(C231, 'Product Catalog'!$A:$A, 'Product Catalog'!$C:$C, "Unknown Category")</f>
        <v>Home Goods</v>
      </c>
      <c r="M231" s="1">
        <f>_xlfn.XLOOKUP(C231, 'Product Catalog'!$A:$A, 'Product Catalog'!$D:$D, 0)</f>
        <v>147.26</v>
      </c>
      <c r="N231" s="1">
        <f t="shared" si="7"/>
        <v>147.26</v>
      </c>
    </row>
    <row r="232" spans="1:14" x14ac:dyDescent="0.3">
      <c r="A232" s="1" t="s">
        <v>547</v>
      </c>
      <c r="B232" s="1" t="s">
        <v>548</v>
      </c>
      <c r="C232" s="1" t="s">
        <v>176</v>
      </c>
      <c r="D232" s="1">
        <v>4</v>
      </c>
      <c r="E232" s="12">
        <v>45666.75277777778</v>
      </c>
      <c r="F232" s="1" t="s">
        <v>170</v>
      </c>
      <c r="G232" s="1" t="s">
        <v>40</v>
      </c>
      <c r="H232" s="1" t="s">
        <v>51</v>
      </c>
      <c r="I232" s="1" t="s">
        <v>102</v>
      </c>
      <c r="J232" s="1" t="str">
        <f t="shared" si="6"/>
        <v>disputed</v>
      </c>
      <c r="K232" s="1" t="str">
        <f>_xlfn.XLOOKUP(C232, 'Product Catalog'!$A:$A, 'Product Catalog'!$B:$B, "Unknown Product")</f>
        <v>Leather Handbag Model U124</v>
      </c>
      <c r="L232" s="1" t="str">
        <f>_xlfn.XLOOKUP(C232, 'Product Catalog'!$A:$A, 'Product Catalog'!$C:$C, "Unknown Category")</f>
        <v>Luxury Goods</v>
      </c>
      <c r="M232" s="1">
        <f>_xlfn.XLOOKUP(C232, 'Product Catalog'!$A:$A, 'Product Catalog'!$D:$D, 0)</f>
        <v>1880.36</v>
      </c>
      <c r="N232" s="1">
        <f t="shared" si="7"/>
        <v>7521.44</v>
      </c>
    </row>
    <row r="233" spans="1:14" x14ac:dyDescent="0.3">
      <c r="A233" s="1" t="s">
        <v>549</v>
      </c>
      <c r="B233" s="1" t="s">
        <v>448</v>
      </c>
      <c r="C233" s="1" t="s">
        <v>62</v>
      </c>
      <c r="D233" s="1">
        <v>1</v>
      </c>
      <c r="E233" s="12">
        <v>45798.761805555558</v>
      </c>
      <c r="F233" s="1" t="s">
        <v>19</v>
      </c>
      <c r="G233" s="1" t="s">
        <v>50</v>
      </c>
      <c r="H233" s="1" t="s">
        <v>41</v>
      </c>
      <c r="I233" s="1" t="s">
        <v>102</v>
      </c>
      <c r="J233" s="1" t="str">
        <f t="shared" si="6"/>
        <v>disputed</v>
      </c>
      <c r="K233" s="1" t="str">
        <f>_xlfn.XLOOKUP(C233, 'Product Catalog'!$A:$A, 'Product Catalog'!$B:$B, "Unknown Product")</f>
        <v>Cable Model M12</v>
      </c>
      <c r="L233" s="1" t="str">
        <f>_xlfn.XLOOKUP(C233, 'Product Catalog'!$A:$A, 'Product Catalog'!$C:$C, "Unknown Category")</f>
        <v>Electronics</v>
      </c>
      <c r="M233" s="1">
        <f>_xlfn.XLOOKUP(C233, 'Product Catalog'!$A:$A, 'Product Catalog'!$D:$D, 0)</f>
        <v>83.9</v>
      </c>
      <c r="N233" s="1">
        <f t="shared" si="7"/>
        <v>83.9</v>
      </c>
    </row>
    <row r="234" spans="1:14" x14ac:dyDescent="0.3">
      <c r="A234" s="1" t="s">
        <v>550</v>
      </c>
      <c r="B234" s="1" t="s">
        <v>551</v>
      </c>
      <c r="C234" s="1" t="s">
        <v>485</v>
      </c>
      <c r="D234" s="1">
        <v>1</v>
      </c>
      <c r="E234" s="12">
        <v>45804.024305555555</v>
      </c>
      <c r="F234" s="1" t="s">
        <v>12</v>
      </c>
      <c r="G234" s="1" t="s">
        <v>46</v>
      </c>
      <c r="H234" s="1" t="s">
        <v>41</v>
      </c>
      <c r="I234" s="1" t="s">
        <v>15</v>
      </c>
      <c r="J234" s="1" t="str">
        <f t="shared" si="6"/>
        <v>delivered</v>
      </c>
      <c r="K234" s="1" t="str">
        <f>_xlfn.XLOOKUP(C234, 'Product Catalog'!$A:$A, 'Product Catalog'!$B:$B, "Unknown Product")</f>
        <v>Smartwatch Model K140</v>
      </c>
      <c r="L234" s="1" t="str">
        <f>_xlfn.XLOOKUP(C234, 'Product Catalog'!$A:$A, 'Product Catalog'!$C:$C, "Unknown Category")</f>
        <v>Electronics</v>
      </c>
      <c r="M234" s="1">
        <f>_xlfn.XLOOKUP(C234, 'Product Catalog'!$A:$A, 'Product Catalog'!$D:$D, 0)</f>
        <v>221.95</v>
      </c>
      <c r="N234" s="1">
        <f t="shared" si="7"/>
        <v>221.95</v>
      </c>
    </row>
    <row r="235" spans="1:14" x14ac:dyDescent="0.3">
      <c r="A235" s="1" t="s">
        <v>552</v>
      </c>
      <c r="B235" s="1" t="s">
        <v>553</v>
      </c>
      <c r="C235" s="1" t="s">
        <v>95</v>
      </c>
      <c r="D235" s="1">
        <v>1</v>
      </c>
      <c r="E235" s="12">
        <v>45915.992361111108</v>
      </c>
      <c r="F235" s="1" t="s">
        <v>12</v>
      </c>
      <c r="G235" s="1" t="s">
        <v>109</v>
      </c>
      <c r="H235" s="1" t="s">
        <v>41</v>
      </c>
      <c r="I235" s="1" t="s">
        <v>15</v>
      </c>
      <c r="J235" s="1" t="str">
        <f t="shared" si="6"/>
        <v>delivered</v>
      </c>
      <c r="K235" s="1" t="str">
        <f>_xlfn.XLOOKUP(C235, 'Product Catalog'!$A:$A, 'Product Catalog'!$B:$B, "Unknown Product")</f>
        <v>Jacket Model U72</v>
      </c>
      <c r="L235" s="1" t="str">
        <f>_xlfn.XLOOKUP(C235, 'Product Catalog'!$A:$A, 'Product Catalog'!$C:$C, "Unknown Category")</f>
        <v>Apparel</v>
      </c>
      <c r="M235" s="1">
        <f>_xlfn.XLOOKUP(C235, 'Product Catalog'!$A:$A, 'Product Catalog'!$D:$D, 0)</f>
        <v>75.400000000000006</v>
      </c>
      <c r="N235" s="1">
        <f t="shared" si="7"/>
        <v>75.400000000000006</v>
      </c>
    </row>
    <row r="236" spans="1:14" x14ac:dyDescent="0.3">
      <c r="A236" s="1" t="s">
        <v>554</v>
      </c>
      <c r="B236" s="1" t="s">
        <v>555</v>
      </c>
      <c r="C236" s="1" t="s">
        <v>556</v>
      </c>
      <c r="D236" s="1">
        <v>1</v>
      </c>
      <c r="E236" s="12">
        <v>46003.611805555556</v>
      </c>
      <c r="F236" s="1" t="s">
        <v>12</v>
      </c>
      <c r="G236" s="1" t="s">
        <v>20</v>
      </c>
      <c r="H236" s="1" t="s">
        <v>14</v>
      </c>
      <c r="I236" s="1" t="s">
        <v>32</v>
      </c>
      <c r="J236" s="1" t="str">
        <f t="shared" si="6"/>
        <v>SHIPPED</v>
      </c>
      <c r="K236" s="1" t="str">
        <f>_xlfn.XLOOKUP(C236, 'Product Catalog'!$A:$A, 'Product Catalog'!$B:$B, "Unknown Product")</f>
        <v>Mug Model C54</v>
      </c>
      <c r="L236" s="1" t="str">
        <f>_xlfn.XLOOKUP(C236, 'Product Catalog'!$A:$A, 'Product Catalog'!$C:$C, "Unknown Category")</f>
        <v>Home Goods</v>
      </c>
      <c r="M236" s="1">
        <f>_xlfn.XLOOKUP(C236, 'Product Catalog'!$A:$A, 'Product Catalog'!$D:$D, 0)</f>
        <v>85.78</v>
      </c>
      <c r="N236" s="1">
        <f t="shared" si="7"/>
        <v>85.78</v>
      </c>
    </row>
    <row r="237" spans="1:14" x14ac:dyDescent="0.3">
      <c r="A237" s="1" t="s">
        <v>557</v>
      </c>
      <c r="B237" s="1" t="s">
        <v>29</v>
      </c>
      <c r="C237" s="1" t="s">
        <v>244</v>
      </c>
      <c r="D237" s="1">
        <v>1</v>
      </c>
      <c r="E237" s="12">
        <v>45749.152083333334</v>
      </c>
      <c r="F237" s="1" t="s">
        <v>185</v>
      </c>
      <c r="G237" s="1" t="s">
        <v>46</v>
      </c>
      <c r="H237" s="1" t="s">
        <v>14</v>
      </c>
      <c r="I237" s="1" t="s">
        <v>32</v>
      </c>
      <c r="J237" s="1" t="str">
        <f t="shared" si="6"/>
        <v>SHIPPED</v>
      </c>
      <c r="K237" s="1" t="str">
        <f>_xlfn.XLOOKUP(C237, 'Product Catalog'!$A:$A, 'Product Catalog'!$B:$B, "Unknown Product")</f>
        <v>Hoodie Model F135</v>
      </c>
      <c r="L237" s="1" t="str">
        <f>_xlfn.XLOOKUP(C237, 'Product Catalog'!$A:$A, 'Product Catalog'!$C:$C, "Unknown Category")</f>
        <v>Apparel</v>
      </c>
      <c r="M237" s="1">
        <f>_xlfn.XLOOKUP(C237, 'Product Catalog'!$A:$A, 'Product Catalog'!$D:$D, 0)</f>
        <v>46.94</v>
      </c>
      <c r="N237" s="1">
        <f t="shared" si="7"/>
        <v>46.94</v>
      </c>
    </row>
    <row r="238" spans="1:14" x14ac:dyDescent="0.3">
      <c r="A238" s="1" t="s">
        <v>558</v>
      </c>
      <c r="B238" s="1" t="s">
        <v>559</v>
      </c>
      <c r="C238" s="1" t="s">
        <v>560</v>
      </c>
      <c r="D238" s="1">
        <v>2</v>
      </c>
      <c r="E238" s="12">
        <v>45707.745138888888</v>
      </c>
      <c r="F238" s="1" t="s">
        <v>19</v>
      </c>
      <c r="G238" s="1" t="s">
        <v>109</v>
      </c>
      <c r="H238" s="1" t="s">
        <v>41</v>
      </c>
      <c r="I238" s="1" t="s">
        <v>15</v>
      </c>
      <c r="J238" s="1" t="str">
        <f t="shared" si="6"/>
        <v>delivered</v>
      </c>
      <c r="K238" s="1" t="str">
        <f>_xlfn.XLOOKUP(C238, 'Product Catalog'!$A:$A, 'Product Catalog'!$B:$B, "Unknown Product")</f>
        <v>Cloud Storage Basic Model P41</v>
      </c>
      <c r="L238" s="1" t="str">
        <f>_xlfn.XLOOKUP(C238, 'Product Catalog'!$A:$A, 'Product Catalog'!$C:$C, "Unknown Category")</f>
        <v>Digital Services</v>
      </c>
      <c r="M238" s="1">
        <f>_xlfn.XLOOKUP(C238, 'Product Catalog'!$A:$A, 'Product Catalog'!$D:$D, 0)</f>
        <v>96.93</v>
      </c>
      <c r="N238" s="1">
        <f t="shared" si="7"/>
        <v>193.86</v>
      </c>
    </row>
    <row r="239" spans="1:14" x14ac:dyDescent="0.3">
      <c r="A239" s="1" t="s">
        <v>561</v>
      </c>
      <c r="B239" s="1" t="s">
        <v>544</v>
      </c>
      <c r="C239" s="1" t="s">
        <v>498</v>
      </c>
      <c r="D239" s="1">
        <v>4</v>
      </c>
      <c r="E239" s="12">
        <v>45734.342361111114</v>
      </c>
      <c r="F239" s="1" t="s">
        <v>12</v>
      </c>
      <c r="G239" s="1" t="s">
        <v>50</v>
      </c>
      <c r="H239" s="1" t="s">
        <v>55</v>
      </c>
      <c r="I239" s="1" t="s">
        <v>102</v>
      </c>
      <c r="J239" s="1" t="str">
        <f t="shared" si="6"/>
        <v>disputed</v>
      </c>
      <c r="K239" s="1" t="str">
        <f>_xlfn.XLOOKUP(C239, 'Product Catalog'!$A:$A, 'Product Catalog'!$B:$B, "Unknown Product")</f>
        <v>Leather Handbag Model N143</v>
      </c>
      <c r="L239" s="1" t="str">
        <f>_xlfn.XLOOKUP(C239, 'Product Catalog'!$A:$A, 'Product Catalog'!$C:$C, "Unknown Category")</f>
        <v>Luxury Goods</v>
      </c>
      <c r="M239" s="1">
        <f>_xlfn.XLOOKUP(C239, 'Product Catalog'!$A:$A, 'Product Catalog'!$D:$D, 0)</f>
        <v>1374.1</v>
      </c>
      <c r="N239" s="1">
        <f t="shared" si="7"/>
        <v>5496.4</v>
      </c>
    </row>
    <row r="240" spans="1:14" x14ac:dyDescent="0.3">
      <c r="A240" s="1" t="s">
        <v>562</v>
      </c>
      <c r="B240" s="1" t="s">
        <v>17</v>
      </c>
      <c r="C240" s="1" t="s">
        <v>337</v>
      </c>
      <c r="D240" s="1">
        <v>1</v>
      </c>
      <c r="E240" s="12">
        <v>45756.881249999999</v>
      </c>
      <c r="F240" s="1" t="s">
        <v>12</v>
      </c>
      <c r="G240" s="1" t="s">
        <v>109</v>
      </c>
      <c r="H240" s="1" t="s">
        <v>24</v>
      </c>
      <c r="I240" s="1" t="s">
        <v>15</v>
      </c>
      <c r="J240" s="1" t="str">
        <f t="shared" si="6"/>
        <v>delivered</v>
      </c>
      <c r="K240" s="1" t="str">
        <f>_xlfn.XLOOKUP(C240, 'Product Catalog'!$A:$A, 'Product Catalog'!$B:$B, "Unknown Product")</f>
        <v>Webcam Model Z103</v>
      </c>
      <c r="L240" s="1" t="str">
        <f>_xlfn.XLOOKUP(C240, 'Product Catalog'!$A:$A, 'Product Catalog'!$C:$C, "Unknown Category")</f>
        <v>Electronics</v>
      </c>
      <c r="M240" s="1">
        <f>_xlfn.XLOOKUP(C240, 'Product Catalog'!$A:$A, 'Product Catalog'!$D:$D, 0)</f>
        <v>60.39</v>
      </c>
      <c r="N240" s="1">
        <f t="shared" si="7"/>
        <v>60.39</v>
      </c>
    </row>
    <row r="241" spans="1:14" x14ac:dyDescent="0.3">
      <c r="A241" s="1" t="s">
        <v>563</v>
      </c>
      <c r="B241" s="1" t="s">
        <v>53</v>
      </c>
      <c r="C241" s="1" t="s">
        <v>18</v>
      </c>
      <c r="D241" s="1">
        <v>2</v>
      </c>
      <c r="E241" s="12">
        <v>45927.35833333333</v>
      </c>
      <c r="F241" s="1" t="s">
        <v>19</v>
      </c>
      <c r="G241" s="1" t="s">
        <v>31</v>
      </c>
      <c r="H241" s="1" t="s">
        <v>41</v>
      </c>
      <c r="I241" s="1" t="s">
        <v>15</v>
      </c>
      <c r="J241" s="1" t="str">
        <f t="shared" si="6"/>
        <v>delivered</v>
      </c>
      <c r="K241" s="1" t="str">
        <f>_xlfn.XLOOKUP(C241, 'Product Catalog'!$A:$A, 'Product Catalog'!$B:$B, "Unknown Product")</f>
        <v>Sneakers Model H137</v>
      </c>
      <c r="L241" s="1" t="str">
        <f>_xlfn.XLOOKUP(C241, 'Product Catalog'!$A:$A, 'Product Catalog'!$C:$C, "Unknown Category")</f>
        <v>Apparel</v>
      </c>
      <c r="M241" s="1">
        <f>_xlfn.XLOOKUP(C241, 'Product Catalog'!$A:$A, 'Product Catalog'!$D:$D, 0)</f>
        <v>33.53</v>
      </c>
      <c r="N241" s="1">
        <f t="shared" si="7"/>
        <v>67.06</v>
      </c>
    </row>
    <row r="242" spans="1:14" x14ac:dyDescent="0.3">
      <c r="A242" s="1" t="s">
        <v>564</v>
      </c>
      <c r="B242" s="1" t="s">
        <v>183</v>
      </c>
      <c r="C242" s="1" t="s">
        <v>565</v>
      </c>
      <c r="D242" s="1">
        <v>5</v>
      </c>
      <c r="E242" s="12">
        <v>45839.379861111112</v>
      </c>
      <c r="F242" s="1" t="s">
        <v>12</v>
      </c>
      <c r="G242" s="1" t="s">
        <v>50</v>
      </c>
      <c r="H242" s="1" t="s">
        <v>41</v>
      </c>
      <c r="I242" s="1" t="s">
        <v>102</v>
      </c>
      <c r="J242" s="1" t="str">
        <f t="shared" si="6"/>
        <v>disputed</v>
      </c>
      <c r="K242" s="1" t="str">
        <f>_xlfn.XLOOKUP(C242, 'Product Catalog'!$A:$A, 'Product Catalog'!$B:$B, "Unknown Product")</f>
        <v>Mug Model X75</v>
      </c>
      <c r="L242" s="1" t="str">
        <f>_xlfn.XLOOKUP(C242, 'Product Catalog'!$A:$A, 'Product Catalog'!$C:$C, "Unknown Category")</f>
        <v>Home Goods</v>
      </c>
      <c r="M242" s="1">
        <f>_xlfn.XLOOKUP(C242, 'Product Catalog'!$A:$A, 'Product Catalog'!$D:$D, 0)</f>
        <v>40.94</v>
      </c>
      <c r="N242" s="1">
        <f t="shared" si="7"/>
        <v>204.7</v>
      </c>
    </row>
    <row r="243" spans="1:14" x14ac:dyDescent="0.3">
      <c r="A243" s="1" t="s">
        <v>566</v>
      </c>
      <c r="B243" s="1" t="s">
        <v>218</v>
      </c>
      <c r="C243" s="1" t="s">
        <v>482</v>
      </c>
      <c r="D243" s="1">
        <v>5</v>
      </c>
      <c r="E243" s="12">
        <v>45861.111805555556</v>
      </c>
      <c r="F243" s="1" t="s">
        <v>170</v>
      </c>
      <c r="G243" s="1" t="s">
        <v>40</v>
      </c>
      <c r="H243" s="1" t="s">
        <v>51</v>
      </c>
      <c r="I243" s="1" t="s">
        <v>42</v>
      </c>
      <c r="J243" s="1" t="str">
        <f t="shared" si="6"/>
        <v>PENDING_REVIEW</v>
      </c>
      <c r="K243" s="1" t="str">
        <f>_xlfn.XLOOKUP(C243, 'Product Catalog'!$A:$A, 'Product Catalog'!$B:$B, "Unknown Product")</f>
        <v>VPN 6-Month Pass Model E30</v>
      </c>
      <c r="L243" s="1" t="str">
        <f>_xlfn.XLOOKUP(C243, 'Product Catalog'!$A:$A, 'Product Catalog'!$C:$C, "Unknown Category")</f>
        <v>Digital Services</v>
      </c>
      <c r="M243" s="1">
        <f>_xlfn.XLOOKUP(C243, 'Product Catalog'!$A:$A, 'Product Catalog'!$D:$D, 0)</f>
        <v>28.63</v>
      </c>
      <c r="N243" s="1">
        <f t="shared" si="7"/>
        <v>143.15</v>
      </c>
    </row>
    <row r="244" spans="1:14" x14ac:dyDescent="0.3">
      <c r="A244" s="1" t="s">
        <v>567</v>
      </c>
      <c r="B244" s="1" t="s">
        <v>342</v>
      </c>
      <c r="C244" s="1" t="s">
        <v>359</v>
      </c>
      <c r="D244" s="1">
        <v>1</v>
      </c>
      <c r="E244" s="12">
        <v>45849.57708333333</v>
      </c>
      <c r="F244" s="1" t="s">
        <v>12</v>
      </c>
      <c r="G244" s="1" t="s">
        <v>109</v>
      </c>
      <c r="H244" s="1" t="s">
        <v>41</v>
      </c>
      <c r="I244" s="1" t="s">
        <v>15</v>
      </c>
      <c r="J244" s="1" t="str">
        <f t="shared" si="6"/>
        <v>delivered</v>
      </c>
      <c r="K244" s="1" t="str">
        <f>_xlfn.XLOOKUP(C244, 'Product Catalog'!$A:$A, 'Product Catalog'!$B:$B, "Unknown Product")</f>
        <v>Hoodie Model H111</v>
      </c>
      <c r="L244" s="1" t="str">
        <f>_xlfn.XLOOKUP(C244, 'Product Catalog'!$A:$A, 'Product Catalog'!$C:$C, "Unknown Category")</f>
        <v>Apparel</v>
      </c>
      <c r="M244" s="1">
        <f>_xlfn.XLOOKUP(C244, 'Product Catalog'!$A:$A, 'Product Catalog'!$D:$D, 0)</f>
        <v>57.44</v>
      </c>
      <c r="N244" s="1">
        <f t="shared" si="7"/>
        <v>57.44</v>
      </c>
    </row>
    <row r="245" spans="1:14" x14ac:dyDescent="0.3">
      <c r="A245" s="1" t="s">
        <v>568</v>
      </c>
      <c r="B245" s="1" t="s">
        <v>116</v>
      </c>
      <c r="C245" s="1" t="s">
        <v>30</v>
      </c>
      <c r="D245" s="1">
        <v>2</v>
      </c>
      <c r="E245" s="12">
        <v>45893.803472222222</v>
      </c>
      <c r="F245" s="1" t="s">
        <v>12</v>
      </c>
      <c r="G245" s="1" t="s">
        <v>20</v>
      </c>
      <c r="H245" s="1" t="s">
        <v>41</v>
      </c>
      <c r="I245" s="1" t="s">
        <v>15</v>
      </c>
      <c r="J245" s="1" t="str">
        <f t="shared" si="6"/>
        <v>delivered</v>
      </c>
      <c r="K245" s="1" t="str">
        <f>_xlfn.XLOOKUP(C245, 'Product Catalog'!$A:$A, 'Product Catalog'!$B:$B, "Unknown Product")</f>
        <v>VPN 6-Month Pass Model B131</v>
      </c>
      <c r="L245" s="1" t="str">
        <f>_xlfn.XLOOKUP(C245, 'Product Catalog'!$A:$A, 'Product Catalog'!$C:$C, "Unknown Category")</f>
        <v>Digital Services</v>
      </c>
      <c r="M245" s="1">
        <f>_xlfn.XLOOKUP(C245, 'Product Catalog'!$A:$A, 'Product Catalog'!$D:$D, 0)</f>
        <v>46.92</v>
      </c>
      <c r="N245" s="1">
        <f t="shared" si="7"/>
        <v>93.84</v>
      </c>
    </row>
    <row r="246" spans="1:14" x14ac:dyDescent="0.3">
      <c r="A246" s="1" t="s">
        <v>569</v>
      </c>
      <c r="B246" s="1" t="s">
        <v>570</v>
      </c>
      <c r="C246" s="1" t="s">
        <v>68</v>
      </c>
      <c r="D246" s="1">
        <v>4</v>
      </c>
      <c r="E246" s="12">
        <v>45782.990972222222</v>
      </c>
      <c r="F246" s="1" t="s">
        <v>39</v>
      </c>
      <c r="G246" s="1" t="s">
        <v>13</v>
      </c>
      <c r="H246" s="1" t="s">
        <v>51</v>
      </c>
      <c r="I246" s="1" t="s">
        <v>81</v>
      </c>
      <c r="J246" s="1" t="str">
        <f t="shared" si="6"/>
        <v>REFUNDED</v>
      </c>
      <c r="K246" s="1" t="str">
        <f>_xlfn.XLOOKUP(C246, 'Product Catalog'!$A:$A, 'Product Catalog'!$B:$B, "Unknown Product")</f>
        <v>Premium Perfume Model G32</v>
      </c>
      <c r="L246" s="1" t="str">
        <f>_xlfn.XLOOKUP(C246, 'Product Catalog'!$A:$A, 'Product Catalog'!$C:$C, "Unknown Category")</f>
        <v>Luxury Goods</v>
      </c>
      <c r="M246" s="1">
        <f>_xlfn.XLOOKUP(C246, 'Product Catalog'!$A:$A, 'Product Catalog'!$D:$D, 0)</f>
        <v>1990.92</v>
      </c>
      <c r="N246" s="1">
        <f t="shared" si="7"/>
        <v>7963.68</v>
      </c>
    </row>
    <row r="247" spans="1:14" x14ac:dyDescent="0.3">
      <c r="A247" s="1" t="s">
        <v>571</v>
      </c>
      <c r="B247" s="1" t="s">
        <v>572</v>
      </c>
      <c r="C247" s="1" t="s">
        <v>206</v>
      </c>
      <c r="D247" s="1">
        <v>1</v>
      </c>
      <c r="E247" s="12">
        <v>45773.426388888889</v>
      </c>
      <c r="F247" s="1" t="s">
        <v>19</v>
      </c>
      <c r="G247" s="1" t="s">
        <v>13</v>
      </c>
      <c r="H247" s="1" t="s">
        <v>24</v>
      </c>
      <c r="I247" s="1" t="s">
        <v>15</v>
      </c>
      <c r="J247" s="1" t="str">
        <f t="shared" si="6"/>
        <v>delivered</v>
      </c>
      <c r="K247" s="1" t="str">
        <f>_xlfn.XLOOKUP(C247, 'Product Catalog'!$A:$A, 'Product Catalog'!$B:$B, "Unknown Product")</f>
        <v>Webcam Model F31</v>
      </c>
      <c r="L247" s="1" t="str">
        <f>_xlfn.XLOOKUP(C247, 'Product Catalog'!$A:$A, 'Product Catalog'!$C:$C, "Unknown Category")</f>
        <v>Electronics</v>
      </c>
      <c r="M247" s="1">
        <f>_xlfn.XLOOKUP(C247, 'Product Catalog'!$A:$A, 'Product Catalog'!$D:$D, 0)</f>
        <v>184.37</v>
      </c>
      <c r="N247" s="1">
        <f t="shared" si="7"/>
        <v>184.37</v>
      </c>
    </row>
    <row r="248" spans="1:14" x14ac:dyDescent="0.3">
      <c r="A248" s="1" t="s">
        <v>573</v>
      </c>
      <c r="B248" s="1" t="s">
        <v>121</v>
      </c>
      <c r="C248" s="1" t="s">
        <v>542</v>
      </c>
      <c r="D248" s="1">
        <v>4</v>
      </c>
      <c r="E248" s="12">
        <v>46008.114583333336</v>
      </c>
      <c r="F248" s="1" t="s">
        <v>19</v>
      </c>
      <c r="G248" s="1" t="s">
        <v>40</v>
      </c>
      <c r="H248" s="1" t="s">
        <v>51</v>
      </c>
      <c r="I248" s="1" t="s">
        <v>56</v>
      </c>
      <c r="J248" s="1" t="str">
        <f t="shared" si="6"/>
        <v>cancelled</v>
      </c>
      <c r="K248" s="1" t="str">
        <f>_xlfn.XLOOKUP(C248, 'Product Catalog'!$A:$A, 'Product Catalog'!$B:$B, "Unknown Product")</f>
        <v>Cable Model M38</v>
      </c>
      <c r="L248" s="1" t="str">
        <f>_xlfn.XLOOKUP(C248, 'Product Catalog'!$A:$A, 'Product Catalog'!$C:$C, "Unknown Category")</f>
        <v>Electronics</v>
      </c>
      <c r="M248" s="1">
        <f>_xlfn.XLOOKUP(C248, 'Product Catalog'!$A:$A, 'Product Catalog'!$D:$D, 0)</f>
        <v>91.18</v>
      </c>
      <c r="N248" s="1">
        <f t="shared" si="7"/>
        <v>364.72</v>
      </c>
    </row>
    <row r="249" spans="1:14" x14ac:dyDescent="0.3">
      <c r="A249" s="1" t="s">
        <v>574</v>
      </c>
      <c r="B249" s="1" t="s">
        <v>575</v>
      </c>
      <c r="C249" s="1" t="s">
        <v>224</v>
      </c>
      <c r="D249" s="1">
        <v>1</v>
      </c>
      <c r="E249" s="12">
        <v>45992.923611111109</v>
      </c>
      <c r="F249" s="1" t="s">
        <v>12</v>
      </c>
      <c r="G249" s="1" t="s">
        <v>20</v>
      </c>
      <c r="H249" s="1" t="s">
        <v>41</v>
      </c>
      <c r="I249" s="1" t="s">
        <v>32</v>
      </c>
      <c r="J249" s="1" t="str">
        <f t="shared" si="6"/>
        <v>SHIPPED</v>
      </c>
      <c r="K249" s="1" t="str">
        <f>_xlfn.XLOOKUP(C249, 'Product Catalog'!$A:$A, 'Product Catalog'!$B:$B, "Unknown Product")</f>
        <v>Organizer Model P93</v>
      </c>
      <c r="L249" s="1" t="str">
        <f>_xlfn.XLOOKUP(C249, 'Product Catalog'!$A:$A, 'Product Catalog'!$C:$C, "Unknown Category")</f>
        <v>Home Goods</v>
      </c>
      <c r="M249" s="1">
        <f>_xlfn.XLOOKUP(C249, 'Product Catalog'!$A:$A, 'Product Catalog'!$D:$D, 0)</f>
        <v>175.55</v>
      </c>
      <c r="N249" s="1">
        <f t="shared" si="7"/>
        <v>175.55</v>
      </c>
    </row>
    <row r="250" spans="1:14" x14ac:dyDescent="0.3">
      <c r="A250" s="1" t="s">
        <v>576</v>
      </c>
      <c r="B250" s="1" t="s">
        <v>67</v>
      </c>
      <c r="C250" s="1" t="s">
        <v>320</v>
      </c>
      <c r="D250" s="1">
        <v>4</v>
      </c>
      <c r="E250" s="12">
        <v>45674.132638888892</v>
      </c>
      <c r="F250" s="1" t="s">
        <v>19</v>
      </c>
      <c r="G250" s="1" t="s">
        <v>40</v>
      </c>
      <c r="H250" s="1" t="s">
        <v>51</v>
      </c>
      <c r="I250" s="1" t="s">
        <v>102</v>
      </c>
      <c r="J250" s="1" t="str">
        <f t="shared" si="6"/>
        <v>disputed</v>
      </c>
      <c r="K250" s="1" t="str">
        <f>_xlfn.XLOOKUP(C250, 'Product Catalog'!$A:$A, 'Product Catalog'!$B:$B, "Unknown Product")</f>
        <v>Premium Stream 1M Model Y24</v>
      </c>
      <c r="L250" s="1" t="str">
        <f>_xlfn.XLOOKUP(C250, 'Product Catalog'!$A:$A, 'Product Catalog'!$C:$C, "Unknown Category")</f>
        <v>Digital Services</v>
      </c>
      <c r="M250" s="1">
        <f>_xlfn.XLOOKUP(C250, 'Product Catalog'!$A:$A, 'Product Catalog'!$D:$D, 0)</f>
        <v>29.9</v>
      </c>
      <c r="N250" s="1">
        <f t="shared" si="7"/>
        <v>119.6</v>
      </c>
    </row>
    <row r="251" spans="1:14" x14ac:dyDescent="0.3">
      <c r="A251" s="1" t="s">
        <v>577</v>
      </c>
      <c r="B251" s="1" t="s">
        <v>215</v>
      </c>
      <c r="C251" s="1" t="s">
        <v>203</v>
      </c>
      <c r="D251" s="1">
        <v>2</v>
      </c>
      <c r="E251" s="12">
        <v>45865.538888888892</v>
      </c>
      <c r="F251" s="1" t="s">
        <v>19</v>
      </c>
      <c r="G251" s="1" t="s">
        <v>13</v>
      </c>
      <c r="H251" s="1" t="s">
        <v>41</v>
      </c>
      <c r="I251" s="1" t="s">
        <v>15</v>
      </c>
      <c r="J251" s="1" t="str">
        <f t="shared" si="6"/>
        <v>delivered</v>
      </c>
      <c r="K251" s="1" t="str">
        <f>_xlfn.XLOOKUP(C251, 'Product Catalog'!$A:$A, 'Product Catalog'!$B:$B, "Unknown Product")</f>
        <v>Pillow Model R17</v>
      </c>
      <c r="L251" s="1" t="str">
        <f>_xlfn.XLOOKUP(C251, 'Product Catalog'!$A:$A, 'Product Catalog'!$C:$C, "Unknown Category")</f>
        <v>Home Goods</v>
      </c>
      <c r="M251" s="1">
        <f>_xlfn.XLOOKUP(C251, 'Product Catalog'!$A:$A, 'Product Catalog'!$D:$D, 0)</f>
        <v>169.86</v>
      </c>
      <c r="N251" s="1">
        <f t="shared" si="7"/>
        <v>339.72</v>
      </c>
    </row>
    <row r="252" spans="1:14" x14ac:dyDescent="0.3">
      <c r="A252" s="1" t="s">
        <v>578</v>
      </c>
      <c r="B252" s="1" t="s">
        <v>439</v>
      </c>
      <c r="C252" s="1" t="s">
        <v>402</v>
      </c>
      <c r="D252" s="1">
        <v>2</v>
      </c>
      <c r="E252" s="12">
        <v>45851.785416666666</v>
      </c>
      <c r="F252" s="1" t="s">
        <v>12</v>
      </c>
      <c r="G252" s="1" t="s">
        <v>109</v>
      </c>
      <c r="H252" s="1" t="s">
        <v>41</v>
      </c>
      <c r="I252" s="1" t="s">
        <v>15</v>
      </c>
      <c r="J252" s="1" t="str">
        <f t="shared" si="6"/>
        <v>delivered</v>
      </c>
      <c r="K252" s="1" t="str">
        <f>_xlfn.XLOOKUP(C252, 'Product Catalog'!$A:$A, 'Product Catalog'!$B:$B, "Unknown Product")</f>
        <v>Software License Tier A Model J139</v>
      </c>
      <c r="L252" s="1" t="str">
        <f>_xlfn.XLOOKUP(C252, 'Product Catalog'!$A:$A, 'Product Catalog'!$C:$C, "Unknown Category")</f>
        <v>Digital Services</v>
      </c>
      <c r="M252" s="1">
        <f>_xlfn.XLOOKUP(C252, 'Product Catalog'!$A:$A, 'Product Catalog'!$D:$D, 0)</f>
        <v>90.05</v>
      </c>
      <c r="N252" s="1">
        <f t="shared" si="7"/>
        <v>180.1</v>
      </c>
    </row>
    <row r="253" spans="1:14" x14ac:dyDescent="0.3">
      <c r="A253" s="1" t="s">
        <v>579</v>
      </c>
      <c r="B253" s="1" t="s">
        <v>53</v>
      </c>
      <c r="C253" s="1" t="s">
        <v>531</v>
      </c>
      <c r="D253" s="1">
        <v>1</v>
      </c>
      <c r="E253" s="12">
        <v>45901.07916666667</v>
      </c>
      <c r="F253" s="1" t="s">
        <v>12</v>
      </c>
      <c r="G253" s="1" t="s">
        <v>31</v>
      </c>
      <c r="H253" s="1" t="s">
        <v>41</v>
      </c>
      <c r="I253" s="1" t="s">
        <v>15</v>
      </c>
      <c r="J253" s="1" t="str">
        <f t="shared" si="6"/>
        <v>delivered</v>
      </c>
      <c r="K253" s="1" t="str">
        <f>_xlfn.XLOOKUP(C253, 'Product Catalog'!$A:$A, 'Product Catalog'!$B:$B, "Unknown Product")</f>
        <v>Organizer Model Y102</v>
      </c>
      <c r="L253" s="1" t="str">
        <f>_xlfn.XLOOKUP(C253, 'Product Catalog'!$A:$A, 'Product Catalog'!$C:$C, "Unknown Category")</f>
        <v>Home Goods</v>
      </c>
      <c r="M253" s="1">
        <f>_xlfn.XLOOKUP(C253, 'Product Catalog'!$A:$A, 'Product Catalog'!$D:$D, 0)</f>
        <v>147.26</v>
      </c>
      <c r="N253" s="1">
        <f t="shared" si="7"/>
        <v>147.26</v>
      </c>
    </row>
    <row r="254" spans="1:14" x14ac:dyDescent="0.3">
      <c r="A254" s="1" t="s">
        <v>580</v>
      </c>
      <c r="B254" s="1" t="s">
        <v>581</v>
      </c>
      <c r="C254" s="1" t="s">
        <v>148</v>
      </c>
      <c r="D254" s="1">
        <v>4</v>
      </c>
      <c r="E254" s="12">
        <v>45984.013194444444</v>
      </c>
      <c r="F254" s="1" t="s">
        <v>170</v>
      </c>
      <c r="G254" s="1" t="s">
        <v>50</v>
      </c>
      <c r="H254" s="1" t="s">
        <v>51</v>
      </c>
      <c r="I254" s="1" t="s">
        <v>81</v>
      </c>
      <c r="J254" s="1" t="str">
        <f t="shared" si="6"/>
        <v>REFUNDED</v>
      </c>
      <c r="K254" s="1" t="str">
        <f>_xlfn.XLOOKUP(C254, 'Product Catalog'!$A:$A, 'Product Catalog'!$B:$B, "Unknown Product")</f>
        <v>Charger Model W100</v>
      </c>
      <c r="L254" s="1" t="str">
        <f>_xlfn.XLOOKUP(C254, 'Product Catalog'!$A:$A, 'Product Catalog'!$C:$C, "Unknown Category")</f>
        <v>Electronics</v>
      </c>
      <c r="M254" s="1">
        <f>_xlfn.XLOOKUP(C254, 'Product Catalog'!$A:$A, 'Product Catalog'!$D:$D, 0)</f>
        <v>219.96</v>
      </c>
      <c r="N254" s="1">
        <f t="shared" si="7"/>
        <v>879.84</v>
      </c>
    </row>
    <row r="255" spans="1:14" x14ac:dyDescent="0.3">
      <c r="A255" s="1" t="s">
        <v>582</v>
      </c>
      <c r="B255" s="1" t="s">
        <v>22</v>
      </c>
      <c r="C255" s="1" t="s">
        <v>224</v>
      </c>
      <c r="D255" s="1">
        <v>1</v>
      </c>
      <c r="E255" s="12">
        <v>46017.243055555555</v>
      </c>
      <c r="F255" s="1" t="s">
        <v>19</v>
      </c>
      <c r="G255" s="1" t="s">
        <v>46</v>
      </c>
      <c r="H255" s="1" t="s">
        <v>14</v>
      </c>
      <c r="I255" s="1" t="s">
        <v>15</v>
      </c>
      <c r="J255" s="1" t="str">
        <f t="shared" si="6"/>
        <v>delivered</v>
      </c>
      <c r="K255" s="1" t="str">
        <f>_xlfn.XLOOKUP(C255, 'Product Catalog'!$A:$A, 'Product Catalog'!$B:$B, "Unknown Product")</f>
        <v>Organizer Model P93</v>
      </c>
      <c r="L255" s="1" t="str">
        <f>_xlfn.XLOOKUP(C255, 'Product Catalog'!$A:$A, 'Product Catalog'!$C:$C, "Unknown Category")</f>
        <v>Home Goods</v>
      </c>
      <c r="M255" s="1">
        <f>_xlfn.XLOOKUP(C255, 'Product Catalog'!$A:$A, 'Product Catalog'!$D:$D, 0)</f>
        <v>175.55</v>
      </c>
      <c r="N255" s="1">
        <f t="shared" si="7"/>
        <v>175.55</v>
      </c>
    </row>
    <row r="256" spans="1:14" x14ac:dyDescent="0.3">
      <c r="A256" s="1" t="s">
        <v>583</v>
      </c>
      <c r="B256" s="1" t="s">
        <v>584</v>
      </c>
      <c r="C256" s="1" t="s">
        <v>278</v>
      </c>
      <c r="D256" s="1">
        <v>1</v>
      </c>
      <c r="E256" s="12">
        <v>45700.710416666669</v>
      </c>
      <c r="F256" s="1" t="s">
        <v>39</v>
      </c>
      <c r="G256" s="1" t="s">
        <v>40</v>
      </c>
      <c r="H256" s="1" t="s">
        <v>51</v>
      </c>
      <c r="I256" s="1" t="s">
        <v>102</v>
      </c>
      <c r="J256" s="1" t="str">
        <f t="shared" si="6"/>
        <v>disputed</v>
      </c>
      <c r="K256" s="1" t="str">
        <f>_xlfn.XLOOKUP(C256, 'Product Catalog'!$A:$A, 'Product Catalog'!$B:$B, "Unknown Product")</f>
        <v>Premium Stream 1M Model L115</v>
      </c>
      <c r="L256" s="1" t="str">
        <f>_xlfn.XLOOKUP(C256, 'Product Catalog'!$A:$A, 'Product Catalog'!$C:$C, "Unknown Category")</f>
        <v>Digital Services</v>
      </c>
      <c r="M256" s="1">
        <f>_xlfn.XLOOKUP(C256, 'Product Catalog'!$A:$A, 'Product Catalog'!$D:$D, 0)</f>
        <v>62.86</v>
      </c>
      <c r="N256" s="1">
        <f t="shared" si="7"/>
        <v>62.86</v>
      </c>
    </row>
    <row r="257" spans="1:14" x14ac:dyDescent="0.3">
      <c r="A257" s="1" t="s">
        <v>585</v>
      </c>
      <c r="B257" s="1" t="s">
        <v>468</v>
      </c>
      <c r="C257" s="1" t="s">
        <v>586</v>
      </c>
      <c r="D257" s="1">
        <v>5</v>
      </c>
      <c r="E257" s="12">
        <v>45880.916666666664</v>
      </c>
      <c r="F257" s="1" t="s">
        <v>39</v>
      </c>
      <c r="G257" s="1" t="s">
        <v>20</v>
      </c>
      <c r="H257" s="1" t="s">
        <v>51</v>
      </c>
      <c r="I257" s="1" t="s">
        <v>42</v>
      </c>
      <c r="J257" s="1" t="str">
        <f t="shared" si="6"/>
        <v>PENDING_REVIEW</v>
      </c>
      <c r="K257" s="1" t="str">
        <f>_xlfn.XLOOKUP(C257, 'Product Catalog'!$A:$A, 'Product Catalog'!$B:$B, "Unknown Product")</f>
        <v>Designer Watch Model E82</v>
      </c>
      <c r="L257" s="1" t="str">
        <f>_xlfn.XLOOKUP(C257, 'Product Catalog'!$A:$A, 'Product Catalog'!$C:$C, "Unknown Category")</f>
        <v>Luxury Goods</v>
      </c>
      <c r="M257" s="1">
        <f>_xlfn.XLOOKUP(C257, 'Product Catalog'!$A:$A, 'Product Catalog'!$D:$D, 0)</f>
        <v>1769.3</v>
      </c>
      <c r="N257" s="1">
        <f t="shared" si="7"/>
        <v>8846.5</v>
      </c>
    </row>
    <row r="258" spans="1:14" x14ac:dyDescent="0.3">
      <c r="A258" s="1" t="s">
        <v>587</v>
      </c>
      <c r="B258" s="1" t="s">
        <v>226</v>
      </c>
      <c r="C258" s="1" t="s">
        <v>108</v>
      </c>
      <c r="D258" s="1">
        <v>1</v>
      </c>
      <c r="E258" s="12">
        <v>45827.804166666669</v>
      </c>
      <c r="F258" s="1" t="s">
        <v>19</v>
      </c>
      <c r="G258" s="1" t="s">
        <v>31</v>
      </c>
      <c r="H258" s="1" t="s">
        <v>41</v>
      </c>
      <c r="I258" s="1" t="s">
        <v>15</v>
      </c>
      <c r="J258" s="1" t="str">
        <f t="shared" ref="J258:J321" si="8">TRIM(I258)</f>
        <v>delivered</v>
      </c>
      <c r="K258" s="1" t="str">
        <f>_xlfn.XLOOKUP(C258, 'Product Catalog'!$A:$A, 'Product Catalog'!$B:$B, "Unknown Product")</f>
        <v>Smartwatch Model H7</v>
      </c>
      <c r="L258" s="1" t="str">
        <f>_xlfn.XLOOKUP(C258, 'Product Catalog'!$A:$A, 'Product Catalog'!$C:$C, "Unknown Category")</f>
        <v>Electronics</v>
      </c>
      <c r="M258" s="1">
        <f>_xlfn.XLOOKUP(C258, 'Product Catalog'!$A:$A, 'Product Catalog'!$D:$D, 0)</f>
        <v>204.37</v>
      </c>
      <c r="N258" s="1">
        <f t="shared" ref="N258:N321" si="9">D258 * M258</f>
        <v>204.37</v>
      </c>
    </row>
    <row r="259" spans="1:14" x14ac:dyDescent="0.3">
      <c r="A259" s="1" t="s">
        <v>588</v>
      </c>
      <c r="B259" s="1" t="s">
        <v>589</v>
      </c>
      <c r="C259" s="1" t="s">
        <v>38</v>
      </c>
      <c r="D259" s="1">
        <v>1</v>
      </c>
      <c r="E259" s="12">
        <v>45706.750694444447</v>
      </c>
      <c r="F259" s="1" t="s">
        <v>12</v>
      </c>
      <c r="G259" s="1" t="s">
        <v>46</v>
      </c>
      <c r="H259" s="1" t="s">
        <v>41</v>
      </c>
      <c r="I259" s="1" t="s">
        <v>15</v>
      </c>
      <c r="J259" s="1" t="str">
        <f t="shared" si="8"/>
        <v>delivered</v>
      </c>
      <c r="K259" s="1" t="str">
        <f>_xlfn.XLOOKUP(C259, 'Product Catalog'!$A:$A, 'Product Catalog'!$B:$B, "Unknown Product")</f>
        <v>VPN 6-Month Pass Model V73</v>
      </c>
      <c r="L259" s="1" t="str">
        <f>_xlfn.XLOOKUP(C259, 'Product Catalog'!$A:$A, 'Product Catalog'!$C:$C, "Unknown Category")</f>
        <v>Digital Services</v>
      </c>
      <c r="M259" s="1">
        <f>_xlfn.XLOOKUP(C259, 'Product Catalog'!$A:$A, 'Product Catalog'!$D:$D, 0)</f>
        <v>58.13</v>
      </c>
      <c r="N259" s="1">
        <f t="shared" si="9"/>
        <v>58.13</v>
      </c>
    </row>
    <row r="260" spans="1:14" x14ac:dyDescent="0.3">
      <c r="A260" s="1" t="s">
        <v>590</v>
      </c>
      <c r="B260" s="1" t="s">
        <v>591</v>
      </c>
      <c r="C260" s="1" t="s">
        <v>592</v>
      </c>
      <c r="D260" s="1">
        <v>3</v>
      </c>
      <c r="E260" s="12">
        <v>45679.326388888891</v>
      </c>
      <c r="F260" s="1" t="s">
        <v>19</v>
      </c>
      <c r="G260" s="1" t="s">
        <v>31</v>
      </c>
      <c r="H260" s="1" t="s">
        <v>24</v>
      </c>
      <c r="I260" s="1" t="s">
        <v>15</v>
      </c>
      <c r="J260" s="1" t="str">
        <f t="shared" si="8"/>
        <v>delivered</v>
      </c>
      <c r="K260" s="1" t="str">
        <f>_xlfn.XLOOKUP(C260, 'Product Catalog'!$A:$A, 'Product Catalog'!$B:$B, "Unknown Product")</f>
        <v>Blender Model Q94</v>
      </c>
      <c r="L260" s="1" t="str">
        <f>_xlfn.XLOOKUP(C260, 'Product Catalog'!$A:$A, 'Product Catalog'!$C:$C, "Unknown Category")</f>
        <v>Home Goods</v>
      </c>
      <c r="M260" s="1">
        <f>_xlfn.XLOOKUP(C260, 'Product Catalog'!$A:$A, 'Product Catalog'!$D:$D, 0)</f>
        <v>129.13</v>
      </c>
      <c r="N260" s="1">
        <f t="shared" si="9"/>
        <v>387.39</v>
      </c>
    </row>
    <row r="261" spans="1:14" x14ac:dyDescent="0.3">
      <c r="A261" s="1" t="s">
        <v>593</v>
      </c>
      <c r="B261" s="1" t="s">
        <v>212</v>
      </c>
      <c r="C261" s="1" t="s">
        <v>35</v>
      </c>
      <c r="D261" s="1">
        <v>3</v>
      </c>
      <c r="E261" s="12">
        <v>45766.984027777777</v>
      </c>
      <c r="F261" s="1" t="s">
        <v>19</v>
      </c>
      <c r="G261" s="1" t="s">
        <v>31</v>
      </c>
      <c r="H261" s="1" t="s">
        <v>41</v>
      </c>
      <c r="I261" s="1" t="s">
        <v>15</v>
      </c>
      <c r="J261" s="1" t="str">
        <f t="shared" si="8"/>
        <v>delivered</v>
      </c>
      <c r="K261" s="1" t="str">
        <f>_xlfn.XLOOKUP(C261, 'Product Catalog'!$A:$A, 'Product Catalog'!$B:$B, "Unknown Product")</f>
        <v>Blender Model W74</v>
      </c>
      <c r="L261" s="1" t="str">
        <f>_xlfn.XLOOKUP(C261, 'Product Catalog'!$A:$A, 'Product Catalog'!$C:$C, "Unknown Category")</f>
        <v>Home Goods</v>
      </c>
      <c r="M261" s="1">
        <f>_xlfn.XLOOKUP(C261, 'Product Catalog'!$A:$A, 'Product Catalog'!$D:$D, 0)</f>
        <v>127.16</v>
      </c>
      <c r="N261" s="1">
        <f t="shared" si="9"/>
        <v>381.48</v>
      </c>
    </row>
    <row r="262" spans="1:14" x14ac:dyDescent="0.3">
      <c r="A262" s="1" t="s">
        <v>594</v>
      </c>
      <c r="B262" s="1" t="s">
        <v>292</v>
      </c>
      <c r="C262" s="1" t="s">
        <v>415</v>
      </c>
      <c r="D262" s="1">
        <v>4</v>
      </c>
      <c r="E262" s="12">
        <v>45948.675694444442</v>
      </c>
      <c r="F262" s="1" t="s">
        <v>12</v>
      </c>
      <c r="G262" s="1" t="s">
        <v>50</v>
      </c>
      <c r="H262" s="1" t="s">
        <v>51</v>
      </c>
      <c r="I262" s="1" t="s">
        <v>81</v>
      </c>
      <c r="J262" s="1" t="str">
        <f t="shared" si="8"/>
        <v>REFUNDED</v>
      </c>
      <c r="K262" s="1" t="str">
        <f>_xlfn.XLOOKUP(C262, 'Product Catalog'!$A:$A, 'Product Catalog'!$B:$B, "Unknown Product")</f>
        <v>Premium Stream 1M Model S148</v>
      </c>
      <c r="L262" s="1" t="str">
        <f>_xlfn.XLOOKUP(C262, 'Product Catalog'!$A:$A, 'Product Catalog'!$C:$C, "Unknown Category")</f>
        <v>Digital Services</v>
      </c>
      <c r="M262" s="1">
        <f>_xlfn.XLOOKUP(C262, 'Product Catalog'!$A:$A, 'Product Catalog'!$D:$D, 0)</f>
        <v>9.73</v>
      </c>
      <c r="N262" s="1">
        <f t="shared" si="9"/>
        <v>38.92</v>
      </c>
    </row>
    <row r="263" spans="1:14" x14ac:dyDescent="0.3">
      <c r="A263" s="1" t="s">
        <v>595</v>
      </c>
      <c r="B263" s="1" t="s">
        <v>570</v>
      </c>
      <c r="C263" s="1" t="s">
        <v>244</v>
      </c>
      <c r="D263" s="1">
        <v>1</v>
      </c>
      <c r="E263" s="12">
        <v>45796.065972222219</v>
      </c>
      <c r="F263" s="1" t="s">
        <v>19</v>
      </c>
      <c r="G263" s="1" t="s">
        <v>13</v>
      </c>
      <c r="H263" s="1" t="s">
        <v>24</v>
      </c>
      <c r="I263" s="1" t="s">
        <v>32</v>
      </c>
      <c r="J263" s="1" t="str">
        <f t="shared" si="8"/>
        <v>SHIPPED</v>
      </c>
      <c r="K263" s="1" t="str">
        <f>_xlfn.XLOOKUP(C263, 'Product Catalog'!$A:$A, 'Product Catalog'!$B:$B, "Unknown Product")</f>
        <v>Hoodie Model F135</v>
      </c>
      <c r="L263" s="1" t="str">
        <f>_xlfn.XLOOKUP(C263, 'Product Catalog'!$A:$A, 'Product Catalog'!$C:$C, "Unknown Category")</f>
        <v>Apparel</v>
      </c>
      <c r="M263" s="1">
        <f>_xlfn.XLOOKUP(C263, 'Product Catalog'!$A:$A, 'Product Catalog'!$D:$D, 0)</f>
        <v>46.94</v>
      </c>
      <c r="N263" s="1">
        <f t="shared" si="9"/>
        <v>46.94</v>
      </c>
    </row>
    <row r="264" spans="1:14" x14ac:dyDescent="0.3">
      <c r="A264" s="1" t="s">
        <v>596</v>
      </c>
      <c r="B264" s="1" t="s">
        <v>22</v>
      </c>
      <c r="C264" s="1" t="s">
        <v>30</v>
      </c>
      <c r="D264" s="1">
        <v>2</v>
      </c>
      <c r="E264" s="12">
        <v>45696.972916666666</v>
      </c>
      <c r="F264" s="1" t="s">
        <v>19</v>
      </c>
      <c r="G264" s="1" t="s">
        <v>20</v>
      </c>
      <c r="H264" s="1" t="s">
        <v>41</v>
      </c>
      <c r="I264" s="1" t="s">
        <v>15</v>
      </c>
      <c r="J264" s="1" t="str">
        <f t="shared" si="8"/>
        <v>delivered</v>
      </c>
      <c r="K264" s="1" t="str">
        <f>_xlfn.XLOOKUP(C264, 'Product Catalog'!$A:$A, 'Product Catalog'!$B:$B, "Unknown Product")</f>
        <v>VPN 6-Month Pass Model B131</v>
      </c>
      <c r="L264" s="1" t="str">
        <f>_xlfn.XLOOKUP(C264, 'Product Catalog'!$A:$A, 'Product Catalog'!$C:$C, "Unknown Category")</f>
        <v>Digital Services</v>
      </c>
      <c r="M264" s="1">
        <f>_xlfn.XLOOKUP(C264, 'Product Catalog'!$A:$A, 'Product Catalog'!$D:$D, 0)</f>
        <v>46.92</v>
      </c>
      <c r="N264" s="1">
        <f t="shared" si="9"/>
        <v>93.84</v>
      </c>
    </row>
    <row r="265" spans="1:14" x14ac:dyDescent="0.3">
      <c r="A265" s="1" t="s">
        <v>597</v>
      </c>
      <c r="B265" s="1" t="s">
        <v>598</v>
      </c>
      <c r="C265" s="1" t="s">
        <v>35</v>
      </c>
      <c r="D265" s="1">
        <v>1</v>
      </c>
      <c r="E265" s="12">
        <v>45801.772222222222</v>
      </c>
      <c r="F265" s="1" t="s">
        <v>19</v>
      </c>
      <c r="G265" s="1" t="s">
        <v>109</v>
      </c>
      <c r="H265" s="1" t="s">
        <v>14</v>
      </c>
      <c r="I265" s="1" t="s">
        <v>15</v>
      </c>
      <c r="J265" s="1" t="str">
        <f t="shared" si="8"/>
        <v>delivered</v>
      </c>
      <c r="K265" s="1" t="str">
        <f>_xlfn.XLOOKUP(C265, 'Product Catalog'!$A:$A, 'Product Catalog'!$B:$B, "Unknown Product")</f>
        <v>Blender Model W74</v>
      </c>
      <c r="L265" s="1" t="str">
        <f>_xlfn.XLOOKUP(C265, 'Product Catalog'!$A:$A, 'Product Catalog'!$C:$C, "Unknown Category")</f>
        <v>Home Goods</v>
      </c>
      <c r="M265" s="1">
        <f>_xlfn.XLOOKUP(C265, 'Product Catalog'!$A:$A, 'Product Catalog'!$D:$D, 0)</f>
        <v>127.16</v>
      </c>
      <c r="N265" s="1">
        <f t="shared" si="9"/>
        <v>127.16</v>
      </c>
    </row>
    <row r="266" spans="1:14" x14ac:dyDescent="0.3">
      <c r="A266" s="1" t="s">
        <v>599</v>
      </c>
      <c r="B266" s="1" t="s">
        <v>502</v>
      </c>
      <c r="C266" s="1" t="s">
        <v>415</v>
      </c>
      <c r="D266" s="1">
        <v>5</v>
      </c>
      <c r="E266" s="12">
        <v>45946.935416666667</v>
      </c>
      <c r="F266" s="1" t="s">
        <v>12</v>
      </c>
      <c r="G266" s="1" t="s">
        <v>40</v>
      </c>
      <c r="H266" s="1" t="s">
        <v>51</v>
      </c>
      <c r="I266" s="1" t="s">
        <v>56</v>
      </c>
      <c r="J266" s="1" t="str">
        <f t="shared" si="8"/>
        <v>cancelled</v>
      </c>
      <c r="K266" s="1" t="str">
        <f>_xlfn.XLOOKUP(C266, 'Product Catalog'!$A:$A, 'Product Catalog'!$B:$B, "Unknown Product")</f>
        <v>Premium Stream 1M Model S148</v>
      </c>
      <c r="L266" s="1" t="str">
        <f>_xlfn.XLOOKUP(C266, 'Product Catalog'!$A:$A, 'Product Catalog'!$C:$C, "Unknown Category")</f>
        <v>Digital Services</v>
      </c>
      <c r="M266" s="1">
        <f>_xlfn.XLOOKUP(C266, 'Product Catalog'!$A:$A, 'Product Catalog'!$D:$D, 0)</f>
        <v>9.73</v>
      </c>
      <c r="N266" s="1">
        <f t="shared" si="9"/>
        <v>48.650000000000006</v>
      </c>
    </row>
    <row r="267" spans="1:14" x14ac:dyDescent="0.3">
      <c r="A267" s="1" t="s">
        <v>600</v>
      </c>
      <c r="B267" s="1" t="s">
        <v>601</v>
      </c>
      <c r="C267" s="1" t="s">
        <v>473</v>
      </c>
      <c r="D267" s="1">
        <v>1</v>
      </c>
      <c r="E267" s="12">
        <v>45674.254861111112</v>
      </c>
      <c r="F267" s="1" t="s">
        <v>19</v>
      </c>
      <c r="G267" s="1" t="s">
        <v>46</v>
      </c>
      <c r="H267" s="1" t="s">
        <v>41</v>
      </c>
      <c r="I267" s="1" t="s">
        <v>15</v>
      </c>
      <c r="J267" s="1" t="str">
        <f t="shared" si="8"/>
        <v>delivered</v>
      </c>
      <c r="K267" s="1" t="str">
        <f>_xlfn.XLOOKUP(C267, 'Product Catalog'!$A:$A, 'Product Catalog'!$B:$B, "Unknown Product")</f>
        <v>Desk Lamp Model I138</v>
      </c>
      <c r="L267" s="1" t="str">
        <f>_xlfn.XLOOKUP(C267, 'Product Catalog'!$A:$A, 'Product Catalog'!$C:$C, "Unknown Category")</f>
        <v>Home Goods</v>
      </c>
      <c r="M267" s="1">
        <f>_xlfn.XLOOKUP(C267, 'Product Catalog'!$A:$A, 'Product Catalog'!$D:$D, 0)</f>
        <v>94.55</v>
      </c>
      <c r="N267" s="1">
        <f t="shared" si="9"/>
        <v>94.55</v>
      </c>
    </row>
    <row r="268" spans="1:14" x14ac:dyDescent="0.3">
      <c r="A268" s="1" t="s">
        <v>602</v>
      </c>
      <c r="B268" s="1" t="s">
        <v>603</v>
      </c>
      <c r="C268" s="1" t="s">
        <v>151</v>
      </c>
      <c r="D268" s="1">
        <v>1</v>
      </c>
      <c r="E268" s="12">
        <v>45819.022222222222</v>
      </c>
      <c r="F268" s="1" t="s">
        <v>19</v>
      </c>
      <c r="G268" s="1" t="s">
        <v>50</v>
      </c>
      <c r="H268" s="1" t="s">
        <v>41</v>
      </c>
      <c r="I268" s="1" t="s">
        <v>81</v>
      </c>
      <c r="J268" s="1" t="str">
        <f t="shared" si="8"/>
        <v>REFUNDED</v>
      </c>
      <c r="K268" s="1" t="str">
        <f>_xlfn.XLOOKUP(C268, 'Product Catalog'!$A:$A, 'Product Catalog'!$B:$B, "Unknown Product")</f>
        <v>Hoodie Model R43</v>
      </c>
      <c r="L268" s="1" t="str">
        <f>_xlfn.XLOOKUP(C268, 'Product Catalog'!$A:$A, 'Product Catalog'!$C:$C, "Unknown Category")</f>
        <v>Apparel</v>
      </c>
      <c r="M268" s="1">
        <f>_xlfn.XLOOKUP(C268, 'Product Catalog'!$A:$A, 'Product Catalog'!$D:$D, 0)</f>
        <v>68.040000000000006</v>
      </c>
      <c r="N268" s="1">
        <f t="shared" si="9"/>
        <v>68.040000000000006</v>
      </c>
    </row>
    <row r="269" spans="1:14" x14ac:dyDescent="0.3">
      <c r="A269" s="1" t="s">
        <v>604</v>
      </c>
      <c r="B269" s="1" t="s">
        <v>605</v>
      </c>
      <c r="C269" s="1" t="s">
        <v>409</v>
      </c>
      <c r="D269" s="1">
        <v>2</v>
      </c>
      <c r="E269" s="12">
        <v>45764.834722222222</v>
      </c>
      <c r="F269" s="1" t="s">
        <v>12</v>
      </c>
      <c r="G269" s="1" t="s">
        <v>46</v>
      </c>
      <c r="H269" s="1" t="s">
        <v>24</v>
      </c>
      <c r="I269" s="1" t="s">
        <v>15</v>
      </c>
      <c r="J269" s="1" t="str">
        <f t="shared" si="8"/>
        <v>delivered</v>
      </c>
      <c r="K269" s="1" t="str">
        <f>_xlfn.XLOOKUP(C269, 'Product Catalog'!$A:$A, 'Product Catalog'!$B:$B, "Unknown Product")</f>
        <v>Desk Lamp Model I34</v>
      </c>
      <c r="L269" s="1" t="str">
        <f>_xlfn.XLOOKUP(C269, 'Product Catalog'!$A:$A, 'Product Catalog'!$C:$C, "Unknown Category")</f>
        <v>Home Goods</v>
      </c>
      <c r="M269" s="1">
        <f>_xlfn.XLOOKUP(C269, 'Product Catalog'!$A:$A, 'Product Catalog'!$D:$D, 0)</f>
        <v>141.91</v>
      </c>
      <c r="N269" s="1">
        <f t="shared" si="9"/>
        <v>283.82</v>
      </c>
    </row>
    <row r="270" spans="1:14" x14ac:dyDescent="0.3">
      <c r="A270" s="1" t="s">
        <v>606</v>
      </c>
      <c r="B270" s="1" t="s">
        <v>607</v>
      </c>
      <c r="C270" s="1" t="s">
        <v>112</v>
      </c>
      <c r="D270" s="1">
        <v>1</v>
      </c>
      <c r="E270" s="12">
        <v>45731.565972222219</v>
      </c>
      <c r="F270" s="1" t="s">
        <v>12</v>
      </c>
      <c r="G270" s="1" t="s">
        <v>46</v>
      </c>
      <c r="H270" s="1" t="s">
        <v>14</v>
      </c>
      <c r="I270" s="1" t="s">
        <v>15</v>
      </c>
      <c r="J270" s="1" t="str">
        <f t="shared" si="8"/>
        <v>delivered</v>
      </c>
      <c r="K270" s="1" t="str">
        <f>_xlfn.XLOOKUP(C270, 'Product Catalog'!$A:$A, 'Product Catalog'!$B:$B, "Unknown Product")</f>
        <v>Mouse Model J87</v>
      </c>
      <c r="L270" s="1" t="str">
        <f>_xlfn.XLOOKUP(C270, 'Product Catalog'!$A:$A, 'Product Catalog'!$C:$C, "Unknown Category")</f>
        <v>Electronics</v>
      </c>
      <c r="M270" s="1">
        <f>_xlfn.XLOOKUP(C270, 'Product Catalog'!$A:$A, 'Product Catalog'!$D:$D, 0)</f>
        <v>164.06</v>
      </c>
      <c r="N270" s="1">
        <f t="shared" si="9"/>
        <v>164.06</v>
      </c>
    </row>
    <row r="271" spans="1:14" x14ac:dyDescent="0.3">
      <c r="A271" s="1" t="s">
        <v>608</v>
      </c>
      <c r="B271" s="1" t="s">
        <v>609</v>
      </c>
      <c r="C271" s="1" t="s">
        <v>125</v>
      </c>
      <c r="D271" s="1">
        <v>1</v>
      </c>
      <c r="E271" s="12">
        <v>45697.425000000003</v>
      </c>
      <c r="F271" s="1" t="s">
        <v>12</v>
      </c>
      <c r="G271" s="1" t="s">
        <v>20</v>
      </c>
      <c r="H271" s="1" t="s">
        <v>41</v>
      </c>
      <c r="I271" s="1" t="s">
        <v>15</v>
      </c>
      <c r="J271" s="1" t="str">
        <f t="shared" si="8"/>
        <v>delivered</v>
      </c>
      <c r="K271" s="1" t="str">
        <f>_xlfn.XLOOKUP(C271, 'Product Catalog'!$A:$A, 'Product Catalog'!$B:$B, "Unknown Product")</f>
        <v>Coffee Maker Model J9</v>
      </c>
      <c r="L271" s="1" t="str">
        <f>_xlfn.XLOOKUP(C271, 'Product Catalog'!$A:$A, 'Product Catalog'!$C:$C, "Unknown Category")</f>
        <v>Home Goods</v>
      </c>
      <c r="M271" s="1">
        <f>_xlfn.XLOOKUP(C271, 'Product Catalog'!$A:$A, 'Product Catalog'!$D:$D, 0)</f>
        <v>34.840000000000003</v>
      </c>
      <c r="N271" s="1">
        <f t="shared" si="9"/>
        <v>34.840000000000003</v>
      </c>
    </row>
    <row r="272" spans="1:14" x14ac:dyDescent="0.3">
      <c r="A272" s="1" t="s">
        <v>610</v>
      </c>
      <c r="B272" s="1" t="s">
        <v>611</v>
      </c>
      <c r="C272" s="1" t="s">
        <v>173</v>
      </c>
      <c r="D272" s="1">
        <v>1</v>
      </c>
      <c r="E272" s="12">
        <v>45741.801388888889</v>
      </c>
      <c r="F272" s="1" t="s">
        <v>12</v>
      </c>
      <c r="G272" s="1" t="s">
        <v>40</v>
      </c>
      <c r="H272" s="1" t="s">
        <v>41</v>
      </c>
      <c r="I272" s="1" t="s">
        <v>56</v>
      </c>
      <c r="J272" s="1" t="str">
        <f t="shared" si="8"/>
        <v>cancelled</v>
      </c>
      <c r="K272" s="1" t="str">
        <f>_xlfn.XLOOKUP(C272, 'Product Catalog'!$A:$A, 'Product Catalog'!$B:$B, "Unknown Product")</f>
        <v>Premium Perfume Model Q120</v>
      </c>
      <c r="L272" s="1" t="str">
        <f>_xlfn.XLOOKUP(C272, 'Product Catalog'!$A:$A, 'Product Catalog'!$C:$C, "Unknown Category")</f>
        <v>Luxury Goods</v>
      </c>
      <c r="M272" s="1">
        <f>_xlfn.XLOOKUP(C272, 'Product Catalog'!$A:$A, 'Product Catalog'!$D:$D, 0)</f>
        <v>505.45</v>
      </c>
      <c r="N272" s="1">
        <f t="shared" si="9"/>
        <v>505.45</v>
      </c>
    </row>
    <row r="273" spans="1:14" x14ac:dyDescent="0.3">
      <c r="A273" s="1" t="s">
        <v>612</v>
      </c>
      <c r="B273" s="1" t="s">
        <v>243</v>
      </c>
      <c r="C273" s="1" t="s">
        <v>95</v>
      </c>
      <c r="D273" s="1">
        <v>5</v>
      </c>
      <c r="E273" s="12">
        <v>45781.805555555555</v>
      </c>
      <c r="F273" s="1" t="s">
        <v>12</v>
      </c>
      <c r="G273" s="1" t="s">
        <v>50</v>
      </c>
      <c r="H273" s="1" t="s">
        <v>55</v>
      </c>
      <c r="I273" s="1" t="s">
        <v>56</v>
      </c>
      <c r="J273" s="1" t="str">
        <f t="shared" si="8"/>
        <v>cancelled</v>
      </c>
      <c r="K273" s="1" t="str">
        <f>_xlfn.XLOOKUP(C273, 'Product Catalog'!$A:$A, 'Product Catalog'!$B:$B, "Unknown Product")</f>
        <v>Jacket Model U72</v>
      </c>
      <c r="L273" s="1" t="str">
        <f>_xlfn.XLOOKUP(C273, 'Product Catalog'!$A:$A, 'Product Catalog'!$C:$C, "Unknown Category")</f>
        <v>Apparel</v>
      </c>
      <c r="M273" s="1">
        <f>_xlfn.XLOOKUP(C273, 'Product Catalog'!$A:$A, 'Product Catalog'!$D:$D, 0)</f>
        <v>75.400000000000006</v>
      </c>
      <c r="N273" s="1">
        <f t="shared" si="9"/>
        <v>377</v>
      </c>
    </row>
    <row r="274" spans="1:14" x14ac:dyDescent="0.3">
      <c r="A274" s="1" t="s">
        <v>613</v>
      </c>
      <c r="B274" s="1" t="s">
        <v>510</v>
      </c>
      <c r="C274" s="1" t="s">
        <v>586</v>
      </c>
      <c r="D274" s="1">
        <v>5</v>
      </c>
      <c r="E274" s="12">
        <v>45857.962500000001</v>
      </c>
      <c r="F274" s="1" t="s">
        <v>170</v>
      </c>
      <c r="G274" s="1" t="s">
        <v>31</v>
      </c>
      <c r="H274" s="1" t="s">
        <v>55</v>
      </c>
      <c r="I274" s="1" t="s">
        <v>81</v>
      </c>
      <c r="J274" s="1" t="str">
        <f t="shared" si="8"/>
        <v>REFUNDED</v>
      </c>
      <c r="K274" s="1" t="str">
        <f>_xlfn.XLOOKUP(C274, 'Product Catalog'!$A:$A, 'Product Catalog'!$B:$B, "Unknown Product")</f>
        <v>Designer Watch Model E82</v>
      </c>
      <c r="L274" s="1" t="str">
        <f>_xlfn.XLOOKUP(C274, 'Product Catalog'!$A:$A, 'Product Catalog'!$C:$C, "Unknown Category")</f>
        <v>Luxury Goods</v>
      </c>
      <c r="M274" s="1">
        <f>_xlfn.XLOOKUP(C274, 'Product Catalog'!$A:$A, 'Product Catalog'!$D:$D, 0)</f>
        <v>1769.3</v>
      </c>
      <c r="N274" s="1">
        <f t="shared" si="9"/>
        <v>8846.5</v>
      </c>
    </row>
    <row r="275" spans="1:14" x14ac:dyDescent="0.3">
      <c r="A275" s="1" t="s">
        <v>614</v>
      </c>
      <c r="B275" s="1" t="s">
        <v>434</v>
      </c>
      <c r="C275" s="1" t="s">
        <v>49</v>
      </c>
      <c r="D275" s="1">
        <v>4</v>
      </c>
      <c r="E275" s="12">
        <v>45934.47152777778</v>
      </c>
      <c r="F275" s="1" t="s">
        <v>39</v>
      </c>
      <c r="G275" s="1" t="s">
        <v>50</v>
      </c>
      <c r="H275" s="1" t="s">
        <v>51</v>
      </c>
      <c r="I275" s="1" t="s">
        <v>81</v>
      </c>
      <c r="J275" s="1" t="str">
        <f t="shared" si="8"/>
        <v>REFUNDED</v>
      </c>
      <c r="K275" s="1" t="str">
        <f>_xlfn.XLOOKUP(C275, 'Product Catalog'!$A:$A, 'Product Catalog'!$B:$B, "Unknown Product")</f>
        <v>E-Book Access Model Y76</v>
      </c>
      <c r="L275" s="1" t="str">
        <f>_xlfn.XLOOKUP(C275, 'Product Catalog'!$A:$A, 'Product Catalog'!$C:$C, "Unknown Category")</f>
        <v>Digital Services</v>
      </c>
      <c r="M275" s="1">
        <f>_xlfn.XLOOKUP(C275, 'Product Catalog'!$A:$A, 'Product Catalog'!$D:$D, 0)</f>
        <v>92.33</v>
      </c>
      <c r="N275" s="1">
        <f t="shared" si="9"/>
        <v>369.32</v>
      </c>
    </row>
    <row r="276" spans="1:14" x14ac:dyDescent="0.3">
      <c r="A276" s="1" t="s">
        <v>615</v>
      </c>
      <c r="B276" s="1" t="s">
        <v>328</v>
      </c>
      <c r="C276" s="1" t="s">
        <v>459</v>
      </c>
      <c r="D276" s="1">
        <v>1</v>
      </c>
      <c r="E276" s="12">
        <v>45854.198611111111</v>
      </c>
      <c r="F276" s="1" t="s">
        <v>12</v>
      </c>
      <c r="G276" s="1" t="s">
        <v>13</v>
      </c>
      <c r="H276" s="1" t="s">
        <v>14</v>
      </c>
      <c r="I276" s="1" t="s">
        <v>15</v>
      </c>
      <c r="J276" s="1" t="str">
        <f t="shared" si="8"/>
        <v>delivered</v>
      </c>
      <c r="K276" s="1" t="str">
        <f>_xlfn.XLOOKUP(C276, 'Product Catalog'!$A:$A, 'Product Catalog'!$B:$B, "Unknown Product")</f>
        <v>Mouse Model I60</v>
      </c>
      <c r="L276" s="1" t="str">
        <f>_xlfn.XLOOKUP(C276, 'Product Catalog'!$A:$A, 'Product Catalog'!$C:$C, "Unknown Category")</f>
        <v>Electronics</v>
      </c>
      <c r="M276" s="1">
        <f>_xlfn.XLOOKUP(C276, 'Product Catalog'!$A:$A, 'Product Catalog'!$D:$D, 0)</f>
        <v>168.25</v>
      </c>
      <c r="N276" s="1">
        <f t="shared" si="9"/>
        <v>168.25</v>
      </c>
    </row>
    <row r="277" spans="1:14" x14ac:dyDescent="0.3">
      <c r="A277" s="1" t="s">
        <v>616</v>
      </c>
      <c r="B277" s="1" t="s">
        <v>617</v>
      </c>
      <c r="C277" s="1" t="s">
        <v>337</v>
      </c>
      <c r="D277" s="1">
        <v>5</v>
      </c>
      <c r="E277" s="12">
        <v>46010.111111111109</v>
      </c>
      <c r="F277" s="1" t="s">
        <v>39</v>
      </c>
      <c r="G277" s="1" t="s">
        <v>40</v>
      </c>
      <c r="H277" s="1" t="s">
        <v>41</v>
      </c>
      <c r="I277" s="1" t="s">
        <v>81</v>
      </c>
      <c r="J277" s="1" t="str">
        <f t="shared" si="8"/>
        <v>REFUNDED</v>
      </c>
      <c r="K277" s="1" t="str">
        <f>_xlfn.XLOOKUP(C277, 'Product Catalog'!$A:$A, 'Product Catalog'!$B:$B, "Unknown Product")</f>
        <v>Webcam Model Z103</v>
      </c>
      <c r="L277" s="1" t="str">
        <f>_xlfn.XLOOKUP(C277, 'Product Catalog'!$A:$A, 'Product Catalog'!$C:$C, "Unknown Category")</f>
        <v>Electronics</v>
      </c>
      <c r="M277" s="1">
        <f>_xlfn.XLOOKUP(C277, 'Product Catalog'!$A:$A, 'Product Catalog'!$D:$D, 0)</f>
        <v>60.39</v>
      </c>
      <c r="N277" s="1">
        <f t="shared" si="9"/>
        <v>301.95</v>
      </c>
    </row>
    <row r="278" spans="1:14" x14ac:dyDescent="0.3">
      <c r="A278" s="1" t="s">
        <v>618</v>
      </c>
      <c r="B278" s="1" t="s">
        <v>336</v>
      </c>
      <c r="C278" s="1" t="s">
        <v>619</v>
      </c>
      <c r="D278" s="1">
        <v>2</v>
      </c>
      <c r="E278" s="12">
        <v>45914.491666666669</v>
      </c>
      <c r="F278" s="1" t="s">
        <v>19</v>
      </c>
      <c r="G278" s="1" t="s">
        <v>46</v>
      </c>
      <c r="H278" s="1" t="s">
        <v>41</v>
      </c>
      <c r="I278" s="1" t="s">
        <v>15</v>
      </c>
      <c r="J278" s="1" t="str">
        <f t="shared" si="8"/>
        <v>delivered</v>
      </c>
      <c r="K278" s="1" t="str">
        <f>_xlfn.XLOOKUP(C278, 'Product Catalog'!$A:$A, 'Product Catalog'!$B:$B, "Unknown Product")</f>
        <v>Jacket Model B27</v>
      </c>
      <c r="L278" s="1" t="str">
        <f>_xlfn.XLOOKUP(C278, 'Product Catalog'!$A:$A, 'Product Catalog'!$C:$C, "Unknown Category")</f>
        <v>Apparel</v>
      </c>
      <c r="M278" s="1">
        <f>_xlfn.XLOOKUP(C278, 'Product Catalog'!$A:$A, 'Product Catalog'!$D:$D, 0)</f>
        <v>64.290000000000006</v>
      </c>
      <c r="N278" s="1">
        <f t="shared" si="9"/>
        <v>128.58000000000001</v>
      </c>
    </row>
    <row r="279" spans="1:14" x14ac:dyDescent="0.3">
      <c r="A279" s="1" t="s">
        <v>620</v>
      </c>
      <c r="B279" s="1" t="s">
        <v>621</v>
      </c>
      <c r="C279" s="1" t="s">
        <v>622</v>
      </c>
      <c r="D279" s="1">
        <v>5</v>
      </c>
      <c r="E279" s="12">
        <v>45685.138888888891</v>
      </c>
      <c r="F279" s="1" t="s">
        <v>39</v>
      </c>
      <c r="G279" s="1" t="s">
        <v>50</v>
      </c>
      <c r="H279" s="1" t="s">
        <v>51</v>
      </c>
      <c r="I279" s="1" t="s">
        <v>42</v>
      </c>
      <c r="J279" s="1" t="str">
        <f t="shared" si="8"/>
        <v>PENDING_REVIEW</v>
      </c>
      <c r="K279" s="1" t="str">
        <f>_xlfn.XLOOKUP(C279, 'Product Catalog'!$A:$A, 'Product Catalog'!$B:$B, "Unknown Product")</f>
        <v>Designer Watch Model R147</v>
      </c>
      <c r="L279" s="1" t="str">
        <f>_xlfn.XLOOKUP(C279, 'Product Catalog'!$A:$A, 'Product Catalog'!$C:$C, "Unknown Category")</f>
        <v>Luxury Goods</v>
      </c>
      <c r="M279" s="1">
        <f>_xlfn.XLOOKUP(C279, 'Product Catalog'!$A:$A, 'Product Catalog'!$D:$D, 0)</f>
        <v>484.68</v>
      </c>
      <c r="N279" s="1">
        <f t="shared" si="9"/>
        <v>2423.4</v>
      </c>
    </row>
    <row r="280" spans="1:14" x14ac:dyDescent="0.3">
      <c r="A280" s="1" t="s">
        <v>623</v>
      </c>
      <c r="B280" s="1" t="s">
        <v>350</v>
      </c>
      <c r="C280" s="1" t="s">
        <v>281</v>
      </c>
      <c r="D280" s="1">
        <v>2</v>
      </c>
      <c r="E280" s="12">
        <v>45881.329861111109</v>
      </c>
      <c r="F280" s="1" t="s">
        <v>12</v>
      </c>
      <c r="G280" s="1" t="s">
        <v>20</v>
      </c>
      <c r="H280" s="1" t="s">
        <v>24</v>
      </c>
      <c r="I280" s="1" t="s">
        <v>15</v>
      </c>
      <c r="J280" s="1" t="str">
        <f t="shared" si="8"/>
        <v>delivered</v>
      </c>
      <c r="K280" s="1" t="str">
        <f>_xlfn.XLOOKUP(C280, 'Product Catalog'!$A:$A, 'Product Catalog'!$B:$B, "Unknown Product")</f>
        <v>VPN 6-Month Pass Model B105</v>
      </c>
      <c r="L280" s="1" t="str">
        <f>_xlfn.XLOOKUP(C280, 'Product Catalog'!$A:$A, 'Product Catalog'!$C:$C, "Unknown Category")</f>
        <v>Digital Services</v>
      </c>
      <c r="M280" s="1">
        <f>_xlfn.XLOOKUP(C280, 'Product Catalog'!$A:$A, 'Product Catalog'!$D:$D, 0)</f>
        <v>36.130000000000003</v>
      </c>
      <c r="N280" s="1">
        <f t="shared" si="9"/>
        <v>72.260000000000005</v>
      </c>
    </row>
    <row r="281" spans="1:14" x14ac:dyDescent="0.3">
      <c r="A281" s="1" t="s">
        <v>624</v>
      </c>
      <c r="B281" s="1" t="s">
        <v>10</v>
      </c>
      <c r="C281" s="1" t="s">
        <v>519</v>
      </c>
      <c r="D281" s="1">
        <v>5</v>
      </c>
      <c r="E281" s="12">
        <v>45696.484027777777</v>
      </c>
      <c r="F281" s="1" t="s">
        <v>170</v>
      </c>
      <c r="G281" s="1" t="s">
        <v>50</v>
      </c>
      <c r="H281" s="1" t="s">
        <v>55</v>
      </c>
      <c r="I281" s="1" t="s">
        <v>102</v>
      </c>
      <c r="J281" s="1" t="str">
        <f t="shared" si="8"/>
        <v>disputed</v>
      </c>
      <c r="K281" s="1" t="str">
        <f>_xlfn.XLOOKUP(C281, 'Product Catalog'!$A:$A, 'Product Catalog'!$B:$B, "Unknown Product")</f>
        <v>T-Shirt Model S70</v>
      </c>
      <c r="L281" s="1" t="str">
        <f>_xlfn.XLOOKUP(C281, 'Product Catalog'!$A:$A, 'Product Catalog'!$C:$C, "Unknown Category")</f>
        <v>Apparel</v>
      </c>
      <c r="M281" s="1">
        <f>_xlfn.XLOOKUP(C281, 'Product Catalog'!$A:$A, 'Product Catalog'!$D:$D, 0)</f>
        <v>75.45</v>
      </c>
      <c r="N281" s="1">
        <f t="shared" si="9"/>
        <v>377.25</v>
      </c>
    </row>
    <row r="282" spans="1:14" x14ac:dyDescent="0.3">
      <c r="A282" s="1" t="s">
        <v>625</v>
      </c>
      <c r="B282" s="1" t="s">
        <v>218</v>
      </c>
      <c r="C282" s="1" t="s">
        <v>314</v>
      </c>
      <c r="D282" s="1">
        <v>4</v>
      </c>
      <c r="E282" s="12">
        <v>45967.872916666667</v>
      </c>
      <c r="F282" s="1" t="s">
        <v>39</v>
      </c>
      <c r="G282" s="1" t="s">
        <v>50</v>
      </c>
      <c r="H282" s="1" t="s">
        <v>41</v>
      </c>
      <c r="I282" s="1" t="s">
        <v>56</v>
      </c>
      <c r="J282" s="1" t="str">
        <f t="shared" si="8"/>
        <v>cancelled</v>
      </c>
      <c r="K282" s="1" t="str">
        <f>_xlfn.XLOOKUP(C282, 'Product Catalog'!$A:$A, 'Product Catalog'!$B:$B, "Unknown Product")</f>
        <v>Smartwatch Model A104</v>
      </c>
      <c r="L282" s="1" t="str">
        <f>_xlfn.XLOOKUP(C282, 'Product Catalog'!$A:$A, 'Product Catalog'!$C:$C, "Unknown Category")</f>
        <v>Electronics</v>
      </c>
      <c r="M282" s="1">
        <f>_xlfn.XLOOKUP(C282, 'Product Catalog'!$A:$A, 'Product Catalog'!$D:$D, 0)</f>
        <v>80.59</v>
      </c>
      <c r="N282" s="1">
        <f t="shared" si="9"/>
        <v>322.36</v>
      </c>
    </row>
    <row r="283" spans="1:14" x14ac:dyDescent="0.3">
      <c r="A283" s="1" t="s">
        <v>626</v>
      </c>
      <c r="B283" s="1" t="s">
        <v>627</v>
      </c>
      <c r="C283" s="1" t="s">
        <v>309</v>
      </c>
      <c r="D283" s="1">
        <v>1</v>
      </c>
      <c r="E283" s="12">
        <v>45962.563888888886</v>
      </c>
      <c r="F283" s="1" t="s">
        <v>19</v>
      </c>
      <c r="G283" s="1" t="s">
        <v>20</v>
      </c>
      <c r="H283" s="1" t="s">
        <v>14</v>
      </c>
      <c r="I283" s="1" t="s">
        <v>56</v>
      </c>
      <c r="J283" s="1" t="str">
        <f t="shared" si="8"/>
        <v>cancelled</v>
      </c>
      <c r="K283" s="1" t="str">
        <f>_xlfn.XLOOKUP(C283, 'Product Catalog'!$A:$A, 'Product Catalog'!$B:$B, "Unknown Product")</f>
        <v>Sneakers Model C2</v>
      </c>
      <c r="L283" s="1" t="str">
        <f>_xlfn.XLOOKUP(C283, 'Product Catalog'!$A:$A, 'Product Catalog'!$C:$C, "Unknown Category")</f>
        <v>Apparel</v>
      </c>
      <c r="M283" s="1">
        <f>_xlfn.XLOOKUP(C283, 'Product Catalog'!$A:$A, 'Product Catalog'!$D:$D, 0)</f>
        <v>21.27</v>
      </c>
      <c r="N283" s="1">
        <f t="shared" si="9"/>
        <v>21.27</v>
      </c>
    </row>
    <row r="284" spans="1:14" x14ac:dyDescent="0.3">
      <c r="A284" s="1" t="s">
        <v>628</v>
      </c>
      <c r="B284" s="1" t="s">
        <v>551</v>
      </c>
      <c r="C284" s="1" t="s">
        <v>68</v>
      </c>
      <c r="D284" s="1">
        <v>5</v>
      </c>
      <c r="E284" s="12">
        <v>45825.041666666664</v>
      </c>
      <c r="F284" s="1" t="s">
        <v>19</v>
      </c>
      <c r="G284" s="1" t="s">
        <v>109</v>
      </c>
      <c r="H284" s="1" t="s">
        <v>55</v>
      </c>
      <c r="I284" s="1" t="s">
        <v>81</v>
      </c>
      <c r="J284" s="1" t="str">
        <f t="shared" si="8"/>
        <v>REFUNDED</v>
      </c>
      <c r="K284" s="1" t="str">
        <f>_xlfn.XLOOKUP(C284, 'Product Catalog'!$A:$A, 'Product Catalog'!$B:$B, "Unknown Product")</f>
        <v>Premium Perfume Model G32</v>
      </c>
      <c r="L284" s="1" t="str">
        <f>_xlfn.XLOOKUP(C284, 'Product Catalog'!$A:$A, 'Product Catalog'!$C:$C, "Unknown Category")</f>
        <v>Luxury Goods</v>
      </c>
      <c r="M284" s="1">
        <f>_xlfn.XLOOKUP(C284, 'Product Catalog'!$A:$A, 'Product Catalog'!$D:$D, 0)</f>
        <v>1990.92</v>
      </c>
      <c r="N284" s="1">
        <f t="shared" si="9"/>
        <v>9954.6</v>
      </c>
    </row>
    <row r="285" spans="1:14" x14ac:dyDescent="0.3">
      <c r="A285" s="1" t="s">
        <v>629</v>
      </c>
      <c r="B285" s="1" t="s">
        <v>630</v>
      </c>
      <c r="C285" s="1" t="s">
        <v>462</v>
      </c>
      <c r="D285" s="1">
        <v>2</v>
      </c>
      <c r="E285" s="12">
        <v>45982.388194444444</v>
      </c>
      <c r="F285" s="1" t="s">
        <v>12</v>
      </c>
      <c r="G285" s="1" t="s">
        <v>46</v>
      </c>
      <c r="H285" s="1" t="s">
        <v>24</v>
      </c>
      <c r="I285" s="1" t="s">
        <v>15</v>
      </c>
      <c r="J285" s="1" t="str">
        <f t="shared" si="8"/>
        <v>delivered</v>
      </c>
      <c r="K285" s="1" t="str">
        <f>_xlfn.XLOOKUP(C285, 'Product Catalog'!$A:$A, 'Product Catalog'!$B:$B, "Unknown Product")</f>
        <v>Mouse Model K88</v>
      </c>
      <c r="L285" s="1" t="str">
        <f>_xlfn.XLOOKUP(C285, 'Product Catalog'!$A:$A, 'Product Catalog'!$C:$C, "Unknown Category")</f>
        <v>Electronics</v>
      </c>
      <c r="M285" s="1">
        <f>_xlfn.XLOOKUP(C285, 'Product Catalog'!$A:$A, 'Product Catalog'!$D:$D, 0)</f>
        <v>93.39</v>
      </c>
      <c r="N285" s="1">
        <f t="shared" si="9"/>
        <v>186.78</v>
      </c>
    </row>
    <row r="286" spans="1:14" x14ac:dyDescent="0.3">
      <c r="A286" s="1" t="s">
        <v>631</v>
      </c>
      <c r="B286" s="1" t="s">
        <v>632</v>
      </c>
      <c r="C286" s="1" t="s">
        <v>633</v>
      </c>
      <c r="D286" s="1">
        <v>5</v>
      </c>
      <c r="E286" s="12">
        <v>45888.697222222225</v>
      </c>
      <c r="F286" s="1" t="s">
        <v>19</v>
      </c>
      <c r="G286" s="1" t="s">
        <v>40</v>
      </c>
      <c r="H286" s="1" t="s">
        <v>51</v>
      </c>
      <c r="I286" s="1" t="s">
        <v>56</v>
      </c>
      <c r="J286" s="1" t="str">
        <f t="shared" si="8"/>
        <v>cancelled</v>
      </c>
      <c r="K286" s="1" t="str">
        <f>_xlfn.XLOOKUP(C286, 'Product Catalog'!$A:$A, 'Product Catalog'!$B:$B, "Unknown Product")</f>
        <v>Keyboard Model X49</v>
      </c>
      <c r="L286" s="1" t="str">
        <f>_xlfn.XLOOKUP(C286, 'Product Catalog'!$A:$A, 'Product Catalog'!$C:$C, "Unknown Category")</f>
        <v>Electronics</v>
      </c>
      <c r="M286" s="1">
        <f>_xlfn.XLOOKUP(C286, 'Product Catalog'!$A:$A, 'Product Catalog'!$D:$D, 0)</f>
        <v>30.84</v>
      </c>
      <c r="N286" s="1">
        <f t="shared" si="9"/>
        <v>154.19999999999999</v>
      </c>
    </row>
    <row r="287" spans="1:14" x14ac:dyDescent="0.3">
      <c r="A287" s="1" t="s">
        <v>634</v>
      </c>
      <c r="B287" s="1" t="s">
        <v>635</v>
      </c>
      <c r="C287" s="1" t="s">
        <v>636</v>
      </c>
      <c r="D287" s="1">
        <v>5</v>
      </c>
      <c r="E287" s="12">
        <v>45774.505555555559</v>
      </c>
      <c r="F287" s="1" t="s">
        <v>39</v>
      </c>
      <c r="G287" s="1" t="s">
        <v>46</v>
      </c>
      <c r="H287" s="1" t="s">
        <v>55</v>
      </c>
      <c r="I287" s="1" t="s">
        <v>81</v>
      </c>
      <c r="J287" s="1" t="str">
        <f t="shared" si="8"/>
        <v>REFUNDED</v>
      </c>
      <c r="K287" s="1" t="str">
        <f>_xlfn.XLOOKUP(C287, 'Product Catalog'!$A:$A, 'Product Catalog'!$B:$B, "Unknown Product")</f>
        <v>Leather Handbag Model O92</v>
      </c>
      <c r="L287" s="1" t="str">
        <f>_xlfn.XLOOKUP(C287, 'Product Catalog'!$A:$A, 'Product Catalog'!$C:$C, "Unknown Category")</f>
        <v>Luxury Goods</v>
      </c>
      <c r="M287" s="1">
        <f>_xlfn.XLOOKUP(C287, 'Product Catalog'!$A:$A, 'Product Catalog'!$D:$D, 0)</f>
        <v>1245.53</v>
      </c>
      <c r="N287" s="1">
        <f t="shared" si="9"/>
        <v>6227.65</v>
      </c>
    </row>
    <row r="288" spans="1:14" x14ac:dyDescent="0.3">
      <c r="A288" s="1" t="s">
        <v>637</v>
      </c>
      <c r="B288" s="1" t="s">
        <v>638</v>
      </c>
      <c r="C288" s="1" t="s">
        <v>128</v>
      </c>
      <c r="D288" s="1">
        <v>1</v>
      </c>
      <c r="E288" s="12">
        <v>45941.533333333333</v>
      </c>
      <c r="F288" s="1" t="s">
        <v>19</v>
      </c>
      <c r="G288" s="1" t="s">
        <v>20</v>
      </c>
      <c r="H288" s="1" t="s">
        <v>41</v>
      </c>
      <c r="I288" s="1" t="s">
        <v>15</v>
      </c>
      <c r="J288" s="1" t="str">
        <f t="shared" si="8"/>
        <v>delivered</v>
      </c>
      <c r="K288" s="1" t="str">
        <f>_xlfn.XLOOKUP(C288, 'Product Catalog'!$A:$A, 'Product Catalog'!$B:$B, "Unknown Product")</f>
        <v>Organizer Model N39</v>
      </c>
      <c r="L288" s="1" t="str">
        <f>_xlfn.XLOOKUP(C288, 'Product Catalog'!$A:$A, 'Product Catalog'!$C:$C, "Unknown Category")</f>
        <v>Home Goods</v>
      </c>
      <c r="M288" s="1">
        <f>_xlfn.XLOOKUP(C288, 'Product Catalog'!$A:$A, 'Product Catalog'!$D:$D, 0)</f>
        <v>149.08000000000001</v>
      </c>
      <c r="N288" s="1">
        <f t="shared" si="9"/>
        <v>149.08000000000001</v>
      </c>
    </row>
    <row r="289" spans="1:14" x14ac:dyDescent="0.3">
      <c r="A289" s="1" t="s">
        <v>639</v>
      </c>
      <c r="B289" s="1" t="s">
        <v>640</v>
      </c>
      <c r="C289" s="1" t="s">
        <v>383</v>
      </c>
      <c r="D289" s="1">
        <v>1</v>
      </c>
      <c r="E289" s="12">
        <v>45879.263888888891</v>
      </c>
      <c r="F289" s="1" t="s">
        <v>12</v>
      </c>
      <c r="G289" s="1" t="s">
        <v>46</v>
      </c>
      <c r="H289" s="1" t="s">
        <v>14</v>
      </c>
      <c r="I289" s="1" t="s">
        <v>15</v>
      </c>
      <c r="J289" s="1" t="str">
        <f t="shared" si="8"/>
        <v>delivered</v>
      </c>
      <c r="K289" s="1" t="str">
        <f>_xlfn.XLOOKUP(C289, 'Product Catalog'!$A:$A, 'Product Catalog'!$B:$B, "Unknown Product")</f>
        <v>Keyboard Model F83</v>
      </c>
      <c r="L289" s="1" t="str">
        <f>_xlfn.XLOOKUP(C289, 'Product Catalog'!$A:$A, 'Product Catalog'!$C:$C, "Unknown Category")</f>
        <v>Electronics</v>
      </c>
      <c r="M289" s="1">
        <f>_xlfn.XLOOKUP(C289, 'Product Catalog'!$A:$A, 'Product Catalog'!$D:$D, 0)</f>
        <v>77.150000000000006</v>
      </c>
      <c r="N289" s="1">
        <f t="shared" si="9"/>
        <v>77.150000000000006</v>
      </c>
    </row>
    <row r="290" spans="1:14" x14ac:dyDescent="0.3">
      <c r="A290" s="1" t="s">
        <v>641</v>
      </c>
      <c r="B290" s="1" t="s">
        <v>401</v>
      </c>
      <c r="C290" s="1" t="s">
        <v>446</v>
      </c>
      <c r="D290" s="1">
        <v>4</v>
      </c>
      <c r="E290" s="12">
        <v>46006.832638888889</v>
      </c>
      <c r="F290" s="1" t="s">
        <v>12</v>
      </c>
      <c r="G290" s="1" t="s">
        <v>31</v>
      </c>
      <c r="H290" s="1" t="s">
        <v>51</v>
      </c>
      <c r="I290" s="1" t="s">
        <v>102</v>
      </c>
      <c r="J290" s="1" t="str">
        <f t="shared" si="8"/>
        <v>disputed</v>
      </c>
      <c r="K290" s="1" t="str">
        <f>_xlfn.XLOOKUP(C290, 'Product Catalog'!$A:$A, 'Product Catalog'!$B:$B, "Unknown Product")</f>
        <v>Silk Scarf Model K36</v>
      </c>
      <c r="L290" s="1" t="str">
        <f>_xlfn.XLOOKUP(C290, 'Product Catalog'!$A:$A, 'Product Catalog'!$C:$C, "Unknown Category")</f>
        <v>Luxury Goods</v>
      </c>
      <c r="M290" s="1">
        <f>_xlfn.XLOOKUP(C290, 'Product Catalog'!$A:$A, 'Product Catalog'!$D:$D, 0)</f>
        <v>737.6</v>
      </c>
      <c r="N290" s="1">
        <f t="shared" si="9"/>
        <v>2950.4</v>
      </c>
    </row>
    <row r="291" spans="1:14" x14ac:dyDescent="0.3">
      <c r="A291" s="1" t="s">
        <v>642</v>
      </c>
      <c r="B291" s="1" t="s">
        <v>643</v>
      </c>
      <c r="C291" s="1" t="s">
        <v>644</v>
      </c>
      <c r="D291" s="1">
        <v>4</v>
      </c>
      <c r="E291" s="12">
        <v>45996.540277777778</v>
      </c>
      <c r="F291" s="1" t="s">
        <v>39</v>
      </c>
      <c r="G291" s="1" t="s">
        <v>40</v>
      </c>
      <c r="H291" s="1" t="s">
        <v>55</v>
      </c>
      <c r="I291" s="1" t="s">
        <v>102</v>
      </c>
      <c r="J291" s="1" t="str">
        <f t="shared" si="8"/>
        <v>disputed</v>
      </c>
      <c r="K291" s="1" t="str">
        <f>_xlfn.XLOOKUP(C291, 'Product Catalog'!$A:$A, 'Product Catalog'!$B:$B, "Unknown Product")</f>
        <v>Socks Model T71</v>
      </c>
      <c r="L291" s="1" t="str">
        <f>_xlfn.XLOOKUP(C291, 'Product Catalog'!$A:$A, 'Product Catalog'!$C:$C, "Unknown Category")</f>
        <v>Apparel</v>
      </c>
      <c r="M291" s="1">
        <f>_xlfn.XLOOKUP(C291, 'Product Catalog'!$A:$A, 'Product Catalog'!$D:$D, 0)</f>
        <v>23.19</v>
      </c>
      <c r="N291" s="1">
        <f t="shared" si="9"/>
        <v>92.76</v>
      </c>
    </row>
    <row r="292" spans="1:14" x14ac:dyDescent="0.3">
      <c r="A292" s="1" t="s">
        <v>645</v>
      </c>
      <c r="B292" s="1" t="s">
        <v>584</v>
      </c>
      <c r="C292" s="1" t="s">
        <v>636</v>
      </c>
      <c r="D292" s="1">
        <v>1</v>
      </c>
      <c r="E292" s="12">
        <v>45701.879166666666</v>
      </c>
      <c r="F292" s="1" t="s">
        <v>12</v>
      </c>
      <c r="G292" s="1" t="s">
        <v>31</v>
      </c>
      <c r="H292" s="1" t="s">
        <v>51</v>
      </c>
      <c r="I292" s="1" t="s">
        <v>42</v>
      </c>
      <c r="J292" s="1" t="str">
        <f t="shared" si="8"/>
        <v>PENDING_REVIEW</v>
      </c>
      <c r="K292" s="1" t="str">
        <f>_xlfn.XLOOKUP(C292, 'Product Catalog'!$A:$A, 'Product Catalog'!$B:$B, "Unknown Product")</f>
        <v>Leather Handbag Model O92</v>
      </c>
      <c r="L292" s="1" t="str">
        <f>_xlfn.XLOOKUP(C292, 'Product Catalog'!$A:$A, 'Product Catalog'!$C:$C, "Unknown Category")</f>
        <v>Luxury Goods</v>
      </c>
      <c r="M292" s="1">
        <f>_xlfn.XLOOKUP(C292, 'Product Catalog'!$A:$A, 'Product Catalog'!$D:$D, 0)</f>
        <v>1245.53</v>
      </c>
      <c r="N292" s="1">
        <f t="shared" si="9"/>
        <v>1245.53</v>
      </c>
    </row>
    <row r="293" spans="1:14" x14ac:dyDescent="0.3">
      <c r="A293" s="1" t="s">
        <v>646</v>
      </c>
      <c r="B293" s="1" t="s">
        <v>187</v>
      </c>
      <c r="C293" s="1" t="s">
        <v>74</v>
      </c>
      <c r="D293" s="1">
        <v>1</v>
      </c>
      <c r="E293" s="12">
        <v>45809.35</v>
      </c>
      <c r="F293" s="1" t="s">
        <v>12</v>
      </c>
      <c r="G293" s="1" t="s">
        <v>13</v>
      </c>
      <c r="H293" s="1" t="s">
        <v>41</v>
      </c>
      <c r="I293" s="1" t="s">
        <v>15</v>
      </c>
      <c r="J293" s="1" t="str">
        <f t="shared" si="8"/>
        <v>delivered</v>
      </c>
      <c r="K293" s="1" t="str">
        <f>_xlfn.XLOOKUP(C293, 'Product Catalog'!$A:$A, 'Product Catalog'!$B:$B, "Unknown Product")</f>
        <v>Webcam Model D55</v>
      </c>
      <c r="L293" s="1" t="str">
        <f>_xlfn.XLOOKUP(C293, 'Product Catalog'!$A:$A, 'Product Catalog'!$C:$C, "Unknown Category")</f>
        <v>Electronics</v>
      </c>
      <c r="M293" s="1">
        <f>_xlfn.XLOOKUP(C293, 'Product Catalog'!$A:$A, 'Product Catalog'!$D:$D, 0)</f>
        <v>168.56</v>
      </c>
      <c r="N293" s="1">
        <f t="shared" si="9"/>
        <v>168.56</v>
      </c>
    </row>
    <row r="294" spans="1:14" x14ac:dyDescent="0.3">
      <c r="A294" s="1" t="s">
        <v>647</v>
      </c>
      <c r="B294" s="1" t="s">
        <v>648</v>
      </c>
      <c r="C294" s="1" t="s">
        <v>565</v>
      </c>
      <c r="D294" s="1">
        <v>1</v>
      </c>
      <c r="E294" s="12">
        <v>45695.116666666669</v>
      </c>
      <c r="F294" s="1" t="s">
        <v>39</v>
      </c>
      <c r="G294" s="1" t="s">
        <v>50</v>
      </c>
      <c r="H294" s="1" t="s">
        <v>41</v>
      </c>
      <c r="I294" s="1" t="s">
        <v>81</v>
      </c>
      <c r="J294" s="1" t="str">
        <f t="shared" si="8"/>
        <v>REFUNDED</v>
      </c>
      <c r="K294" s="1" t="str">
        <f>_xlfn.XLOOKUP(C294, 'Product Catalog'!$A:$A, 'Product Catalog'!$B:$B, "Unknown Product")</f>
        <v>Mug Model X75</v>
      </c>
      <c r="L294" s="1" t="str">
        <f>_xlfn.XLOOKUP(C294, 'Product Catalog'!$A:$A, 'Product Catalog'!$C:$C, "Unknown Category")</f>
        <v>Home Goods</v>
      </c>
      <c r="M294" s="1">
        <f>_xlfn.XLOOKUP(C294, 'Product Catalog'!$A:$A, 'Product Catalog'!$D:$D, 0)</f>
        <v>40.94</v>
      </c>
      <c r="N294" s="1">
        <f t="shared" si="9"/>
        <v>40.94</v>
      </c>
    </row>
    <row r="295" spans="1:14" x14ac:dyDescent="0.3">
      <c r="A295" s="1" t="s">
        <v>649</v>
      </c>
      <c r="B295" s="1" t="s">
        <v>468</v>
      </c>
      <c r="C295" s="1" t="s">
        <v>68</v>
      </c>
      <c r="D295" s="1">
        <v>4</v>
      </c>
      <c r="E295" s="12">
        <v>45795.21875</v>
      </c>
      <c r="F295" s="1" t="s">
        <v>170</v>
      </c>
      <c r="G295" s="1" t="s">
        <v>31</v>
      </c>
      <c r="H295" s="1" t="s">
        <v>55</v>
      </c>
      <c r="I295" s="1" t="s">
        <v>102</v>
      </c>
      <c r="J295" s="1" t="str">
        <f t="shared" si="8"/>
        <v>disputed</v>
      </c>
      <c r="K295" s="1" t="str">
        <f>_xlfn.XLOOKUP(C295, 'Product Catalog'!$A:$A, 'Product Catalog'!$B:$B, "Unknown Product")</f>
        <v>Premium Perfume Model G32</v>
      </c>
      <c r="L295" s="1" t="str">
        <f>_xlfn.XLOOKUP(C295, 'Product Catalog'!$A:$A, 'Product Catalog'!$C:$C, "Unknown Category")</f>
        <v>Luxury Goods</v>
      </c>
      <c r="M295" s="1">
        <f>_xlfn.XLOOKUP(C295, 'Product Catalog'!$A:$A, 'Product Catalog'!$D:$D, 0)</f>
        <v>1990.92</v>
      </c>
      <c r="N295" s="1">
        <f t="shared" si="9"/>
        <v>7963.68</v>
      </c>
    </row>
    <row r="296" spans="1:14" x14ac:dyDescent="0.3">
      <c r="A296" s="1" t="s">
        <v>650</v>
      </c>
      <c r="B296" s="1" t="s">
        <v>34</v>
      </c>
      <c r="C296" s="1" t="s">
        <v>357</v>
      </c>
      <c r="D296" s="1">
        <v>1</v>
      </c>
      <c r="E296" s="12">
        <v>45852.901388888888</v>
      </c>
      <c r="F296" s="1" t="s">
        <v>19</v>
      </c>
      <c r="G296" s="1" t="s">
        <v>13</v>
      </c>
      <c r="H296" s="1" t="s">
        <v>41</v>
      </c>
      <c r="I296" s="1" t="s">
        <v>15</v>
      </c>
      <c r="J296" s="1" t="str">
        <f t="shared" si="8"/>
        <v>delivered</v>
      </c>
      <c r="K296" s="1" t="str">
        <f>_xlfn.XLOOKUP(C296, 'Product Catalog'!$A:$A, 'Product Catalog'!$B:$B, "Unknown Product")</f>
        <v>Blender Model C106</v>
      </c>
      <c r="L296" s="1" t="str">
        <f>_xlfn.XLOOKUP(C296, 'Product Catalog'!$A:$A, 'Product Catalog'!$C:$C, "Unknown Category")</f>
        <v>Home Goods</v>
      </c>
      <c r="M296" s="1">
        <f>_xlfn.XLOOKUP(C296, 'Product Catalog'!$A:$A, 'Product Catalog'!$D:$D, 0)</f>
        <v>112.89</v>
      </c>
      <c r="N296" s="1">
        <f t="shared" si="9"/>
        <v>112.89</v>
      </c>
    </row>
    <row r="297" spans="1:14" x14ac:dyDescent="0.3">
      <c r="A297" s="1" t="s">
        <v>651</v>
      </c>
      <c r="B297" s="1" t="s">
        <v>652</v>
      </c>
      <c r="C297" s="1" t="s">
        <v>256</v>
      </c>
      <c r="D297" s="1">
        <v>1</v>
      </c>
      <c r="E297" s="12">
        <v>45736.553472222222</v>
      </c>
      <c r="F297" s="1" t="s">
        <v>19</v>
      </c>
      <c r="G297" s="1" t="s">
        <v>13</v>
      </c>
      <c r="H297" s="1" t="s">
        <v>14</v>
      </c>
      <c r="I297" s="1" t="s">
        <v>32</v>
      </c>
      <c r="J297" s="1" t="str">
        <f t="shared" si="8"/>
        <v>SHIPPED</v>
      </c>
      <c r="K297" s="1" t="str">
        <f>_xlfn.XLOOKUP(C297, 'Product Catalog'!$A:$A, 'Product Catalog'!$B:$B, "Unknown Product")</f>
        <v>Charger Model E56</v>
      </c>
      <c r="L297" s="1" t="str">
        <f>_xlfn.XLOOKUP(C297, 'Product Catalog'!$A:$A, 'Product Catalog'!$C:$C, "Unknown Category")</f>
        <v>Electronics</v>
      </c>
      <c r="M297" s="1">
        <f>_xlfn.XLOOKUP(C297, 'Product Catalog'!$A:$A, 'Product Catalog'!$D:$D, 0)</f>
        <v>186.13</v>
      </c>
      <c r="N297" s="1">
        <f t="shared" si="9"/>
        <v>186.13</v>
      </c>
    </row>
    <row r="298" spans="1:14" x14ac:dyDescent="0.3">
      <c r="A298" s="1" t="s">
        <v>653</v>
      </c>
      <c r="B298" s="1" t="s">
        <v>530</v>
      </c>
      <c r="C298" s="1" t="s">
        <v>209</v>
      </c>
      <c r="D298" s="1">
        <v>1</v>
      </c>
      <c r="E298" s="12">
        <v>45820.512499999997</v>
      </c>
      <c r="F298" s="1" t="s">
        <v>170</v>
      </c>
      <c r="G298" s="1" t="s">
        <v>50</v>
      </c>
      <c r="H298" s="1" t="s">
        <v>41</v>
      </c>
      <c r="I298" s="1" t="s">
        <v>42</v>
      </c>
      <c r="J298" s="1" t="str">
        <f t="shared" si="8"/>
        <v>PENDING_REVIEW</v>
      </c>
      <c r="K298" s="1" t="str">
        <f>_xlfn.XLOOKUP(C298, 'Product Catalog'!$A:$A, 'Product Catalog'!$B:$B, "Unknown Product")</f>
        <v>Silk Scarf Model Z129</v>
      </c>
      <c r="L298" s="1" t="str">
        <f>_xlfn.XLOOKUP(C298, 'Product Catalog'!$A:$A, 'Product Catalog'!$C:$C, "Unknown Category")</f>
        <v>Luxury Goods</v>
      </c>
      <c r="M298" s="1">
        <f>_xlfn.XLOOKUP(C298, 'Product Catalog'!$A:$A, 'Product Catalog'!$D:$D, 0)</f>
        <v>1610</v>
      </c>
      <c r="N298" s="1">
        <f t="shared" si="9"/>
        <v>1610</v>
      </c>
    </row>
    <row r="299" spans="1:14" x14ac:dyDescent="0.3">
      <c r="A299" s="1" t="s">
        <v>654</v>
      </c>
      <c r="B299" s="1" t="s">
        <v>328</v>
      </c>
      <c r="C299" s="1" t="s">
        <v>334</v>
      </c>
      <c r="D299" s="1">
        <v>5</v>
      </c>
      <c r="E299" s="12">
        <v>45712.129861111112</v>
      </c>
      <c r="F299" s="1" t="s">
        <v>170</v>
      </c>
      <c r="G299" s="1" t="s">
        <v>50</v>
      </c>
      <c r="H299" s="1" t="s">
        <v>51</v>
      </c>
      <c r="I299" s="1" t="s">
        <v>102</v>
      </c>
      <c r="J299" s="1" t="str">
        <f t="shared" si="8"/>
        <v>disputed</v>
      </c>
      <c r="K299" s="1" t="str">
        <f>_xlfn.XLOOKUP(C299, 'Product Catalog'!$A:$A, 'Product Catalog'!$B:$B, "Unknown Product")</f>
        <v>Jeans Model Q42</v>
      </c>
      <c r="L299" s="1" t="str">
        <f>_xlfn.XLOOKUP(C299, 'Product Catalog'!$A:$A, 'Product Catalog'!$C:$C, "Unknown Category")</f>
        <v>Apparel</v>
      </c>
      <c r="M299" s="1">
        <f>_xlfn.XLOOKUP(C299, 'Product Catalog'!$A:$A, 'Product Catalog'!$D:$D, 0)</f>
        <v>82.57</v>
      </c>
      <c r="N299" s="1">
        <f t="shared" si="9"/>
        <v>412.84999999999997</v>
      </c>
    </row>
    <row r="300" spans="1:14" x14ac:dyDescent="0.3">
      <c r="A300" s="1" t="s">
        <v>655</v>
      </c>
      <c r="B300" s="1" t="s">
        <v>656</v>
      </c>
      <c r="C300" s="1" t="s">
        <v>619</v>
      </c>
      <c r="D300" s="1">
        <v>1</v>
      </c>
      <c r="E300" s="12">
        <v>45660.438194444447</v>
      </c>
      <c r="F300" s="1" t="s">
        <v>19</v>
      </c>
      <c r="G300" s="1" t="s">
        <v>13</v>
      </c>
      <c r="H300" s="1" t="s">
        <v>14</v>
      </c>
      <c r="I300" s="1" t="s">
        <v>102</v>
      </c>
      <c r="J300" s="1" t="str">
        <f t="shared" si="8"/>
        <v>disputed</v>
      </c>
      <c r="K300" s="1" t="str">
        <f>_xlfn.XLOOKUP(C300, 'Product Catalog'!$A:$A, 'Product Catalog'!$B:$B, "Unknown Product")</f>
        <v>Jacket Model B27</v>
      </c>
      <c r="L300" s="1" t="str">
        <f>_xlfn.XLOOKUP(C300, 'Product Catalog'!$A:$A, 'Product Catalog'!$C:$C, "Unknown Category")</f>
        <v>Apparel</v>
      </c>
      <c r="M300" s="1">
        <f>_xlfn.XLOOKUP(C300, 'Product Catalog'!$A:$A, 'Product Catalog'!$D:$D, 0)</f>
        <v>64.290000000000006</v>
      </c>
      <c r="N300" s="1">
        <f t="shared" si="9"/>
        <v>64.290000000000006</v>
      </c>
    </row>
    <row r="301" spans="1:14" x14ac:dyDescent="0.3">
      <c r="A301" s="1" t="s">
        <v>657</v>
      </c>
      <c r="B301" s="1" t="s">
        <v>510</v>
      </c>
      <c r="C301" s="1" t="s">
        <v>237</v>
      </c>
      <c r="D301" s="1">
        <v>4</v>
      </c>
      <c r="E301" s="12">
        <v>45885.511805555558</v>
      </c>
      <c r="F301" s="1" t="s">
        <v>12</v>
      </c>
      <c r="G301" s="1" t="s">
        <v>20</v>
      </c>
      <c r="H301" s="1" t="s">
        <v>41</v>
      </c>
      <c r="I301" s="1" t="s">
        <v>56</v>
      </c>
      <c r="J301" s="1" t="str">
        <f t="shared" si="8"/>
        <v>cancelled</v>
      </c>
      <c r="K301" s="1" t="str">
        <f>_xlfn.XLOOKUP(C301, 'Product Catalog'!$A:$A, 'Product Catalog'!$B:$B, "Unknown Product")</f>
        <v>Leather Handbag Model U20</v>
      </c>
      <c r="L301" s="1" t="str">
        <f>_xlfn.XLOOKUP(C301, 'Product Catalog'!$A:$A, 'Product Catalog'!$C:$C, "Unknown Category")</f>
        <v>Luxury Goods</v>
      </c>
      <c r="M301" s="1">
        <f>_xlfn.XLOOKUP(C301, 'Product Catalog'!$A:$A, 'Product Catalog'!$D:$D, 0)</f>
        <v>1806.15</v>
      </c>
      <c r="N301" s="1">
        <f t="shared" si="9"/>
        <v>7224.6</v>
      </c>
    </row>
    <row r="302" spans="1:14" x14ac:dyDescent="0.3">
      <c r="A302" s="1" t="s">
        <v>658</v>
      </c>
      <c r="B302" s="1" t="s">
        <v>544</v>
      </c>
      <c r="C302" s="1" t="s">
        <v>112</v>
      </c>
      <c r="D302" s="1">
        <v>1</v>
      </c>
      <c r="E302" s="12">
        <v>45796.145138888889</v>
      </c>
      <c r="F302" s="1" t="s">
        <v>19</v>
      </c>
      <c r="G302" s="1" t="s">
        <v>13</v>
      </c>
      <c r="H302" s="1" t="s">
        <v>14</v>
      </c>
      <c r="I302" s="1" t="s">
        <v>15</v>
      </c>
      <c r="J302" s="1" t="str">
        <f t="shared" si="8"/>
        <v>delivered</v>
      </c>
      <c r="K302" s="1" t="str">
        <f>_xlfn.XLOOKUP(C302, 'Product Catalog'!$A:$A, 'Product Catalog'!$B:$B, "Unknown Product")</f>
        <v>Mouse Model J87</v>
      </c>
      <c r="L302" s="1" t="str">
        <f>_xlfn.XLOOKUP(C302, 'Product Catalog'!$A:$A, 'Product Catalog'!$C:$C, "Unknown Category")</f>
        <v>Electronics</v>
      </c>
      <c r="M302" s="1">
        <f>_xlfn.XLOOKUP(C302, 'Product Catalog'!$A:$A, 'Product Catalog'!$D:$D, 0)</f>
        <v>164.06</v>
      </c>
      <c r="N302" s="1">
        <f t="shared" si="9"/>
        <v>164.06</v>
      </c>
    </row>
    <row r="303" spans="1:14" x14ac:dyDescent="0.3">
      <c r="A303" s="1" t="s">
        <v>659</v>
      </c>
      <c r="B303" s="1" t="s">
        <v>660</v>
      </c>
      <c r="C303" s="1" t="s">
        <v>84</v>
      </c>
      <c r="D303" s="1">
        <v>1</v>
      </c>
      <c r="E303" s="12">
        <v>45725.123611111114</v>
      </c>
      <c r="F303" s="1" t="s">
        <v>19</v>
      </c>
      <c r="G303" s="1" t="s">
        <v>31</v>
      </c>
      <c r="H303" s="1" t="s">
        <v>41</v>
      </c>
      <c r="I303" s="1" t="s">
        <v>15</v>
      </c>
      <c r="J303" s="1" t="str">
        <f t="shared" si="8"/>
        <v>delivered</v>
      </c>
      <c r="K303" s="1" t="str">
        <f>_xlfn.XLOOKUP(C303, 'Product Catalog'!$A:$A, 'Product Catalog'!$B:$B, "Unknown Product")</f>
        <v>Smartwatch Model J35</v>
      </c>
      <c r="L303" s="1" t="str">
        <f>_xlfn.XLOOKUP(C303, 'Product Catalog'!$A:$A, 'Product Catalog'!$C:$C, "Unknown Category")</f>
        <v>Electronics</v>
      </c>
      <c r="M303" s="1">
        <f>_xlfn.XLOOKUP(C303, 'Product Catalog'!$A:$A, 'Product Catalog'!$D:$D, 0)</f>
        <v>161.94999999999999</v>
      </c>
      <c r="N303" s="1">
        <f t="shared" si="9"/>
        <v>161.94999999999999</v>
      </c>
    </row>
    <row r="304" spans="1:14" x14ac:dyDescent="0.3">
      <c r="A304" s="1" t="s">
        <v>661</v>
      </c>
      <c r="B304" s="1" t="s">
        <v>662</v>
      </c>
      <c r="C304" s="1" t="s">
        <v>219</v>
      </c>
      <c r="D304" s="1">
        <v>5</v>
      </c>
      <c r="E304" s="12">
        <v>45753.612500000003</v>
      </c>
      <c r="F304" s="1" t="s">
        <v>170</v>
      </c>
      <c r="G304" s="1" t="s">
        <v>50</v>
      </c>
      <c r="H304" s="1" t="s">
        <v>41</v>
      </c>
      <c r="I304" s="1" t="s">
        <v>56</v>
      </c>
      <c r="J304" s="1" t="str">
        <f t="shared" si="8"/>
        <v>cancelled</v>
      </c>
      <c r="K304" s="1" t="str">
        <f>_xlfn.XLOOKUP(C304, 'Product Catalog'!$A:$A, 'Product Catalog'!$B:$B, "Unknown Product")</f>
        <v>Cap Model P15</v>
      </c>
      <c r="L304" s="1" t="str">
        <f>_xlfn.XLOOKUP(C304, 'Product Catalog'!$A:$A, 'Product Catalog'!$C:$C, "Unknown Category")</f>
        <v>Apparel</v>
      </c>
      <c r="M304" s="1">
        <f>_xlfn.XLOOKUP(C304, 'Product Catalog'!$A:$A, 'Product Catalog'!$D:$D, 0)</f>
        <v>21.11</v>
      </c>
      <c r="N304" s="1">
        <f t="shared" si="9"/>
        <v>105.55</v>
      </c>
    </row>
    <row r="305" spans="1:14" x14ac:dyDescent="0.3">
      <c r="A305" s="1" t="s">
        <v>663</v>
      </c>
      <c r="B305" s="1" t="s">
        <v>241</v>
      </c>
      <c r="C305" s="1" t="s">
        <v>560</v>
      </c>
      <c r="D305" s="1">
        <v>1</v>
      </c>
      <c r="E305" s="12">
        <v>45887.791666666664</v>
      </c>
      <c r="F305" s="1" t="s">
        <v>170</v>
      </c>
      <c r="G305" s="1" t="s">
        <v>40</v>
      </c>
      <c r="H305" s="1" t="s">
        <v>41</v>
      </c>
      <c r="I305" s="1" t="s">
        <v>81</v>
      </c>
      <c r="J305" s="1" t="str">
        <f t="shared" si="8"/>
        <v>REFUNDED</v>
      </c>
      <c r="K305" s="1" t="str">
        <f>_xlfn.XLOOKUP(C305, 'Product Catalog'!$A:$A, 'Product Catalog'!$B:$B, "Unknown Product")</f>
        <v>Cloud Storage Basic Model P41</v>
      </c>
      <c r="L305" s="1" t="str">
        <f>_xlfn.XLOOKUP(C305, 'Product Catalog'!$A:$A, 'Product Catalog'!$C:$C, "Unknown Category")</f>
        <v>Digital Services</v>
      </c>
      <c r="M305" s="1">
        <f>_xlfn.XLOOKUP(C305, 'Product Catalog'!$A:$A, 'Product Catalog'!$D:$D, 0)</f>
        <v>96.93</v>
      </c>
      <c r="N305" s="1">
        <f t="shared" si="9"/>
        <v>96.93</v>
      </c>
    </row>
    <row r="306" spans="1:14" x14ac:dyDescent="0.3">
      <c r="A306" s="1" t="s">
        <v>664</v>
      </c>
      <c r="B306" s="1" t="s">
        <v>73</v>
      </c>
      <c r="C306" s="1" t="s">
        <v>446</v>
      </c>
      <c r="D306" s="1">
        <v>5</v>
      </c>
      <c r="E306" s="12">
        <v>45942.728472222225</v>
      </c>
      <c r="F306" s="1" t="s">
        <v>39</v>
      </c>
      <c r="G306" s="1" t="s">
        <v>31</v>
      </c>
      <c r="H306" s="1" t="s">
        <v>51</v>
      </c>
      <c r="I306" s="1" t="s">
        <v>42</v>
      </c>
      <c r="J306" s="1" t="str">
        <f t="shared" si="8"/>
        <v>PENDING_REVIEW</v>
      </c>
      <c r="K306" s="1" t="str">
        <f>_xlfn.XLOOKUP(C306, 'Product Catalog'!$A:$A, 'Product Catalog'!$B:$B, "Unknown Product")</f>
        <v>Silk Scarf Model K36</v>
      </c>
      <c r="L306" s="1" t="str">
        <f>_xlfn.XLOOKUP(C306, 'Product Catalog'!$A:$A, 'Product Catalog'!$C:$C, "Unknown Category")</f>
        <v>Luxury Goods</v>
      </c>
      <c r="M306" s="1">
        <f>_xlfn.XLOOKUP(C306, 'Product Catalog'!$A:$A, 'Product Catalog'!$D:$D, 0)</f>
        <v>737.6</v>
      </c>
      <c r="N306" s="1">
        <f t="shared" si="9"/>
        <v>3688</v>
      </c>
    </row>
    <row r="307" spans="1:14" x14ac:dyDescent="0.3">
      <c r="A307" s="1" t="s">
        <v>665</v>
      </c>
      <c r="B307" s="1" t="s">
        <v>666</v>
      </c>
      <c r="C307" s="1" t="s">
        <v>667</v>
      </c>
      <c r="D307" s="1">
        <v>2</v>
      </c>
      <c r="E307" s="12">
        <v>45866.146527777775</v>
      </c>
      <c r="F307" s="1" t="s">
        <v>19</v>
      </c>
      <c r="G307" s="1" t="s">
        <v>109</v>
      </c>
      <c r="H307" s="1" t="s">
        <v>14</v>
      </c>
      <c r="I307" s="1" t="s">
        <v>32</v>
      </c>
      <c r="J307" s="1" t="str">
        <f t="shared" si="8"/>
        <v>SHIPPED</v>
      </c>
      <c r="K307" s="1" t="str">
        <f>_xlfn.XLOOKUP(C307, 'Product Catalog'!$A:$A, 'Product Catalog'!$B:$B, "Unknown Product")</f>
        <v>Mug Model N65</v>
      </c>
      <c r="L307" s="1" t="str">
        <f>_xlfn.XLOOKUP(C307, 'Product Catalog'!$A:$A, 'Product Catalog'!$C:$C, "Unknown Category")</f>
        <v>Home Goods</v>
      </c>
      <c r="M307" s="1">
        <f>_xlfn.XLOOKUP(C307, 'Product Catalog'!$A:$A, 'Product Catalog'!$D:$D, 0)</f>
        <v>131.44999999999999</v>
      </c>
      <c r="N307" s="1">
        <f t="shared" si="9"/>
        <v>262.89999999999998</v>
      </c>
    </row>
    <row r="308" spans="1:14" x14ac:dyDescent="0.3">
      <c r="A308" s="1" t="s">
        <v>668</v>
      </c>
      <c r="B308" s="1" t="s">
        <v>107</v>
      </c>
      <c r="C308" s="1" t="s">
        <v>200</v>
      </c>
      <c r="D308" s="1">
        <v>1</v>
      </c>
      <c r="E308" s="12">
        <v>45671.127083333333</v>
      </c>
      <c r="F308" s="1" t="s">
        <v>12</v>
      </c>
      <c r="G308" s="1" t="s">
        <v>46</v>
      </c>
      <c r="H308" s="1" t="s">
        <v>14</v>
      </c>
      <c r="I308" s="1" t="s">
        <v>15</v>
      </c>
      <c r="J308" s="1" t="str">
        <f t="shared" si="8"/>
        <v>delivered</v>
      </c>
      <c r="K308" s="1" t="str">
        <f>_xlfn.XLOOKUP(C308, 'Product Catalog'!$A:$A, 'Product Catalog'!$B:$B, "Unknown Product")</f>
        <v>Socks Model G58</v>
      </c>
      <c r="L308" s="1" t="str">
        <f>_xlfn.XLOOKUP(C308, 'Product Catalog'!$A:$A, 'Product Catalog'!$C:$C, "Unknown Category")</f>
        <v>Apparel</v>
      </c>
      <c r="M308" s="1">
        <f>_xlfn.XLOOKUP(C308, 'Product Catalog'!$A:$A, 'Product Catalog'!$D:$D, 0)</f>
        <v>30.18</v>
      </c>
      <c r="N308" s="1">
        <f t="shared" si="9"/>
        <v>30.18</v>
      </c>
    </row>
    <row r="309" spans="1:14" x14ac:dyDescent="0.3">
      <c r="A309" s="1" t="s">
        <v>669</v>
      </c>
      <c r="B309" s="1" t="s">
        <v>494</v>
      </c>
      <c r="C309" s="1" t="s">
        <v>399</v>
      </c>
      <c r="D309" s="1">
        <v>1</v>
      </c>
      <c r="E309" s="12">
        <v>45839.788194444445</v>
      </c>
      <c r="F309" s="1" t="s">
        <v>19</v>
      </c>
      <c r="G309" s="1" t="s">
        <v>31</v>
      </c>
      <c r="H309" s="1" t="s">
        <v>24</v>
      </c>
      <c r="I309" s="1" t="s">
        <v>81</v>
      </c>
      <c r="J309" s="1" t="str">
        <f t="shared" si="8"/>
        <v>REFUNDED</v>
      </c>
      <c r="K309" s="1" t="str">
        <f>_xlfn.XLOOKUP(C309, 'Product Catalog'!$A:$A, 'Product Catalog'!$B:$B, "Unknown Product")</f>
        <v>E-Book Access Model W22</v>
      </c>
      <c r="L309" s="1" t="str">
        <f>_xlfn.XLOOKUP(C309, 'Product Catalog'!$A:$A, 'Product Catalog'!$C:$C, "Unknown Category")</f>
        <v>Digital Services</v>
      </c>
      <c r="M309" s="1">
        <f>_xlfn.XLOOKUP(C309, 'Product Catalog'!$A:$A, 'Product Catalog'!$D:$D, 0)</f>
        <v>11.22</v>
      </c>
      <c r="N309" s="1">
        <f t="shared" si="9"/>
        <v>11.22</v>
      </c>
    </row>
    <row r="310" spans="1:14" x14ac:dyDescent="0.3">
      <c r="A310" s="1" t="s">
        <v>670</v>
      </c>
      <c r="B310" s="1" t="s">
        <v>388</v>
      </c>
      <c r="C310" s="1" t="s">
        <v>134</v>
      </c>
      <c r="D310" s="1">
        <v>2</v>
      </c>
      <c r="E310" s="12">
        <v>45705.848611111112</v>
      </c>
      <c r="F310" s="1" t="s">
        <v>19</v>
      </c>
      <c r="G310" s="1" t="s">
        <v>13</v>
      </c>
      <c r="H310" s="1" t="s">
        <v>41</v>
      </c>
      <c r="I310" s="1" t="s">
        <v>15</v>
      </c>
      <c r="J310" s="1" t="str">
        <f t="shared" si="8"/>
        <v>delivered</v>
      </c>
      <c r="K310" s="1" t="str">
        <f>_xlfn.XLOOKUP(C310, 'Product Catalog'!$A:$A, 'Product Catalog'!$B:$B, "Unknown Product")</f>
        <v>Cloud Storage Basic Model O144</v>
      </c>
      <c r="L310" s="1" t="str">
        <f>_xlfn.XLOOKUP(C310, 'Product Catalog'!$A:$A, 'Product Catalog'!$C:$C, "Unknown Category")</f>
        <v>Digital Services</v>
      </c>
      <c r="M310" s="1">
        <f>_xlfn.XLOOKUP(C310, 'Product Catalog'!$A:$A, 'Product Catalog'!$D:$D, 0)</f>
        <v>41.55</v>
      </c>
      <c r="N310" s="1">
        <f t="shared" si="9"/>
        <v>83.1</v>
      </c>
    </row>
    <row r="311" spans="1:14" x14ac:dyDescent="0.3">
      <c r="A311" s="1" t="s">
        <v>671</v>
      </c>
      <c r="B311" s="1" t="s">
        <v>494</v>
      </c>
      <c r="C311" s="1" t="s">
        <v>216</v>
      </c>
      <c r="D311" s="1">
        <v>5</v>
      </c>
      <c r="E311" s="12">
        <v>45964.461111111108</v>
      </c>
      <c r="F311" s="1" t="s">
        <v>19</v>
      </c>
      <c r="G311" s="1" t="s">
        <v>109</v>
      </c>
      <c r="H311" s="1" t="s">
        <v>55</v>
      </c>
      <c r="I311" s="1" t="s">
        <v>81</v>
      </c>
      <c r="J311" s="1" t="str">
        <f t="shared" si="8"/>
        <v>REFUNDED</v>
      </c>
      <c r="K311" s="1" t="str">
        <f>_xlfn.XLOOKUP(C311, 'Product Catalog'!$A:$A, 'Product Catalog'!$B:$B, "Unknown Product")</f>
        <v>Premium Perfume Model X23</v>
      </c>
      <c r="L311" s="1" t="str">
        <f>_xlfn.XLOOKUP(C311, 'Product Catalog'!$A:$A, 'Product Catalog'!$C:$C, "Unknown Category")</f>
        <v>Luxury Goods</v>
      </c>
      <c r="M311" s="1">
        <f>_xlfn.XLOOKUP(C311, 'Product Catalog'!$A:$A, 'Product Catalog'!$D:$D, 0)</f>
        <v>767.78</v>
      </c>
      <c r="N311" s="1">
        <f t="shared" si="9"/>
        <v>3838.8999999999996</v>
      </c>
    </row>
    <row r="312" spans="1:14" x14ac:dyDescent="0.3">
      <c r="A312" s="1" t="s">
        <v>672</v>
      </c>
      <c r="B312" s="1" t="s">
        <v>285</v>
      </c>
      <c r="C312" s="1" t="s">
        <v>265</v>
      </c>
      <c r="D312" s="1">
        <v>1</v>
      </c>
      <c r="E312" s="12">
        <v>45855.017361111109</v>
      </c>
      <c r="F312" s="1" t="s">
        <v>19</v>
      </c>
      <c r="G312" s="1" t="s">
        <v>46</v>
      </c>
      <c r="H312" s="1" t="s">
        <v>14</v>
      </c>
      <c r="I312" s="1" t="s">
        <v>32</v>
      </c>
      <c r="J312" s="1" t="str">
        <f t="shared" si="8"/>
        <v>SHIPPED</v>
      </c>
      <c r="K312" s="1" t="str">
        <f>_xlfn.XLOOKUP(C312, 'Product Catalog'!$A:$A, 'Product Catalog'!$B:$B, "Unknown Product")</f>
        <v>Sneakers Model R121</v>
      </c>
      <c r="L312" s="1" t="str">
        <f>_xlfn.XLOOKUP(C312, 'Product Catalog'!$A:$A, 'Product Catalog'!$C:$C, "Unknown Category")</f>
        <v>Apparel</v>
      </c>
      <c r="M312" s="1">
        <f>_xlfn.XLOOKUP(C312, 'Product Catalog'!$A:$A, 'Product Catalog'!$D:$D, 0)</f>
        <v>44.15</v>
      </c>
      <c r="N312" s="1">
        <f t="shared" si="9"/>
        <v>44.15</v>
      </c>
    </row>
    <row r="313" spans="1:14" x14ac:dyDescent="0.3">
      <c r="A313" s="1" t="s">
        <v>673</v>
      </c>
      <c r="B313" s="1" t="s">
        <v>300</v>
      </c>
      <c r="C313" s="1" t="s">
        <v>619</v>
      </c>
      <c r="D313" s="1">
        <v>4</v>
      </c>
      <c r="E313" s="12">
        <v>45807.588194444441</v>
      </c>
      <c r="F313" s="1" t="s">
        <v>12</v>
      </c>
      <c r="G313" s="1" t="s">
        <v>40</v>
      </c>
      <c r="H313" s="1" t="s">
        <v>41</v>
      </c>
      <c r="I313" s="1" t="s">
        <v>42</v>
      </c>
      <c r="J313" s="1" t="str">
        <f t="shared" si="8"/>
        <v>PENDING_REVIEW</v>
      </c>
      <c r="K313" s="1" t="str">
        <f>_xlfn.XLOOKUP(C313, 'Product Catalog'!$A:$A, 'Product Catalog'!$B:$B, "Unknown Product")</f>
        <v>Jacket Model B27</v>
      </c>
      <c r="L313" s="1" t="str">
        <f>_xlfn.XLOOKUP(C313, 'Product Catalog'!$A:$A, 'Product Catalog'!$C:$C, "Unknown Category")</f>
        <v>Apparel</v>
      </c>
      <c r="M313" s="1">
        <f>_xlfn.XLOOKUP(C313, 'Product Catalog'!$A:$A, 'Product Catalog'!$D:$D, 0)</f>
        <v>64.290000000000006</v>
      </c>
      <c r="N313" s="1">
        <f t="shared" si="9"/>
        <v>257.16000000000003</v>
      </c>
    </row>
    <row r="314" spans="1:14" x14ac:dyDescent="0.3">
      <c r="A314" s="1" t="s">
        <v>674</v>
      </c>
      <c r="B314" s="1" t="s">
        <v>461</v>
      </c>
      <c r="C314" s="1" t="s">
        <v>565</v>
      </c>
      <c r="D314" s="1">
        <v>5</v>
      </c>
      <c r="E314" s="12">
        <v>45856.120138888888</v>
      </c>
      <c r="F314" s="1" t="s">
        <v>12</v>
      </c>
      <c r="G314" s="1" t="s">
        <v>50</v>
      </c>
      <c r="H314" s="1" t="s">
        <v>41</v>
      </c>
      <c r="I314" s="1" t="s">
        <v>102</v>
      </c>
      <c r="J314" s="1" t="str">
        <f t="shared" si="8"/>
        <v>disputed</v>
      </c>
      <c r="K314" s="1" t="str">
        <f>_xlfn.XLOOKUP(C314, 'Product Catalog'!$A:$A, 'Product Catalog'!$B:$B, "Unknown Product")</f>
        <v>Mug Model X75</v>
      </c>
      <c r="L314" s="1" t="str">
        <f>_xlfn.XLOOKUP(C314, 'Product Catalog'!$A:$A, 'Product Catalog'!$C:$C, "Unknown Category")</f>
        <v>Home Goods</v>
      </c>
      <c r="M314" s="1">
        <f>_xlfn.XLOOKUP(C314, 'Product Catalog'!$A:$A, 'Product Catalog'!$D:$D, 0)</f>
        <v>40.94</v>
      </c>
      <c r="N314" s="1">
        <f t="shared" si="9"/>
        <v>204.7</v>
      </c>
    </row>
    <row r="315" spans="1:14" x14ac:dyDescent="0.3">
      <c r="A315" s="1" t="s">
        <v>675</v>
      </c>
      <c r="B315" s="1" t="s">
        <v>83</v>
      </c>
      <c r="C315" s="1" t="s">
        <v>452</v>
      </c>
      <c r="D315" s="1">
        <v>1</v>
      </c>
      <c r="E315" s="12">
        <v>45944.345138888886</v>
      </c>
      <c r="F315" s="1" t="s">
        <v>12</v>
      </c>
      <c r="G315" s="1" t="s">
        <v>31</v>
      </c>
      <c r="H315" s="1" t="s">
        <v>24</v>
      </c>
      <c r="I315" s="1" t="s">
        <v>32</v>
      </c>
      <c r="J315" s="1" t="str">
        <f t="shared" si="8"/>
        <v>SHIPPED</v>
      </c>
      <c r="K315" s="1" t="str">
        <f>_xlfn.XLOOKUP(C315, 'Product Catalog'!$A:$A, 'Product Catalog'!$B:$B, "Unknown Product")</f>
        <v>E-Book Access Model U150</v>
      </c>
      <c r="L315" s="1" t="str">
        <f>_xlfn.XLOOKUP(C315, 'Product Catalog'!$A:$A, 'Product Catalog'!$C:$C, "Unknown Category")</f>
        <v>Digital Services</v>
      </c>
      <c r="M315" s="1">
        <f>_xlfn.XLOOKUP(C315, 'Product Catalog'!$A:$A, 'Product Catalog'!$D:$D, 0)</f>
        <v>75.69</v>
      </c>
      <c r="N315" s="1">
        <f t="shared" si="9"/>
        <v>75.69</v>
      </c>
    </row>
    <row r="316" spans="1:14" x14ac:dyDescent="0.3">
      <c r="A316" s="1" t="s">
        <v>676</v>
      </c>
      <c r="B316" s="1" t="s">
        <v>638</v>
      </c>
      <c r="C316" s="1" t="s">
        <v>677</v>
      </c>
      <c r="D316" s="1">
        <v>1</v>
      </c>
      <c r="E316" s="12">
        <v>45950.740972222222</v>
      </c>
      <c r="F316" s="1" t="s">
        <v>19</v>
      </c>
      <c r="G316" s="1" t="s">
        <v>13</v>
      </c>
      <c r="H316" s="1" t="s">
        <v>14</v>
      </c>
      <c r="I316" s="1" t="s">
        <v>15</v>
      </c>
      <c r="J316" s="1" t="str">
        <f t="shared" si="8"/>
        <v>delivered</v>
      </c>
      <c r="K316" s="1" t="str">
        <f>_xlfn.XLOOKUP(C316, 'Product Catalog'!$A:$A, 'Product Catalog'!$B:$B, "Unknown Product")</f>
        <v>Charger Model Y128</v>
      </c>
      <c r="L316" s="1" t="str">
        <f>_xlfn.XLOOKUP(C316, 'Product Catalog'!$A:$A, 'Product Catalog'!$C:$C, "Unknown Category")</f>
        <v>Electronics</v>
      </c>
      <c r="M316" s="1">
        <f>_xlfn.XLOOKUP(C316, 'Product Catalog'!$A:$A, 'Product Catalog'!$D:$D, 0)</f>
        <v>46.33</v>
      </c>
      <c r="N316" s="1">
        <f t="shared" si="9"/>
        <v>46.33</v>
      </c>
    </row>
    <row r="317" spans="1:14" x14ac:dyDescent="0.3">
      <c r="A317" s="1" t="s">
        <v>678</v>
      </c>
      <c r="B317" s="1" t="s">
        <v>454</v>
      </c>
      <c r="C317" s="1" t="s">
        <v>23</v>
      </c>
      <c r="D317" s="1">
        <v>5</v>
      </c>
      <c r="E317" s="12">
        <v>45744.974305555559</v>
      </c>
      <c r="F317" s="1" t="s">
        <v>12</v>
      </c>
      <c r="G317" s="1" t="s">
        <v>50</v>
      </c>
      <c r="H317" s="1" t="s">
        <v>51</v>
      </c>
      <c r="I317" s="1" t="s">
        <v>81</v>
      </c>
      <c r="J317" s="1" t="str">
        <f t="shared" si="8"/>
        <v>REFUNDED</v>
      </c>
      <c r="K317" s="1" t="str">
        <f>_xlfn.XLOOKUP(C317, 'Product Catalog'!$A:$A, 'Product Catalog'!$B:$B, "Unknown Product")</f>
        <v>Mouse Model A78</v>
      </c>
      <c r="L317" s="1" t="str">
        <f>_xlfn.XLOOKUP(C317, 'Product Catalog'!$A:$A, 'Product Catalog'!$C:$C, "Unknown Category")</f>
        <v>Electronics</v>
      </c>
      <c r="M317" s="1">
        <f>_xlfn.XLOOKUP(C317, 'Product Catalog'!$A:$A, 'Product Catalog'!$D:$D, 0)</f>
        <v>141.34</v>
      </c>
      <c r="N317" s="1">
        <f t="shared" si="9"/>
        <v>706.7</v>
      </c>
    </row>
    <row r="318" spans="1:14" x14ac:dyDescent="0.3">
      <c r="A318" s="1" t="s">
        <v>679</v>
      </c>
      <c r="B318" s="1" t="s">
        <v>70</v>
      </c>
      <c r="C318" s="1" t="s">
        <v>90</v>
      </c>
      <c r="D318" s="1">
        <v>1</v>
      </c>
      <c r="E318" s="12">
        <v>45852.240972222222</v>
      </c>
      <c r="F318" s="1" t="s">
        <v>12</v>
      </c>
      <c r="G318" s="1" t="s">
        <v>40</v>
      </c>
      <c r="H318" s="1" t="s">
        <v>55</v>
      </c>
      <c r="I318" s="1" t="s">
        <v>102</v>
      </c>
      <c r="J318" s="1" t="str">
        <f t="shared" si="8"/>
        <v>disputed</v>
      </c>
      <c r="K318" s="1" t="str">
        <f>_xlfn.XLOOKUP(C318, 'Product Catalog'!$A:$A, 'Product Catalog'!$B:$B, "Unknown Product")</f>
        <v>VPN 6-Month Pass Model F109</v>
      </c>
      <c r="L318" s="1" t="str">
        <f>_xlfn.XLOOKUP(C318, 'Product Catalog'!$A:$A, 'Product Catalog'!$C:$C, "Unknown Category")</f>
        <v>Digital Services</v>
      </c>
      <c r="M318" s="1">
        <f>_xlfn.XLOOKUP(C318, 'Product Catalog'!$A:$A, 'Product Catalog'!$D:$D, 0)</f>
        <v>22.87</v>
      </c>
      <c r="N318" s="1">
        <f t="shared" si="9"/>
        <v>22.87</v>
      </c>
    </row>
    <row r="319" spans="1:14" x14ac:dyDescent="0.3">
      <c r="A319" s="1" t="s">
        <v>680</v>
      </c>
      <c r="B319" s="1" t="s">
        <v>648</v>
      </c>
      <c r="C319" s="1" t="s">
        <v>229</v>
      </c>
      <c r="D319" s="1">
        <v>1</v>
      </c>
      <c r="E319" s="12">
        <v>45729.381944444445</v>
      </c>
      <c r="F319" s="1" t="s">
        <v>19</v>
      </c>
      <c r="G319" s="1" t="s">
        <v>109</v>
      </c>
      <c r="H319" s="1" t="s">
        <v>24</v>
      </c>
      <c r="I319" s="1" t="s">
        <v>15</v>
      </c>
      <c r="J319" s="1" t="str">
        <f t="shared" si="8"/>
        <v>delivered</v>
      </c>
      <c r="K319" s="1" t="str">
        <f>_xlfn.XLOOKUP(C319, 'Product Catalog'!$A:$A, 'Product Catalog'!$B:$B, "Unknown Product")</f>
        <v>Premium Stream 1M Model O118</v>
      </c>
      <c r="L319" s="1" t="str">
        <f>_xlfn.XLOOKUP(C319, 'Product Catalog'!$A:$A, 'Product Catalog'!$C:$C, "Unknown Category")</f>
        <v>Digital Services</v>
      </c>
      <c r="M319" s="1">
        <f>_xlfn.XLOOKUP(C319, 'Product Catalog'!$A:$A, 'Product Catalog'!$D:$D, 0)</f>
        <v>53.05</v>
      </c>
      <c r="N319" s="1">
        <f t="shared" si="9"/>
        <v>53.05</v>
      </c>
    </row>
    <row r="320" spans="1:14" x14ac:dyDescent="0.3">
      <c r="A320" s="1" t="s">
        <v>681</v>
      </c>
      <c r="B320" s="1" t="s">
        <v>406</v>
      </c>
      <c r="C320" s="1" t="s">
        <v>352</v>
      </c>
      <c r="D320" s="1">
        <v>1</v>
      </c>
      <c r="E320" s="12">
        <v>45812.381249999999</v>
      </c>
      <c r="F320" s="1" t="s">
        <v>12</v>
      </c>
      <c r="G320" s="1" t="s">
        <v>50</v>
      </c>
      <c r="H320" s="1" t="s">
        <v>55</v>
      </c>
      <c r="I320" s="1" t="s">
        <v>42</v>
      </c>
      <c r="J320" s="1" t="str">
        <f t="shared" si="8"/>
        <v>PENDING_REVIEW</v>
      </c>
      <c r="K320" s="1" t="str">
        <f>_xlfn.XLOOKUP(C320, 'Product Catalog'!$A:$A, 'Product Catalog'!$B:$B, "Unknown Product")</f>
        <v>VPN 6-Month Pass Model U46</v>
      </c>
      <c r="L320" s="1" t="str">
        <f>_xlfn.XLOOKUP(C320, 'Product Catalog'!$A:$A, 'Product Catalog'!$C:$C, "Unknown Category")</f>
        <v>Digital Services</v>
      </c>
      <c r="M320" s="1">
        <f>_xlfn.XLOOKUP(C320, 'Product Catalog'!$A:$A, 'Product Catalog'!$D:$D, 0)</f>
        <v>47.44</v>
      </c>
      <c r="N320" s="1">
        <f t="shared" si="9"/>
        <v>47.44</v>
      </c>
    </row>
    <row r="321" spans="1:14" x14ac:dyDescent="0.3">
      <c r="A321" s="1" t="s">
        <v>682</v>
      </c>
      <c r="B321" s="1" t="s">
        <v>683</v>
      </c>
      <c r="C321" s="1" t="s">
        <v>140</v>
      </c>
      <c r="D321" s="1">
        <v>1</v>
      </c>
      <c r="E321" s="12">
        <v>45910.206944444442</v>
      </c>
      <c r="F321" s="1" t="s">
        <v>12</v>
      </c>
      <c r="G321" s="1" t="s">
        <v>109</v>
      </c>
      <c r="H321" s="1" t="s">
        <v>24</v>
      </c>
      <c r="I321" s="1" t="s">
        <v>32</v>
      </c>
      <c r="J321" s="1" t="str">
        <f t="shared" si="8"/>
        <v>SHIPPED</v>
      </c>
      <c r="K321" s="1" t="str">
        <f>_xlfn.XLOOKUP(C321, 'Product Catalog'!$A:$A, 'Product Catalog'!$B:$B, "Unknown Product")</f>
        <v>Blender Model H85</v>
      </c>
      <c r="L321" s="1" t="str">
        <f>_xlfn.XLOOKUP(C321, 'Product Catalog'!$A:$A, 'Product Catalog'!$C:$C, "Unknown Category")</f>
        <v>Home Goods</v>
      </c>
      <c r="M321" s="1">
        <f>_xlfn.XLOOKUP(C321, 'Product Catalog'!$A:$A, 'Product Catalog'!$D:$D, 0)</f>
        <v>130</v>
      </c>
      <c r="N321" s="1">
        <f t="shared" si="9"/>
        <v>130</v>
      </c>
    </row>
    <row r="322" spans="1:14" x14ac:dyDescent="0.3">
      <c r="A322" s="1" t="s">
        <v>684</v>
      </c>
      <c r="B322" s="1" t="s">
        <v>553</v>
      </c>
      <c r="C322" s="1" t="s">
        <v>122</v>
      </c>
      <c r="D322" s="1">
        <v>1</v>
      </c>
      <c r="E322" s="12">
        <v>45690.237500000003</v>
      </c>
      <c r="F322" s="1" t="s">
        <v>19</v>
      </c>
      <c r="G322" s="1" t="s">
        <v>13</v>
      </c>
      <c r="H322" s="1" t="s">
        <v>55</v>
      </c>
      <c r="I322" s="1" t="s">
        <v>81</v>
      </c>
      <c r="J322" s="1" t="str">
        <f t="shared" ref="J322:J385" si="10">TRIM(I322)</f>
        <v>REFUNDED</v>
      </c>
      <c r="K322" s="1" t="str">
        <f>_xlfn.XLOOKUP(C322, 'Product Catalog'!$A:$A, 'Product Catalog'!$B:$B, "Unknown Product")</f>
        <v>Gold Bracelet Model I86</v>
      </c>
      <c r="L322" s="1" t="str">
        <f>_xlfn.XLOOKUP(C322, 'Product Catalog'!$A:$A, 'Product Catalog'!$C:$C, "Unknown Category")</f>
        <v>Luxury Goods</v>
      </c>
      <c r="M322" s="1">
        <f>_xlfn.XLOOKUP(C322, 'Product Catalog'!$A:$A, 'Product Catalog'!$D:$D, 0)</f>
        <v>852.47</v>
      </c>
      <c r="N322" s="1">
        <f t="shared" ref="N322:N385" si="11">D322 * M322</f>
        <v>852.47</v>
      </c>
    </row>
    <row r="323" spans="1:14" x14ac:dyDescent="0.3">
      <c r="A323" s="1" t="s">
        <v>685</v>
      </c>
      <c r="B323" s="1" t="s">
        <v>686</v>
      </c>
      <c r="C323" s="1" t="s">
        <v>459</v>
      </c>
      <c r="D323" s="1">
        <v>3</v>
      </c>
      <c r="E323" s="12">
        <v>45880.392361111109</v>
      </c>
      <c r="F323" s="1" t="s">
        <v>12</v>
      </c>
      <c r="G323" s="1" t="s">
        <v>46</v>
      </c>
      <c r="H323" s="1" t="s">
        <v>14</v>
      </c>
      <c r="I323" s="1" t="s">
        <v>42</v>
      </c>
      <c r="J323" s="1" t="str">
        <f t="shared" si="10"/>
        <v>PENDING_REVIEW</v>
      </c>
      <c r="K323" s="1" t="str">
        <f>_xlfn.XLOOKUP(C323, 'Product Catalog'!$A:$A, 'Product Catalog'!$B:$B, "Unknown Product")</f>
        <v>Mouse Model I60</v>
      </c>
      <c r="L323" s="1" t="str">
        <f>_xlfn.XLOOKUP(C323, 'Product Catalog'!$A:$A, 'Product Catalog'!$C:$C, "Unknown Category")</f>
        <v>Electronics</v>
      </c>
      <c r="M323" s="1">
        <f>_xlfn.XLOOKUP(C323, 'Product Catalog'!$A:$A, 'Product Catalog'!$D:$D, 0)</f>
        <v>168.25</v>
      </c>
      <c r="N323" s="1">
        <f t="shared" si="11"/>
        <v>504.75</v>
      </c>
    </row>
    <row r="324" spans="1:14" x14ac:dyDescent="0.3">
      <c r="A324" s="1" t="s">
        <v>687</v>
      </c>
      <c r="B324" s="1" t="s">
        <v>208</v>
      </c>
      <c r="C324" s="1" t="s">
        <v>314</v>
      </c>
      <c r="D324" s="1">
        <v>5</v>
      </c>
      <c r="E324" s="12">
        <v>45873.425694444442</v>
      </c>
      <c r="F324" s="1" t="s">
        <v>12</v>
      </c>
      <c r="G324" s="1" t="s">
        <v>40</v>
      </c>
      <c r="H324" s="1" t="s">
        <v>51</v>
      </c>
      <c r="I324" s="1" t="s">
        <v>56</v>
      </c>
      <c r="J324" s="1" t="str">
        <f t="shared" si="10"/>
        <v>cancelled</v>
      </c>
      <c r="K324" s="1" t="str">
        <f>_xlfn.XLOOKUP(C324, 'Product Catalog'!$A:$A, 'Product Catalog'!$B:$B, "Unknown Product")</f>
        <v>Smartwatch Model A104</v>
      </c>
      <c r="L324" s="1" t="str">
        <f>_xlfn.XLOOKUP(C324, 'Product Catalog'!$A:$A, 'Product Catalog'!$C:$C, "Unknown Category")</f>
        <v>Electronics</v>
      </c>
      <c r="M324" s="1">
        <f>_xlfn.XLOOKUP(C324, 'Product Catalog'!$A:$A, 'Product Catalog'!$D:$D, 0)</f>
        <v>80.59</v>
      </c>
      <c r="N324" s="1">
        <f t="shared" si="11"/>
        <v>402.95000000000005</v>
      </c>
    </row>
    <row r="325" spans="1:14" x14ac:dyDescent="0.3">
      <c r="A325" s="1" t="s">
        <v>688</v>
      </c>
      <c r="B325" s="1" t="s">
        <v>689</v>
      </c>
      <c r="C325" s="1" t="s">
        <v>407</v>
      </c>
      <c r="D325" s="1">
        <v>2</v>
      </c>
      <c r="E325" s="12">
        <v>45905.109027777777</v>
      </c>
      <c r="F325" s="1" t="s">
        <v>12</v>
      </c>
      <c r="G325" s="1" t="s">
        <v>31</v>
      </c>
      <c r="H325" s="1" t="s">
        <v>14</v>
      </c>
      <c r="I325" s="1" t="s">
        <v>15</v>
      </c>
      <c r="J325" s="1" t="str">
        <f t="shared" si="10"/>
        <v>delivered</v>
      </c>
      <c r="K325" s="1" t="str">
        <f>_xlfn.XLOOKUP(C325, 'Product Catalog'!$A:$A, 'Product Catalog'!$B:$B, "Unknown Product")</f>
        <v>Desk Lamp Model K10</v>
      </c>
      <c r="L325" s="1" t="str">
        <f>_xlfn.XLOOKUP(C325, 'Product Catalog'!$A:$A, 'Product Catalog'!$C:$C, "Unknown Category")</f>
        <v>Home Goods</v>
      </c>
      <c r="M325" s="1">
        <f>_xlfn.XLOOKUP(C325, 'Product Catalog'!$A:$A, 'Product Catalog'!$D:$D, 0)</f>
        <v>62.32</v>
      </c>
      <c r="N325" s="1">
        <f t="shared" si="11"/>
        <v>124.64</v>
      </c>
    </row>
    <row r="326" spans="1:14" x14ac:dyDescent="0.3">
      <c r="A326" s="1" t="s">
        <v>690</v>
      </c>
      <c r="B326" s="1" t="s">
        <v>136</v>
      </c>
      <c r="C326" s="1" t="s">
        <v>691</v>
      </c>
      <c r="D326" s="1">
        <v>5</v>
      </c>
      <c r="E326" s="12">
        <v>45842.357638888891</v>
      </c>
      <c r="F326" s="1" t="s">
        <v>19</v>
      </c>
      <c r="G326" s="1" t="s">
        <v>40</v>
      </c>
      <c r="H326" s="1" t="s">
        <v>41</v>
      </c>
      <c r="I326" s="1" t="s">
        <v>81</v>
      </c>
      <c r="J326" s="1" t="str">
        <f t="shared" si="10"/>
        <v>REFUNDED</v>
      </c>
      <c r="K326" s="1" t="str">
        <f>_xlfn.XLOOKUP(C326, 'Product Catalog'!$A:$A, 'Product Catalog'!$B:$B, "Unknown Product")</f>
        <v>Designer Watch Model T123</v>
      </c>
      <c r="L326" s="1" t="str">
        <f>_xlfn.XLOOKUP(C326, 'Product Catalog'!$A:$A, 'Product Catalog'!$C:$C, "Unknown Category")</f>
        <v>Luxury Goods</v>
      </c>
      <c r="M326" s="1">
        <f>_xlfn.XLOOKUP(C326, 'Product Catalog'!$A:$A, 'Product Catalog'!$D:$D, 0)</f>
        <v>1301.92</v>
      </c>
      <c r="N326" s="1">
        <f t="shared" si="11"/>
        <v>6509.6</v>
      </c>
    </row>
    <row r="327" spans="1:14" x14ac:dyDescent="0.3">
      <c r="A327" s="1" t="s">
        <v>692</v>
      </c>
      <c r="B327" s="1" t="s">
        <v>693</v>
      </c>
      <c r="C327" s="1" t="s">
        <v>95</v>
      </c>
      <c r="D327" s="1">
        <v>1</v>
      </c>
      <c r="E327" s="12">
        <v>45784.888888888891</v>
      </c>
      <c r="F327" s="1" t="s">
        <v>12</v>
      </c>
      <c r="G327" s="1" t="s">
        <v>109</v>
      </c>
      <c r="H327" s="1" t="s">
        <v>24</v>
      </c>
      <c r="I327" s="1" t="s">
        <v>15</v>
      </c>
      <c r="J327" s="1" t="str">
        <f t="shared" si="10"/>
        <v>delivered</v>
      </c>
      <c r="K327" s="1" t="str">
        <f>_xlfn.XLOOKUP(C327, 'Product Catalog'!$A:$A, 'Product Catalog'!$B:$B, "Unknown Product")</f>
        <v>Jacket Model U72</v>
      </c>
      <c r="L327" s="1" t="str">
        <f>_xlfn.XLOOKUP(C327, 'Product Catalog'!$A:$A, 'Product Catalog'!$C:$C, "Unknown Category")</f>
        <v>Apparel</v>
      </c>
      <c r="M327" s="1">
        <f>_xlfn.XLOOKUP(C327, 'Product Catalog'!$A:$A, 'Product Catalog'!$D:$D, 0)</f>
        <v>75.400000000000006</v>
      </c>
      <c r="N327" s="1">
        <f t="shared" si="11"/>
        <v>75.400000000000006</v>
      </c>
    </row>
    <row r="328" spans="1:14" x14ac:dyDescent="0.3">
      <c r="A328" s="1" t="s">
        <v>694</v>
      </c>
      <c r="B328" s="1" t="s">
        <v>494</v>
      </c>
      <c r="C328" s="1" t="s">
        <v>117</v>
      </c>
      <c r="D328" s="1">
        <v>1</v>
      </c>
      <c r="E328" s="12">
        <v>45911.844444444447</v>
      </c>
      <c r="F328" s="1" t="s">
        <v>19</v>
      </c>
      <c r="G328" s="1" t="s">
        <v>31</v>
      </c>
      <c r="H328" s="1" t="s">
        <v>41</v>
      </c>
      <c r="I328" s="1" t="s">
        <v>15</v>
      </c>
      <c r="J328" s="1" t="str">
        <f t="shared" si="10"/>
        <v>delivered</v>
      </c>
      <c r="K328" s="1" t="str">
        <f>_xlfn.XLOOKUP(C328, 'Product Catalog'!$A:$A, 'Product Catalog'!$B:$B, "Unknown Product")</f>
        <v>Organizer Model R95</v>
      </c>
      <c r="L328" s="1" t="str">
        <f>_xlfn.XLOOKUP(C328, 'Product Catalog'!$A:$A, 'Product Catalog'!$C:$C, "Unknown Category")</f>
        <v>Home Goods</v>
      </c>
      <c r="M328" s="1">
        <f>_xlfn.XLOOKUP(C328, 'Product Catalog'!$A:$A, 'Product Catalog'!$D:$D, 0)</f>
        <v>109.58</v>
      </c>
      <c r="N328" s="1">
        <f t="shared" si="11"/>
        <v>109.58</v>
      </c>
    </row>
    <row r="329" spans="1:14" x14ac:dyDescent="0.3">
      <c r="A329" s="1" t="s">
        <v>695</v>
      </c>
      <c r="B329" s="1" t="s">
        <v>696</v>
      </c>
      <c r="C329" s="1" t="s">
        <v>157</v>
      </c>
      <c r="D329" s="1">
        <v>1</v>
      </c>
      <c r="E329" s="12">
        <v>45973.277777777781</v>
      </c>
      <c r="F329" s="1" t="s">
        <v>19</v>
      </c>
      <c r="G329" s="1" t="s">
        <v>109</v>
      </c>
      <c r="H329" s="1" t="s">
        <v>41</v>
      </c>
      <c r="I329" s="1" t="s">
        <v>81</v>
      </c>
      <c r="J329" s="1" t="str">
        <f t="shared" si="10"/>
        <v>REFUNDED</v>
      </c>
      <c r="K329" s="1" t="str">
        <f>_xlfn.XLOOKUP(C329, 'Product Catalog'!$A:$A, 'Product Catalog'!$B:$B, "Unknown Product")</f>
        <v>Coffee Maker Model Q68</v>
      </c>
      <c r="L329" s="1" t="str">
        <f>_xlfn.XLOOKUP(C329, 'Product Catalog'!$A:$A, 'Product Catalog'!$C:$C, "Unknown Category")</f>
        <v>Home Goods</v>
      </c>
      <c r="M329" s="1">
        <f>_xlfn.XLOOKUP(C329, 'Product Catalog'!$A:$A, 'Product Catalog'!$D:$D, 0)</f>
        <v>28.02</v>
      </c>
      <c r="N329" s="1">
        <f t="shared" si="11"/>
        <v>28.02</v>
      </c>
    </row>
    <row r="330" spans="1:14" x14ac:dyDescent="0.3">
      <c r="A330" s="1" t="s">
        <v>697</v>
      </c>
      <c r="B330" s="1" t="s">
        <v>698</v>
      </c>
      <c r="C330" s="1" t="s">
        <v>380</v>
      </c>
      <c r="D330" s="1">
        <v>1</v>
      </c>
      <c r="E330" s="12">
        <v>45892.152083333334</v>
      </c>
      <c r="F330" s="1" t="s">
        <v>19</v>
      </c>
      <c r="G330" s="1" t="s">
        <v>20</v>
      </c>
      <c r="H330" s="1" t="s">
        <v>41</v>
      </c>
      <c r="I330" s="1" t="s">
        <v>15</v>
      </c>
      <c r="J330" s="1" t="str">
        <f t="shared" si="10"/>
        <v>delivered</v>
      </c>
      <c r="K330" s="1" t="str">
        <f>_xlfn.XLOOKUP(C330, 'Product Catalog'!$A:$A, 'Product Catalog'!$B:$B, "Unknown Product")</f>
        <v>Premium Stream 1M Model Z51</v>
      </c>
      <c r="L330" s="1" t="str">
        <f>_xlfn.XLOOKUP(C330, 'Product Catalog'!$A:$A, 'Product Catalog'!$C:$C, "Unknown Category")</f>
        <v>Digital Services</v>
      </c>
      <c r="M330" s="1">
        <f>_xlfn.XLOOKUP(C330, 'Product Catalog'!$A:$A, 'Product Catalog'!$D:$D, 0)</f>
        <v>55.69</v>
      </c>
      <c r="N330" s="1">
        <f t="shared" si="11"/>
        <v>55.69</v>
      </c>
    </row>
    <row r="331" spans="1:14" x14ac:dyDescent="0.3">
      <c r="A331" s="1" t="s">
        <v>699</v>
      </c>
      <c r="B331" s="1" t="s">
        <v>277</v>
      </c>
      <c r="C331" s="1" t="s">
        <v>74</v>
      </c>
      <c r="D331" s="1">
        <v>5</v>
      </c>
      <c r="E331" s="12">
        <v>45727.432638888888</v>
      </c>
      <c r="F331" s="1" t="s">
        <v>170</v>
      </c>
      <c r="G331" s="1" t="s">
        <v>40</v>
      </c>
      <c r="H331" s="1" t="s">
        <v>41</v>
      </c>
      <c r="I331" s="1" t="s">
        <v>42</v>
      </c>
      <c r="J331" s="1" t="str">
        <f t="shared" si="10"/>
        <v>PENDING_REVIEW</v>
      </c>
      <c r="K331" s="1" t="str">
        <f>_xlfn.XLOOKUP(C331, 'Product Catalog'!$A:$A, 'Product Catalog'!$B:$B, "Unknown Product")</f>
        <v>Webcam Model D55</v>
      </c>
      <c r="L331" s="1" t="str">
        <f>_xlfn.XLOOKUP(C331, 'Product Catalog'!$A:$A, 'Product Catalog'!$C:$C, "Unknown Category")</f>
        <v>Electronics</v>
      </c>
      <c r="M331" s="1">
        <f>_xlfn.XLOOKUP(C331, 'Product Catalog'!$A:$A, 'Product Catalog'!$D:$D, 0)</f>
        <v>168.56</v>
      </c>
      <c r="N331" s="1">
        <f t="shared" si="11"/>
        <v>842.8</v>
      </c>
    </row>
    <row r="332" spans="1:14" x14ac:dyDescent="0.3">
      <c r="A332" s="1" t="s">
        <v>700</v>
      </c>
      <c r="B332" s="1" t="s">
        <v>683</v>
      </c>
      <c r="C332" s="1" t="s">
        <v>140</v>
      </c>
      <c r="D332" s="1">
        <v>1</v>
      </c>
      <c r="E332" s="12">
        <v>45661.5625</v>
      </c>
      <c r="F332" s="1" t="s">
        <v>19</v>
      </c>
      <c r="G332" s="1" t="s">
        <v>13</v>
      </c>
      <c r="H332" s="1" t="s">
        <v>41</v>
      </c>
      <c r="I332" s="1" t="s">
        <v>15</v>
      </c>
      <c r="J332" s="1" t="str">
        <f t="shared" si="10"/>
        <v>delivered</v>
      </c>
      <c r="K332" s="1" t="str">
        <f>_xlfn.XLOOKUP(C332, 'Product Catalog'!$A:$A, 'Product Catalog'!$B:$B, "Unknown Product")</f>
        <v>Blender Model H85</v>
      </c>
      <c r="L332" s="1" t="str">
        <f>_xlfn.XLOOKUP(C332, 'Product Catalog'!$A:$A, 'Product Catalog'!$C:$C, "Unknown Category")</f>
        <v>Home Goods</v>
      </c>
      <c r="M332" s="1">
        <f>_xlfn.XLOOKUP(C332, 'Product Catalog'!$A:$A, 'Product Catalog'!$D:$D, 0)</f>
        <v>130</v>
      </c>
      <c r="N332" s="1">
        <f t="shared" si="11"/>
        <v>130</v>
      </c>
    </row>
    <row r="333" spans="1:14" x14ac:dyDescent="0.3">
      <c r="A333" s="1" t="s">
        <v>701</v>
      </c>
      <c r="B333" s="1" t="s">
        <v>702</v>
      </c>
      <c r="C333" s="1" t="s">
        <v>485</v>
      </c>
      <c r="D333" s="1">
        <v>4</v>
      </c>
      <c r="E333" s="12">
        <v>45828.881944444445</v>
      </c>
      <c r="F333" s="1" t="s">
        <v>39</v>
      </c>
      <c r="G333" s="1" t="s">
        <v>50</v>
      </c>
      <c r="H333" s="1" t="s">
        <v>55</v>
      </c>
      <c r="I333" s="1" t="s">
        <v>102</v>
      </c>
      <c r="J333" s="1" t="str">
        <f t="shared" si="10"/>
        <v>disputed</v>
      </c>
      <c r="K333" s="1" t="str">
        <f>_xlfn.XLOOKUP(C333, 'Product Catalog'!$A:$A, 'Product Catalog'!$B:$B, "Unknown Product")</f>
        <v>Smartwatch Model K140</v>
      </c>
      <c r="L333" s="1" t="str">
        <f>_xlfn.XLOOKUP(C333, 'Product Catalog'!$A:$A, 'Product Catalog'!$C:$C, "Unknown Category")</f>
        <v>Electronics</v>
      </c>
      <c r="M333" s="1">
        <f>_xlfn.XLOOKUP(C333, 'Product Catalog'!$A:$A, 'Product Catalog'!$D:$D, 0)</f>
        <v>221.95</v>
      </c>
      <c r="N333" s="1">
        <f t="shared" si="11"/>
        <v>887.8</v>
      </c>
    </row>
    <row r="334" spans="1:14" x14ac:dyDescent="0.3">
      <c r="A334" s="1" t="s">
        <v>703</v>
      </c>
      <c r="B334" s="1" t="s">
        <v>48</v>
      </c>
      <c r="C334" s="1" t="s">
        <v>128</v>
      </c>
      <c r="D334" s="1">
        <v>1</v>
      </c>
      <c r="E334" s="12">
        <v>45852.468055555553</v>
      </c>
      <c r="F334" s="1" t="s">
        <v>12</v>
      </c>
      <c r="G334" s="1" t="s">
        <v>50</v>
      </c>
      <c r="H334" s="1" t="s">
        <v>51</v>
      </c>
      <c r="I334" s="1" t="s">
        <v>81</v>
      </c>
      <c r="J334" s="1" t="str">
        <f t="shared" si="10"/>
        <v>REFUNDED</v>
      </c>
      <c r="K334" s="1" t="str">
        <f>_xlfn.XLOOKUP(C334, 'Product Catalog'!$A:$A, 'Product Catalog'!$B:$B, "Unknown Product")</f>
        <v>Organizer Model N39</v>
      </c>
      <c r="L334" s="1" t="str">
        <f>_xlfn.XLOOKUP(C334, 'Product Catalog'!$A:$A, 'Product Catalog'!$C:$C, "Unknown Category")</f>
        <v>Home Goods</v>
      </c>
      <c r="M334" s="1">
        <f>_xlfn.XLOOKUP(C334, 'Product Catalog'!$A:$A, 'Product Catalog'!$D:$D, 0)</f>
        <v>149.08000000000001</v>
      </c>
      <c r="N334" s="1">
        <f t="shared" si="11"/>
        <v>149.08000000000001</v>
      </c>
    </row>
    <row r="335" spans="1:14" x14ac:dyDescent="0.3">
      <c r="A335" s="1" t="s">
        <v>704</v>
      </c>
      <c r="B335" s="1" t="s">
        <v>267</v>
      </c>
      <c r="C335" s="1" t="s">
        <v>143</v>
      </c>
      <c r="D335" s="1">
        <v>4</v>
      </c>
      <c r="E335" s="12">
        <v>45883.475694444445</v>
      </c>
      <c r="F335" s="1" t="s">
        <v>39</v>
      </c>
      <c r="G335" s="1" t="s">
        <v>31</v>
      </c>
      <c r="H335" s="1" t="s">
        <v>41</v>
      </c>
      <c r="I335" s="1" t="s">
        <v>102</v>
      </c>
      <c r="J335" s="1" t="str">
        <f t="shared" si="10"/>
        <v>disputed</v>
      </c>
      <c r="K335" s="1" t="str">
        <f>_xlfn.XLOOKUP(C335, 'Product Catalog'!$A:$A, 'Product Catalog'!$B:$B, "Unknown Product")</f>
        <v>Designer Watch Model D3</v>
      </c>
      <c r="L335" s="1" t="str">
        <f>_xlfn.XLOOKUP(C335, 'Product Catalog'!$A:$A, 'Product Catalog'!$C:$C, "Unknown Category")</f>
        <v>Luxury Goods</v>
      </c>
      <c r="M335" s="1">
        <f>_xlfn.XLOOKUP(C335, 'Product Catalog'!$A:$A, 'Product Catalog'!$D:$D, 0)</f>
        <v>1599.08</v>
      </c>
      <c r="N335" s="1">
        <f t="shared" si="11"/>
        <v>6396.32</v>
      </c>
    </row>
    <row r="336" spans="1:14" x14ac:dyDescent="0.3">
      <c r="A336" s="1" t="s">
        <v>705</v>
      </c>
      <c r="B336" s="1" t="s">
        <v>686</v>
      </c>
      <c r="C336" s="1" t="s">
        <v>706</v>
      </c>
      <c r="D336" s="1">
        <v>4</v>
      </c>
      <c r="E336" s="12">
        <v>45878.925694444442</v>
      </c>
      <c r="F336" s="1" t="s">
        <v>12</v>
      </c>
      <c r="G336" s="1" t="s">
        <v>40</v>
      </c>
      <c r="H336" s="1" t="s">
        <v>51</v>
      </c>
      <c r="I336" s="1" t="s">
        <v>56</v>
      </c>
      <c r="J336" s="1" t="str">
        <f t="shared" si="10"/>
        <v>cancelled</v>
      </c>
      <c r="K336" s="1" t="str">
        <f>_xlfn.XLOOKUP(C336, 'Product Catalog'!$A:$A, 'Product Catalog'!$B:$B, "Unknown Product")</f>
        <v>Software License Tier A Model T19</v>
      </c>
      <c r="L336" s="1" t="str">
        <f>_xlfn.XLOOKUP(C336, 'Product Catalog'!$A:$A, 'Product Catalog'!$C:$C, "Unknown Category")</f>
        <v>Digital Services</v>
      </c>
      <c r="M336" s="1">
        <f>_xlfn.XLOOKUP(C336, 'Product Catalog'!$A:$A, 'Product Catalog'!$D:$D, 0)</f>
        <v>30.38</v>
      </c>
      <c r="N336" s="1">
        <f t="shared" si="11"/>
        <v>121.52</v>
      </c>
    </row>
    <row r="337" spans="1:14" x14ac:dyDescent="0.3">
      <c r="A337" s="1" t="s">
        <v>707</v>
      </c>
      <c r="B337" s="1" t="s">
        <v>169</v>
      </c>
      <c r="C337" s="1" t="s">
        <v>30</v>
      </c>
      <c r="D337" s="1">
        <v>1</v>
      </c>
      <c r="E337" s="12">
        <v>45962.193055555559</v>
      </c>
      <c r="F337" s="1" t="s">
        <v>170</v>
      </c>
      <c r="G337" s="1" t="s">
        <v>50</v>
      </c>
      <c r="H337" s="1" t="s">
        <v>55</v>
      </c>
      <c r="I337" s="1" t="s">
        <v>56</v>
      </c>
      <c r="J337" s="1" t="str">
        <f t="shared" si="10"/>
        <v>cancelled</v>
      </c>
      <c r="K337" s="1" t="str">
        <f>_xlfn.XLOOKUP(C337, 'Product Catalog'!$A:$A, 'Product Catalog'!$B:$B, "Unknown Product")</f>
        <v>VPN 6-Month Pass Model B131</v>
      </c>
      <c r="L337" s="1" t="str">
        <f>_xlfn.XLOOKUP(C337, 'Product Catalog'!$A:$A, 'Product Catalog'!$C:$C, "Unknown Category")</f>
        <v>Digital Services</v>
      </c>
      <c r="M337" s="1">
        <f>_xlfn.XLOOKUP(C337, 'Product Catalog'!$A:$A, 'Product Catalog'!$D:$D, 0)</f>
        <v>46.92</v>
      </c>
      <c r="N337" s="1">
        <f t="shared" si="11"/>
        <v>46.92</v>
      </c>
    </row>
    <row r="338" spans="1:14" x14ac:dyDescent="0.3">
      <c r="A338" s="1" t="s">
        <v>708</v>
      </c>
      <c r="B338" s="1" t="s">
        <v>166</v>
      </c>
      <c r="C338" s="1" t="s">
        <v>391</v>
      </c>
      <c r="D338" s="1">
        <v>1</v>
      </c>
      <c r="E338" s="12">
        <v>45811.455555555556</v>
      </c>
      <c r="F338" s="1" t="s">
        <v>185</v>
      </c>
      <c r="G338" s="1" t="s">
        <v>31</v>
      </c>
      <c r="H338" s="1" t="s">
        <v>41</v>
      </c>
      <c r="I338" s="1" t="s">
        <v>102</v>
      </c>
      <c r="J338" s="1" t="str">
        <f t="shared" si="10"/>
        <v>disputed</v>
      </c>
      <c r="K338" s="1" t="str">
        <f>_xlfn.XLOOKUP(C338, 'Product Catalog'!$A:$A, 'Product Catalog'!$B:$B, "Unknown Product")</f>
        <v>Premium Stream 1M Model P145</v>
      </c>
      <c r="L338" s="1" t="str">
        <f>_xlfn.XLOOKUP(C338, 'Product Catalog'!$A:$A, 'Product Catalog'!$C:$C, "Unknown Category")</f>
        <v>Digital Services</v>
      </c>
      <c r="M338" s="1">
        <f>_xlfn.XLOOKUP(C338, 'Product Catalog'!$A:$A, 'Product Catalog'!$D:$D, 0)</f>
        <v>84.01</v>
      </c>
      <c r="N338" s="1">
        <f t="shared" si="11"/>
        <v>84.01</v>
      </c>
    </row>
    <row r="339" spans="1:14" x14ac:dyDescent="0.3">
      <c r="A339" s="1" t="s">
        <v>709</v>
      </c>
      <c r="B339" s="1" t="s">
        <v>530</v>
      </c>
      <c r="C339" s="1" t="s">
        <v>482</v>
      </c>
      <c r="D339" s="1">
        <v>5</v>
      </c>
      <c r="E339" s="12">
        <v>45966.988194444442</v>
      </c>
      <c r="F339" s="1" t="s">
        <v>12</v>
      </c>
      <c r="G339" s="1" t="s">
        <v>40</v>
      </c>
      <c r="H339" s="1" t="s">
        <v>55</v>
      </c>
      <c r="I339" s="1" t="s">
        <v>102</v>
      </c>
      <c r="J339" s="1" t="str">
        <f t="shared" si="10"/>
        <v>disputed</v>
      </c>
      <c r="K339" s="1" t="str">
        <f>_xlfn.XLOOKUP(C339, 'Product Catalog'!$A:$A, 'Product Catalog'!$B:$B, "Unknown Product")</f>
        <v>VPN 6-Month Pass Model E30</v>
      </c>
      <c r="L339" s="1" t="str">
        <f>_xlfn.XLOOKUP(C339, 'Product Catalog'!$A:$A, 'Product Catalog'!$C:$C, "Unknown Category")</f>
        <v>Digital Services</v>
      </c>
      <c r="M339" s="1">
        <f>_xlfn.XLOOKUP(C339, 'Product Catalog'!$A:$A, 'Product Catalog'!$D:$D, 0)</f>
        <v>28.63</v>
      </c>
      <c r="N339" s="1">
        <f t="shared" si="11"/>
        <v>143.15</v>
      </c>
    </row>
    <row r="340" spans="1:14" x14ac:dyDescent="0.3">
      <c r="A340" s="1" t="s">
        <v>710</v>
      </c>
      <c r="B340" s="1" t="s">
        <v>500</v>
      </c>
      <c r="C340" s="1" t="s">
        <v>112</v>
      </c>
      <c r="D340" s="1">
        <v>1</v>
      </c>
      <c r="E340" s="12">
        <v>45760.681250000001</v>
      </c>
      <c r="F340" s="1" t="s">
        <v>12</v>
      </c>
      <c r="G340" s="1" t="s">
        <v>46</v>
      </c>
      <c r="H340" s="1" t="s">
        <v>41</v>
      </c>
      <c r="I340" s="1" t="s">
        <v>102</v>
      </c>
      <c r="J340" s="1" t="str">
        <f t="shared" si="10"/>
        <v>disputed</v>
      </c>
      <c r="K340" s="1" t="str">
        <f>_xlfn.XLOOKUP(C340, 'Product Catalog'!$A:$A, 'Product Catalog'!$B:$B, "Unknown Product")</f>
        <v>Mouse Model J87</v>
      </c>
      <c r="L340" s="1" t="str">
        <f>_xlfn.XLOOKUP(C340, 'Product Catalog'!$A:$A, 'Product Catalog'!$C:$C, "Unknown Category")</f>
        <v>Electronics</v>
      </c>
      <c r="M340" s="1">
        <f>_xlfn.XLOOKUP(C340, 'Product Catalog'!$A:$A, 'Product Catalog'!$D:$D, 0)</f>
        <v>164.06</v>
      </c>
      <c r="N340" s="1">
        <f t="shared" si="11"/>
        <v>164.06</v>
      </c>
    </row>
    <row r="341" spans="1:14" x14ac:dyDescent="0.3">
      <c r="A341" s="1" t="s">
        <v>711</v>
      </c>
      <c r="B341" s="1" t="s">
        <v>369</v>
      </c>
      <c r="C341" s="1" t="s">
        <v>250</v>
      </c>
      <c r="D341" s="1">
        <v>4</v>
      </c>
      <c r="E341" s="12">
        <v>45818.252083333333</v>
      </c>
      <c r="F341" s="1" t="s">
        <v>39</v>
      </c>
      <c r="G341" s="1" t="s">
        <v>40</v>
      </c>
      <c r="H341" s="1" t="s">
        <v>55</v>
      </c>
      <c r="I341" s="1" t="s">
        <v>102</v>
      </c>
      <c r="J341" s="1" t="str">
        <f t="shared" si="10"/>
        <v>disputed</v>
      </c>
      <c r="K341" s="1" t="str">
        <f>_xlfn.XLOOKUP(C341, 'Product Catalog'!$A:$A, 'Product Catalog'!$B:$B, "Unknown Product")</f>
        <v>Keyboard Model U98</v>
      </c>
      <c r="L341" s="1" t="str">
        <f>_xlfn.XLOOKUP(C341, 'Product Catalog'!$A:$A, 'Product Catalog'!$C:$C, "Unknown Category")</f>
        <v>Electronics</v>
      </c>
      <c r="M341" s="1">
        <f>_xlfn.XLOOKUP(C341, 'Product Catalog'!$A:$A, 'Product Catalog'!$D:$D, 0)</f>
        <v>188.09</v>
      </c>
      <c r="N341" s="1">
        <f t="shared" si="11"/>
        <v>752.36</v>
      </c>
    </row>
    <row r="342" spans="1:14" x14ac:dyDescent="0.3">
      <c r="A342" s="1" t="s">
        <v>712</v>
      </c>
      <c r="B342" s="1" t="s">
        <v>470</v>
      </c>
      <c r="C342" s="1" t="s">
        <v>619</v>
      </c>
      <c r="D342" s="1">
        <v>2</v>
      </c>
      <c r="E342" s="12">
        <v>45861.453472222223</v>
      </c>
      <c r="F342" s="1" t="s">
        <v>12</v>
      </c>
      <c r="G342" s="1" t="s">
        <v>31</v>
      </c>
      <c r="H342" s="1" t="s">
        <v>41</v>
      </c>
      <c r="I342" s="1" t="s">
        <v>15</v>
      </c>
      <c r="J342" s="1" t="str">
        <f t="shared" si="10"/>
        <v>delivered</v>
      </c>
      <c r="K342" s="1" t="str">
        <f>_xlfn.XLOOKUP(C342, 'Product Catalog'!$A:$A, 'Product Catalog'!$B:$B, "Unknown Product")</f>
        <v>Jacket Model B27</v>
      </c>
      <c r="L342" s="1" t="str">
        <f>_xlfn.XLOOKUP(C342, 'Product Catalog'!$A:$A, 'Product Catalog'!$C:$C, "Unknown Category")</f>
        <v>Apparel</v>
      </c>
      <c r="M342" s="1">
        <f>_xlfn.XLOOKUP(C342, 'Product Catalog'!$A:$A, 'Product Catalog'!$D:$D, 0)</f>
        <v>64.290000000000006</v>
      </c>
      <c r="N342" s="1">
        <f t="shared" si="11"/>
        <v>128.58000000000001</v>
      </c>
    </row>
    <row r="343" spans="1:14" x14ac:dyDescent="0.3">
      <c r="A343" s="1" t="s">
        <v>713</v>
      </c>
      <c r="B343" s="1" t="s">
        <v>575</v>
      </c>
      <c r="C343" s="1" t="s">
        <v>229</v>
      </c>
      <c r="D343" s="1">
        <v>2</v>
      </c>
      <c r="E343" s="12">
        <v>45807.988194444442</v>
      </c>
      <c r="F343" s="1" t="s">
        <v>12</v>
      </c>
      <c r="G343" s="1" t="s">
        <v>109</v>
      </c>
      <c r="H343" s="1" t="s">
        <v>24</v>
      </c>
      <c r="I343" s="1" t="s">
        <v>15</v>
      </c>
      <c r="J343" s="1" t="str">
        <f t="shared" si="10"/>
        <v>delivered</v>
      </c>
      <c r="K343" s="1" t="str">
        <f>_xlfn.XLOOKUP(C343, 'Product Catalog'!$A:$A, 'Product Catalog'!$B:$B, "Unknown Product")</f>
        <v>Premium Stream 1M Model O118</v>
      </c>
      <c r="L343" s="1" t="str">
        <f>_xlfn.XLOOKUP(C343, 'Product Catalog'!$A:$A, 'Product Catalog'!$C:$C, "Unknown Category")</f>
        <v>Digital Services</v>
      </c>
      <c r="M343" s="1">
        <f>_xlfn.XLOOKUP(C343, 'Product Catalog'!$A:$A, 'Product Catalog'!$D:$D, 0)</f>
        <v>53.05</v>
      </c>
      <c r="N343" s="1">
        <f t="shared" si="11"/>
        <v>106.1</v>
      </c>
    </row>
    <row r="344" spans="1:14" x14ac:dyDescent="0.3">
      <c r="A344" s="1" t="s">
        <v>714</v>
      </c>
      <c r="B344" s="1" t="s">
        <v>114</v>
      </c>
      <c r="C344" s="1" t="s">
        <v>556</v>
      </c>
      <c r="D344" s="1">
        <v>1</v>
      </c>
      <c r="E344" s="12">
        <v>45982.697916666664</v>
      </c>
      <c r="F344" s="1" t="s">
        <v>12</v>
      </c>
      <c r="G344" s="1" t="s">
        <v>46</v>
      </c>
      <c r="H344" s="1" t="s">
        <v>24</v>
      </c>
      <c r="I344" s="1" t="s">
        <v>15</v>
      </c>
      <c r="J344" s="1" t="str">
        <f t="shared" si="10"/>
        <v>delivered</v>
      </c>
      <c r="K344" s="1" t="str">
        <f>_xlfn.XLOOKUP(C344, 'Product Catalog'!$A:$A, 'Product Catalog'!$B:$B, "Unknown Product")</f>
        <v>Mug Model C54</v>
      </c>
      <c r="L344" s="1" t="str">
        <f>_xlfn.XLOOKUP(C344, 'Product Catalog'!$A:$A, 'Product Catalog'!$C:$C, "Unknown Category")</f>
        <v>Home Goods</v>
      </c>
      <c r="M344" s="1">
        <f>_xlfn.XLOOKUP(C344, 'Product Catalog'!$A:$A, 'Product Catalog'!$D:$D, 0)</f>
        <v>85.78</v>
      </c>
      <c r="N344" s="1">
        <f t="shared" si="11"/>
        <v>85.78</v>
      </c>
    </row>
    <row r="345" spans="1:14" x14ac:dyDescent="0.3">
      <c r="A345" s="1" t="s">
        <v>715</v>
      </c>
      <c r="B345" s="1" t="s">
        <v>178</v>
      </c>
      <c r="C345" s="1" t="s">
        <v>716</v>
      </c>
      <c r="D345" s="1">
        <v>1</v>
      </c>
      <c r="E345" s="12">
        <v>45952.344444444447</v>
      </c>
      <c r="F345" s="1" t="s">
        <v>19</v>
      </c>
      <c r="G345" s="1" t="s">
        <v>109</v>
      </c>
      <c r="H345" s="1" t="s">
        <v>14</v>
      </c>
      <c r="I345" s="1" t="s">
        <v>15</v>
      </c>
      <c r="J345" s="1" t="str">
        <f t="shared" si="10"/>
        <v>delivered</v>
      </c>
      <c r="K345" s="1" t="str">
        <f>_xlfn.XLOOKUP(C345, 'Product Catalog'!$A:$A, 'Product Catalog'!$B:$B, "Unknown Product")</f>
        <v>Jeans Model X101</v>
      </c>
      <c r="L345" s="1" t="str">
        <f>_xlfn.XLOOKUP(C345, 'Product Catalog'!$A:$A, 'Product Catalog'!$C:$C, "Unknown Category")</f>
        <v>Apparel</v>
      </c>
      <c r="M345" s="1">
        <f>_xlfn.XLOOKUP(C345, 'Product Catalog'!$A:$A, 'Product Catalog'!$D:$D, 0)</f>
        <v>99.82</v>
      </c>
      <c r="N345" s="1">
        <f t="shared" si="11"/>
        <v>99.82</v>
      </c>
    </row>
    <row r="346" spans="1:14" x14ac:dyDescent="0.3">
      <c r="A346" s="1" t="s">
        <v>717</v>
      </c>
      <c r="B346" s="1" t="s">
        <v>444</v>
      </c>
      <c r="C346" s="1" t="s">
        <v>35</v>
      </c>
      <c r="D346" s="1">
        <v>1</v>
      </c>
      <c r="E346" s="12">
        <v>45824.534722222219</v>
      </c>
      <c r="F346" s="1" t="s">
        <v>19</v>
      </c>
      <c r="G346" s="1" t="s">
        <v>20</v>
      </c>
      <c r="H346" s="1" t="s">
        <v>41</v>
      </c>
      <c r="I346" s="1" t="s">
        <v>15</v>
      </c>
      <c r="J346" s="1" t="str">
        <f t="shared" si="10"/>
        <v>delivered</v>
      </c>
      <c r="K346" s="1" t="str">
        <f>_xlfn.XLOOKUP(C346, 'Product Catalog'!$A:$A, 'Product Catalog'!$B:$B, "Unknown Product")</f>
        <v>Blender Model W74</v>
      </c>
      <c r="L346" s="1" t="str">
        <f>_xlfn.XLOOKUP(C346, 'Product Catalog'!$A:$A, 'Product Catalog'!$C:$C, "Unknown Category")</f>
        <v>Home Goods</v>
      </c>
      <c r="M346" s="1">
        <f>_xlfn.XLOOKUP(C346, 'Product Catalog'!$A:$A, 'Product Catalog'!$D:$D, 0)</f>
        <v>127.16</v>
      </c>
      <c r="N346" s="1">
        <f t="shared" si="11"/>
        <v>127.16</v>
      </c>
    </row>
    <row r="347" spans="1:14" x14ac:dyDescent="0.3">
      <c r="A347" s="1" t="s">
        <v>718</v>
      </c>
      <c r="B347" s="1" t="s">
        <v>719</v>
      </c>
      <c r="C347" s="1" t="s">
        <v>359</v>
      </c>
      <c r="D347" s="1">
        <v>1</v>
      </c>
      <c r="E347" s="12">
        <v>45801.558333333334</v>
      </c>
      <c r="F347" s="1" t="s">
        <v>12</v>
      </c>
      <c r="G347" s="1" t="s">
        <v>13</v>
      </c>
      <c r="H347" s="1" t="s">
        <v>14</v>
      </c>
      <c r="I347" s="1" t="s">
        <v>15</v>
      </c>
      <c r="J347" s="1" t="str">
        <f t="shared" si="10"/>
        <v>delivered</v>
      </c>
      <c r="K347" s="1" t="str">
        <f>_xlfn.XLOOKUP(C347, 'Product Catalog'!$A:$A, 'Product Catalog'!$B:$B, "Unknown Product")</f>
        <v>Hoodie Model H111</v>
      </c>
      <c r="L347" s="1" t="str">
        <f>_xlfn.XLOOKUP(C347, 'Product Catalog'!$A:$A, 'Product Catalog'!$C:$C, "Unknown Category")</f>
        <v>Apparel</v>
      </c>
      <c r="M347" s="1">
        <f>_xlfn.XLOOKUP(C347, 'Product Catalog'!$A:$A, 'Product Catalog'!$D:$D, 0)</f>
        <v>57.44</v>
      </c>
      <c r="N347" s="1">
        <f t="shared" si="11"/>
        <v>57.44</v>
      </c>
    </row>
    <row r="348" spans="1:14" x14ac:dyDescent="0.3">
      <c r="A348" s="1" t="s">
        <v>720</v>
      </c>
      <c r="B348" s="1" t="s">
        <v>205</v>
      </c>
      <c r="C348" s="1" t="s">
        <v>721</v>
      </c>
      <c r="D348" s="1">
        <v>1</v>
      </c>
      <c r="E348" s="12">
        <v>45844.161805555559</v>
      </c>
      <c r="F348" s="1" t="s">
        <v>19</v>
      </c>
      <c r="G348" s="1" t="s">
        <v>31</v>
      </c>
      <c r="H348" s="1" t="s">
        <v>14</v>
      </c>
      <c r="I348" s="1" t="s">
        <v>32</v>
      </c>
      <c r="J348" s="1" t="str">
        <f t="shared" si="10"/>
        <v>SHIPPED</v>
      </c>
      <c r="K348" s="1" t="str">
        <f>_xlfn.XLOOKUP(C348, 'Product Catalog'!$A:$A, 'Product Catalog'!$B:$B, "Unknown Product")</f>
        <v>Hoodie Model E134</v>
      </c>
      <c r="L348" s="1" t="str">
        <f>_xlfn.XLOOKUP(C348, 'Product Catalog'!$A:$A, 'Product Catalog'!$C:$C, "Unknown Category")</f>
        <v>Apparel</v>
      </c>
      <c r="M348" s="1">
        <f>_xlfn.XLOOKUP(C348, 'Product Catalog'!$A:$A, 'Product Catalog'!$D:$D, 0)</f>
        <v>58.39</v>
      </c>
      <c r="N348" s="1">
        <f t="shared" si="11"/>
        <v>58.39</v>
      </c>
    </row>
    <row r="349" spans="1:14" x14ac:dyDescent="0.3">
      <c r="A349" s="1" t="s">
        <v>722</v>
      </c>
      <c r="B349" s="1" t="s">
        <v>208</v>
      </c>
      <c r="C349" s="1" t="s">
        <v>200</v>
      </c>
      <c r="D349" s="1">
        <v>1</v>
      </c>
      <c r="E349" s="12">
        <v>45946.28402777778</v>
      </c>
      <c r="F349" s="1" t="s">
        <v>12</v>
      </c>
      <c r="G349" s="1" t="s">
        <v>46</v>
      </c>
      <c r="H349" s="1" t="s">
        <v>41</v>
      </c>
      <c r="I349" s="1" t="s">
        <v>15</v>
      </c>
      <c r="J349" s="1" t="str">
        <f t="shared" si="10"/>
        <v>delivered</v>
      </c>
      <c r="K349" s="1" t="str">
        <f>_xlfn.XLOOKUP(C349, 'Product Catalog'!$A:$A, 'Product Catalog'!$B:$B, "Unknown Product")</f>
        <v>Socks Model G58</v>
      </c>
      <c r="L349" s="1" t="str">
        <f>_xlfn.XLOOKUP(C349, 'Product Catalog'!$A:$A, 'Product Catalog'!$C:$C, "Unknown Category")</f>
        <v>Apparel</v>
      </c>
      <c r="M349" s="1">
        <f>_xlfn.XLOOKUP(C349, 'Product Catalog'!$A:$A, 'Product Catalog'!$D:$D, 0)</f>
        <v>30.18</v>
      </c>
      <c r="N349" s="1">
        <f t="shared" si="11"/>
        <v>30.18</v>
      </c>
    </row>
    <row r="350" spans="1:14" x14ac:dyDescent="0.3">
      <c r="A350" s="1" t="s">
        <v>723</v>
      </c>
      <c r="B350" s="1" t="s">
        <v>324</v>
      </c>
      <c r="C350" s="1" t="s">
        <v>151</v>
      </c>
      <c r="D350" s="1">
        <v>1</v>
      </c>
      <c r="E350" s="12">
        <v>45961.775694444441</v>
      </c>
      <c r="F350" s="1" t="s">
        <v>19</v>
      </c>
      <c r="G350" s="1" t="s">
        <v>20</v>
      </c>
      <c r="H350" s="1" t="s">
        <v>14</v>
      </c>
      <c r="I350" s="1" t="s">
        <v>56</v>
      </c>
      <c r="J350" s="1" t="str">
        <f t="shared" si="10"/>
        <v>cancelled</v>
      </c>
      <c r="K350" s="1" t="str">
        <f>_xlfn.XLOOKUP(C350, 'Product Catalog'!$A:$A, 'Product Catalog'!$B:$B, "Unknown Product")</f>
        <v>Hoodie Model R43</v>
      </c>
      <c r="L350" s="1" t="str">
        <f>_xlfn.XLOOKUP(C350, 'Product Catalog'!$A:$A, 'Product Catalog'!$C:$C, "Unknown Category")</f>
        <v>Apparel</v>
      </c>
      <c r="M350" s="1">
        <f>_xlfn.XLOOKUP(C350, 'Product Catalog'!$A:$A, 'Product Catalog'!$D:$D, 0)</f>
        <v>68.040000000000006</v>
      </c>
      <c r="N350" s="1">
        <f t="shared" si="11"/>
        <v>68.040000000000006</v>
      </c>
    </row>
    <row r="351" spans="1:14" x14ac:dyDescent="0.3">
      <c r="A351" s="1" t="s">
        <v>724</v>
      </c>
      <c r="B351" s="1" t="s">
        <v>601</v>
      </c>
      <c r="C351" s="1" t="s">
        <v>117</v>
      </c>
      <c r="D351" s="1">
        <v>1</v>
      </c>
      <c r="E351" s="12">
        <v>45750.969444444447</v>
      </c>
      <c r="F351" s="1" t="s">
        <v>39</v>
      </c>
      <c r="G351" s="1" t="s">
        <v>40</v>
      </c>
      <c r="H351" s="1" t="s">
        <v>55</v>
      </c>
      <c r="I351" s="1" t="s">
        <v>102</v>
      </c>
      <c r="J351" s="1" t="str">
        <f t="shared" si="10"/>
        <v>disputed</v>
      </c>
      <c r="K351" s="1" t="str">
        <f>_xlfn.XLOOKUP(C351, 'Product Catalog'!$A:$A, 'Product Catalog'!$B:$B, "Unknown Product")</f>
        <v>Organizer Model R95</v>
      </c>
      <c r="L351" s="1" t="str">
        <f>_xlfn.XLOOKUP(C351, 'Product Catalog'!$A:$A, 'Product Catalog'!$C:$C, "Unknown Category")</f>
        <v>Home Goods</v>
      </c>
      <c r="M351" s="1">
        <f>_xlfn.XLOOKUP(C351, 'Product Catalog'!$A:$A, 'Product Catalog'!$D:$D, 0)</f>
        <v>109.58</v>
      </c>
      <c r="N351" s="1">
        <f t="shared" si="11"/>
        <v>109.58</v>
      </c>
    </row>
    <row r="352" spans="1:14" x14ac:dyDescent="0.3">
      <c r="A352" s="1" t="s">
        <v>725</v>
      </c>
      <c r="B352" s="1" t="s">
        <v>494</v>
      </c>
      <c r="C352" s="1" t="s">
        <v>399</v>
      </c>
      <c r="D352" s="1">
        <v>1</v>
      </c>
      <c r="E352" s="12">
        <v>45939.038194444445</v>
      </c>
      <c r="F352" s="1" t="s">
        <v>19</v>
      </c>
      <c r="G352" s="1" t="s">
        <v>20</v>
      </c>
      <c r="H352" s="1" t="s">
        <v>14</v>
      </c>
      <c r="I352" s="1" t="s">
        <v>15</v>
      </c>
      <c r="J352" s="1" t="str">
        <f t="shared" si="10"/>
        <v>delivered</v>
      </c>
      <c r="K352" s="1" t="str">
        <f>_xlfn.XLOOKUP(C352, 'Product Catalog'!$A:$A, 'Product Catalog'!$B:$B, "Unknown Product")</f>
        <v>E-Book Access Model W22</v>
      </c>
      <c r="L352" s="1" t="str">
        <f>_xlfn.XLOOKUP(C352, 'Product Catalog'!$A:$A, 'Product Catalog'!$C:$C, "Unknown Category")</f>
        <v>Digital Services</v>
      </c>
      <c r="M352" s="1">
        <f>_xlfn.XLOOKUP(C352, 'Product Catalog'!$A:$A, 'Product Catalog'!$D:$D, 0)</f>
        <v>11.22</v>
      </c>
      <c r="N352" s="1">
        <f t="shared" si="11"/>
        <v>11.22</v>
      </c>
    </row>
    <row r="353" spans="1:14" x14ac:dyDescent="0.3">
      <c r="A353" s="1" t="s">
        <v>726</v>
      </c>
      <c r="B353" s="1" t="s">
        <v>525</v>
      </c>
      <c r="C353" s="1" t="s">
        <v>164</v>
      </c>
      <c r="D353" s="1">
        <v>5</v>
      </c>
      <c r="E353" s="12">
        <v>45894.29791666667</v>
      </c>
      <c r="F353" s="1" t="s">
        <v>39</v>
      </c>
      <c r="G353" s="1" t="s">
        <v>31</v>
      </c>
      <c r="H353" s="1" t="s">
        <v>41</v>
      </c>
      <c r="I353" s="1" t="s">
        <v>81</v>
      </c>
      <c r="J353" s="1" t="str">
        <f t="shared" si="10"/>
        <v>REFUNDED</v>
      </c>
      <c r="K353" s="1" t="str">
        <f>_xlfn.XLOOKUP(C353, 'Product Catalog'!$A:$A, 'Product Catalog'!$B:$B, "Unknown Product")</f>
        <v>Gold Bracelet Model A26</v>
      </c>
      <c r="L353" s="1" t="str">
        <f>_xlfn.XLOOKUP(C353, 'Product Catalog'!$A:$A, 'Product Catalog'!$C:$C, "Unknown Category")</f>
        <v>Luxury Goods</v>
      </c>
      <c r="M353" s="1">
        <f>_xlfn.XLOOKUP(C353, 'Product Catalog'!$A:$A, 'Product Catalog'!$D:$D, 0)</f>
        <v>1096.3900000000001</v>
      </c>
      <c r="N353" s="1">
        <f t="shared" si="11"/>
        <v>5481.9500000000007</v>
      </c>
    </row>
    <row r="354" spans="1:14" x14ac:dyDescent="0.3">
      <c r="A354" s="1" t="s">
        <v>727</v>
      </c>
      <c r="B354" s="1" t="s">
        <v>728</v>
      </c>
      <c r="C354" s="1" t="s">
        <v>87</v>
      </c>
      <c r="D354" s="1">
        <v>1</v>
      </c>
      <c r="E354" s="12">
        <v>45882.413888888892</v>
      </c>
      <c r="F354" s="1" t="s">
        <v>19</v>
      </c>
      <c r="G354" s="1" t="s">
        <v>13</v>
      </c>
      <c r="H354" s="1" t="s">
        <v>41</v>
      </c>
      <c r="I354" s="1" t="s">
        <v>15</v>
      </c>
      <c r="J354" s="1" t="str">
        <f t="shared" si="10"/>
        <v>delivered</v>
      </c>
      <c r="K354" s="1" t="str">
        <f>_xlfn.XLOOKUP(C354, 'Product Catalog'!$A:$A, 'Product Catalog'!$B:$B, "Unknown Product")</f>
        <v>T-Shirt Model S122</v>
      </c>
      <c r="L354" s="1" t="str">
        <f>_xlfn.XLOOKUP(C354, 'Product Catalog'!$A:$A, 'Product Catalog'!$C:$C, "Unknown Category")</f>
        <v>Apparel</v>
      </c>
      <c r="M354" s="1">
        <f>_xlfn.XLOOKUP(C354, 'Product Catalog'!$A:$A, 'Product Catalog'!$D:$D, 0)</f>
        <v>15.08</v>
      </c>
      <c r="N354" s="1">
        <f t="shared" si="11"/>
        <v>15.08</v>
      </c>
    </row>
    <row r="355" spans="1:14" x14ac:dyDescent="0.3">
      <c r="A355" s="1" t="s">
        <v>729</v>
      </c>
      <c r="B355" s="1" t="s">
        <v>693</v>
      </c>
      <c r="C355" s="1" t="s">
        <v>380</v>
      </c>
      <c r="D355" s="1">
        <v>4</v>
      </c>
      <c r="E355" s="12">
        <v>46012.097916666666</v>
      </c>
      <c r="F355" s="1" t="s">
        <v>39</v>
      </c>
      <c r="G355" s="1" t="s">
        <v>40</v>
      </c>
      <c r="H355" s="1" t="s">
        <v>51</v>
      </c>
      <c r="I355" s="1" t="s">
        <v>42</v>
      </c>
      <c r="J355" s="1" t="str">
        <f t="shared" si="10"/>
        <v>PENDING_REVIEW</v>
      </c>
      <c r="K355" s="1" t="str">
        <f>_xlfn.XLOOKUP(C355, 'Product Catalog'!$A:$A, 'Product Catalog'!$B:$B, "Unknown Product")</f>
        <v>Premium Stream 1M Model Z51</v>
      </c>
      <c r="L355" s="1" t="str">
        <f>_xlfn.XLOOKUP(C355, 'Product Catalog'!$A:$A, 'Product Catalog'!$C:$C, "Unknown Category")</f>
        <v>Digital Services</v>
      </c>
      <c r="M355" s="1">
        <f>_xlfn.XLOOKUP(C355, 'Product Catalog'!$A:$A, 'Product Catalog'!$D:$D, 0)</f>
        <v>55.69</v>
      </c>
      <c r="N355" s="1">
        <f t="shared" si="11"/>
        <v>222.76</v>
      </c>
    </row>
    <row r="356" spans="1:14" x14ac:dyDescent="0.3">
      <c r="A356" s="1" t="s">
        <v>730</v>
      </c>
      <c r="B356" s="1" t="s">
        <v>603</v>
      </c>
      <c r="C356" s="1" t="s">
        <v>117</v>
      </c>
      <c r="D356" s="1">
        <v>3</v>
      </c>
      <c r="E356" s="12">
        <v>45867.956944444442</v>
      </c>
      <c r="F356" s="1" t="s">
        <v>12</v>
      </c>
      <c r="G356" s="1" t="s">
        <v>46</v>
      </c>
      <c r="H356" s="1" t="s">
        <v>14</v>
      </c>
      <c r="I356" s="1" t="s">
        <v>81</v>
      </c>
      <c r="J356" s="1" t="str">
        <f t="shared" si="10"/>
        <v>REFUNDED</v>
      </c>
      <c r="K356" s="1" t="str">
        <f>_xlfn.XLOOKUP(C356, 'Product Catalog'!$A:$A, 'Product Catalog'!$B:$B, "Unknown Product")</f>
        <v>Organizer Model R95</v>
      </c>
      <c r="L356" s="1" t="str">
        <f>_xlfn.XLOOKUP(C356, 'Product Catalog'!$A:$A, 'Product Catalog'!$C:$C, "Unknown Category")</f>
        <v>Home Goods</v>
      </c>
      <c r="M356" s="1">
        <f>_xlfn.XLOOKUP(C356, 'Product Catalog'!$A:$A, 'Product Catalog'!$D:$D, 0)</f>
        <v>109.58</v>
      </c>
      <c r="N356" s="1">
        <f t="shared" si="11"/>
        <v>328.74</v>
      </c>
    </row>
    <row r="357" spans="1:14" x14ac:dyDescent="0.3">
      <c r="A357" s="1" t="s">
        <v>731</v>
      </c>
      <c r="B357" s="1" t="s">
        <v>643</v>
      </c>
      <c r="C357" s="1" t="s">
        <v>122</v>
      </c>
      <c r="D357" s="1">
        <v>5</v>
      </c>
      <c r="E357" s="12">
        <v>45913.197916666664</v>
      </c>
      <c r="F357" s="1" t="s">
        <v>12</v>
      </c>
      <c r="G357" s="1" t="s">
        <v>40</v>
      </c>
      <c r="H357" s="1" t="s">
        <v>51</v>
      </c>
      <c r="I357" s="1" t="s">
        <v>42</v>
      </c>
      <c r="J357" s="1" t="str">
        <f t="shared" si="10"/>
        <v>PENDING_REVIEW</v>
      </c>
      <c r="K357" s="1" t="str">
        <f>_xlfn.XLOOKUP(C357, 'Product Catalog'!$A:$A, 'Product Catalog'!$B:$B, "Unknown Product")</f>
        <v>Gold Bracelet Model I86</v>
      </c>
      <c r="L357" s="1" t="str">
        <f>_xlfn.XLOOKUP(C357, 'Product Catalog'!$A:$A, 'Product Catalog'!$C:$C, "Unknown Category")</f>
        <v>Luxury Goods</v>
      </c>
      <c r="M357" s="1">
        <f>_xlfn.XLOOKUP(C357, 'Product Catalog'!$A:$A, 'Product Catalog'!$D:$D, 0)</f>
        <v>852.47</v>
      </c>
      <c r="N357" s="1">
        <f t="shared" si="11"/>
        <v>4262.3500000000004</v>
      </c>
    </row>
    <row r="358" spans="1:14" x14ac:dyDescent="0.3">
      <c r="A358" s="1" t="s">
        <v>732</v>
      </c>
      <c r="B358" s="1" t="s">
        <v>73</v>
      </c>
      <c r="C358" s="1" t="s">
        <v>677</v>
      </c>
      <c r="D358" s="1">
        <v>1</v>
      </c>
      <c r="E358" s="12">
        <v>45982.430555555555</v>
      </c>
      <c r="F358" s="1" t="s">
        <v>19</v>
      </c>
      <c r="G358" s="1" t="s">
        <v>20</v>
      </c>
      <c r="H358" s="1" t="s">
        <v>41</v>
      </c>
      <c r="I358" s="1" t="s">
        <v>15</v>
      </c>
      <c r="J358" s="1" t="str">
        <f t="shared" si="10"/>
        <v>delivered</v>
      </c>
      <c r="K358" s="1" t="str">
        <f>_xlfn.XLOOKUP(C358, 'Product Catalog'!$A:$A, 'Product Catalog'!$B:$B, "Unknown Product")</f>
        <v>Charger Model Y128</v>
      </c>
      <c r="L358" s="1" t="str">
        <f>_xlfn.XLOOKUP(C358, 'Product Catalog'!$A:$A, 'Product Catalog'!$C:$C, "Unknown Category")</f>
        <v>Electronics</v>
      </c>
      <c r="M358" s="1">
        <f>_xlfn.XLOOKUP(C358, 'Product Catalog'!$A:$A, 'Product Catalog'!$D:$D, 0)</f>
        <v>46.33</v>
      </c>
      <c r="N358" s="1">
        <f t="shared" si="11"/>
        <v>46.33</v>
      </c>
    </row>
    <row r="359" spans="1:14" x14ac:dyDescent="0.3">
      <c r="A359" s="1" t="s">
        <v>733</v>
      </c>
      <c r="B359" s="1" t="s">
        <v>734</v>
      </c>
      <c r="C359" s="1" t="s">
        <v>466</v>
      </c>
      <c r="D359" s="1">
        <v>1</v>
      </c>
      <c r="E359" s="12">
        <v>45781.359027777777</v>
      </c>
      <c r="F359" s="1" t="s">
        <v>12</v>
      </c>
      <c r="G359" s="1" t="s">
        <v>50</v>
      </c>
      <c r="H359" s="1" t="s">
        <v>55</v>
      </c>
      <c r="I359" s="1" t="s">
        <v>42</v>
      </c>
      <c r="J359" s="1" t="str">
        <f t="shared" si="10"/>
        <v>PENDING_REVIEW</v>
      </c>
      <c r="K359" s="1" t="str">
        <f>_xlfn.XLOOKUP(C359, 'Product Catalog'!$A:$A, 'Product Catalog'!$B:$B, "Unknown Product")</f>
        <v>VPN 6-Month Pass Model L11</v>
      </c>
      <c r="L359" s="1" t="str">
        <f>_xlfn.XLOOKUP(C359, 'Product Catalog'!$A:$A, 'Product Catalog'!$C:$C, "Unknown Category")</f>
        <v>Digital Services</v>
      </c>
      <c r="M359" s="1">
        <f>_xlfn.XLOOKUP(C359, 'Product Catalog'!$A:$A, 'Product Catalog'!$D:$D, 0)</f>
        <v>16.73</v>
      </c>
      <c r="N359" s="1">
        <f t="shared" si="11"/>
        <v>16.73</v>
      </c>
    </row>
    <row r="360" spans="1:14" x14ac:dyDescent="0.3">
      <c r="A360" s="1" t="s">
        <v>735</v>
      </c>
      <c r="B360" s="1" t="s">
        <v>698</v>
      </c>
      <c r="C360" s="1" t="s">
        <v>59</v>
      </c>
      <c r="D360" s="1">
        <v>4</v>
      </c>
      <c r="E360" s="12">
        <v>45995.21875</v>
      </c>
      <c r="F360" s="1" t="s">
        <v>12</v>
      </c>
      <c r="G360" s="1" t="s">
        <v>20</v>
      </c>
      <c r="H360" s="1" t="s">
        <v>41</v>
      </c>
      <c r="I360" s="1" t="s">
        <v>81</v>
      </c>
      <c r="J360" s="1" t="str">
        <f t="shared" si="10"/>
        <v>REFUNDED</v>
      </c>
      <c r="K360" s="1" t="str">
        <f>_xlfn.XLOOKUP(C360, 'Product Catalog'!$A:$A, 'Product Catalog'!$B:$B, "Unknown Product")</f>
        <v>Silk Scarf Model Z25</v>
      </c>
      <c r="L360" s="1" t="str">
        <f>_xlfn.XLOOKUP(C360, 'Product Catalog'!$A:$A, 'Product Catalog'!$C:$C, "Unknown Category")</f>
        <v>Luxury Goods</v>
      </c>
      <c r="M360" s="1">
        <f>_xlfn.XLOOKUP(C360, 'Product Catalog'!$A:$A, 'Product Catalog'!$D:$D, 0)</f>
        <v>878.03</v>
      </c>
      <c r="N360" s="1">
        <f t="shared" si="11"/>
        <v>3512.12</v>
      </c>
    </row>
    <row r="361" spans="1:14" x14ac:dyDescent="0.3">
      <c r="A361" s="1" t="s">
        <v>736</v>
      </c>
      <c r="B361" s="1" t="s">
        <v>517</v>
      </c>
      <c r="C361" s="1" t="s">
        <v>84</v>
      </c>
      <c r="D361" s="1">
        <v>1</v>
      </c>
      <c r="E361" s="12">
        <v>45874.536111111112</v>
      </c>
      <c r="F361" s="1" t="s">
        <v>19</v>
      </c>
      <c r="G361" s="1" t="s">
        <v>109</v>
      </c>
      <c r="H361" s="1" t="s">
        <v>41</v>
      </c>
      <c r="I361" s="1" t="s">
        <v>15</v>
      </c>
      <c r="J361" s="1" t="str">
        <f t="shared" si="10"/>
        <v>delivered</v>
      </c>
      <c r="K361" s="1" t="str">
        <f>_xlfn.XLOOKUP(C361, 'Product Catalog'!$A:$A, 'Product Catalog'!$B:$B, "Unknown Product")</f>
        <v>Smartwatch Model J35</v>
      </c>
      <c r="L361" s="1" t="str">
        <f>_xlfn.XLOOKUP(C361, 'Product Catalog'!$A:$A, 'Product Catalog'!$C:$C, "Unknown Category")</f>
        <v>Electronics</v>
      </c>
      <c r="M361" s="1">
        <f>_xlfn.XLOOKUP(C361, 'Product Catalog'!$A:$A, 'Product Catalog'!$D:$D, 0)</f>
        <v>161.94999999999999</v>
      </c>
      <c r="N361" s="1">
        <f t="shared" si="11"/>
        <v>161.94999999999999</v>
      </c>
    </row>
    <row r="362" spans="1:14" x14ac:dyDescent="0.3">
      <c r="A362" s="1" t="s">
        <v>737</v>
      </c>
      <c r="B362" s="1" t="s">
        <v>611</v>
      </c>
      <c r="C362" s="1" t="s">
        <v>316</v>
      </c>
      <c r="D362" s="1">
        <v>5</v>
      </c>
      <c r="E362" s="12">
        <v>45695.638194444444</v>
      </c>
      <c r="F362" s="1" t="s">
        <v>39</v>
      </c>
      <c r="G362" s="1" t="s">
        <v>20</v>
      </c>
      <c r="H362" s="1" t="s">
        <v>51</v>
      </c>
      <c r="I362" s="1" t="s">
        <v>81</v>
      </c>
      <c r="J362" s="1" t="str">
        <f t="shared" si="10"/>
        <v>REFUNDED</v>
      </c>
      <c r="K362" s="1" t="str">
        <f>_xlfn.XLOOKUP(C362, 'Product Catalog'!$A:$A, 'Product Catalog'!$B:$B, "Unknown Product")</f>
        <v>Leather Handbag Model W48</v>
      </c>
      <c r="L362" s="1" t="str">
        <f>_xlfn.XLOOKUP(C362, 'Product Catalog'!$A:$A, 'Product Catalog'!$C:$C, "Unknown Category")</f>
        <v>Luxury Goods</v>
      </c>
      <c r="M362" s="1">
        <f>_xlfn.XLOOKUP(C362, 'Product Catalog'!$A:$A, 'Product Catalog'!$D:$D, 0)</f>
        <v>315.82</v>
      </c>
      <c r="N362" s="1">
        <f t="shared" si="11"/>
        <v>1579.1</v>
      </c>
    </row>
    <row r="363" spans="1:14" x14ac:dyDescent="0.3">
      <c r="A363" s="1" t="s">
        <v>738</v>
      </c>
      <c r="B363" s="1" t="s">
        <v>739</v>
      </c>
      <c r="C363" s="1" t="s">
        <v>740</v>
      </c>
      <c r="D363" s="1">
        <v>1</v>
      </c>
      <c r="E363" s="12">
        <v>45964.681250000001</v>
      </c>
      <c r="F363" s="1" t="s">
        <v>12</v>
      </c>
      <c r="G363" s="1" t="s">
        <v>46</v>
      </c>
      <c r="H363" s="1" t="s">
        <v>14</v>
      </c>
      <c r="I363" s="1" t="s">
        <v>15</v>
      </c>
      <c r="J363" s="1" t="str">
        <f t="shared" si="10"/>
        <v>delivered</v>
      </c>
      <c r="K363" s="1" t="str">
        <f>_xlfn.XLOOKUP(C363, 'Product Catalog'!$A:$A, 'Product Catalog'!$B:$B, "Unknown Product")</f>
        <v>Jacket Model S44</v>
      </c>
      <c r="L363" s="1" t="str">
        <f>_xlfn.XLOOKUP(C363, 'Product Catalog'!$A:$A, 'Product Catalog'!$C:$C, "Unknown Category")</f>
        <v>Apparel</v>
      </c>
      <c r="M363" s="1">
        <f>_xlfn.XLOOKUP(C363, 'Product Catalog'!$A:$A, 'Product Catalog'!$D:$D, 0)</f>
        <v>93.08</v>
      </c>
      <c r="N363" s="1">
        <f t="shared" si="11"/>
        <v>93.08</v>
      </c>
    </row>
    <row r="364" spans="1:14" x14ac:dyDescent="0.3">
      <c r="A364" s="1" t="s">
        <v>741</v>
      </c>
      <c r="B364" s="1" t="s">
        <v>742</v>
      </c>
      <c r="C364" s="1" t="s">
        <v>560</v>
      </c>
      <c r="D364" s="1">
        <v>1</v>
      </c>
      <c r="E364" s="12">
        <v>45956.569444444445</v>
      </c>
      <c r="F364" s="1" t="s">
        <v>12</v>
      </c>
      <c r="G364" s="1" t="s">
        <v>20</v>
      </c>
      <c r="H364" s="1" t="s">
        <v>14</v>
      </c>
      <c r="I364" s="1" t="s">
        <v>15</v>
      </c>
      <c r="J364" s="1" t="str">
        <f t="shared" si="10"/>
        <v>delivered</v>
      </c>
      <c r="K364" s="1" t="str">
        <f>_xlfn.XLOOKUP(C364, 'Product Catalog'!$A:$A, 'Product Catalog'!$B:$B, "Unknown Product")</f>
        <v>Cloud Storage Basic Model P41</v>
      </c>
      <c r="L364" s="1" t="str">
        <f>_xlfn.XLOOKUP(C364, 'Product Catalog'!$A:$A, 'Product Catalog'!$C:$C, "Unknown Category")</f>
        <v>Digital Services</v>
      </c>
      <c r="M364" s="1">
        <f>_xlfn.XLOOKUP(C364, 'Product Catalog'!$A:$A, 'Product Catalog'!$D:$D, 0)</f>
        <v>96.93</v>
      </c>
      <c r="N364" s="1">
        <f t="shared" si="11"/>
        <v>96.93</v>
      </c>
    </row>
    <row r="365" spans="1:14" x14ac:dyDescent="0.3">
      <c r="A365" s="1" t="s">
        <v>743</v>
      </c>
      <c r="B365" s="1" t="s">
        <v>79</v>
      </c>
      <c r="C365" s="1" t="s">
        <v>65</v>
      </c>
      <c r="D365" s="1">
        <v>1</v>
      </c>
      <c r="E365" s="12">
        <v>45931.720138888886</v>
      </c>
      <c r="F365" s="1" t="s">
        <v>19</v>
      </c>
      <c r="G365" s="1" t="s">
        <v>31</v>
      </c>
      <c r="H365" s="1" t="s">
        <v>24</v>
      </c>
      <c r="I365" s="1" t="s">
        <v>32</v>
      </c>
      <c r="J365" s="1" t="str">
        <f t="shared" si="10"/>
        <v>SHIPPED</v>
      </c>
      <c r="K365" s="1" t="str">
        <f>_xlfn.XLOOKUP(C365, 'Product Catalog'!$A:$A, 'Product Catalog'!$B:$B, "Unknown Product")</f>
        <v>Cap Model T97</v>
      </c>
      <c r="L365" s="1" t="str">
        <f>_xlfn.XLOOKUP(C365, 'Product Catalog'!$A:$A, 'Product Catalog'!$C:$C, "Unknown Category")</f>
        <v>Apparel</v>
      </c>
      <c r="M365" s="1">
        <f>_xlfn.XLOOKUP(C365, 'Product Catalog'!$A:$A, 'Product Catalog'!$D:$D, 0)</f>
        <v>99.18</v>
      </c>
      <c r="N365" s="1">
        <f t="shared" si="11"/>
        <v>99.18</v>
      </c>
    </row>
    <row r="366" spans="1:14" x14ac:dyDescent="0.3">
      <c r="A366" s="1" t="s">
        <v>744</v>
      </c>
      <c r="B366" s="1" t="s">
        <v>745</v>
      </c>
      <c r="C366" s="1" t="s">
        <v>560</v>
      </c>
      <c r="D366" s="1">
        <v>1</v>
      </c>
      <c r="E366" s="12">
        <v>46012.594444444447</v>
      </c>
      <c r="F366" s="1" t="s">
        <v>12</v>
      </c>
      <c r="G366" s="1" t="s">
        <v>109</v>
      </c>
      <c r="H366" s="1" t="s">
        <v>41</v>
      </c>
      <c r="I366" s="1" t="s">
        <v>15</v>
      </c>
      <c r="J366" s="1" t="str">
        <f t="shared" si="10"/>
        <v>delivered</v>
      </c>
      <c r="K366" s="1" t="str">
        <f>_xlfn.XLOOKUP(C366, 'Product Catalog'!$A:$A, 'Product Catalog'!$B:$B, "Unknown Product")</f>
        <v>Cloud Storage Basic Model P41</v>
      </c>
      <c r="L366" s="1" t="str">
        <f>_xlfn.XLOOKUP(C366, 'Product Catalog'!$A:$A, 'Product Catalog'!$C:$C, "Unknown Category")</f>
        <v>Digital Services</v>
      </c>
      <c r="M366" s="1">
        <f>_xlfn.XLOOKUP(C366, 'Product Catalog'!$A:$A, 'Product Catalog'!$D:$D, 0)</f>
        <v>96.93</v>
      </c>
      <c r="N366" s="1">
        <f t="shared" si="11"/>
        <v>96.93</v>
      </c>
    </row>
    <row r="367" spans="1:14" x14ac:dyDescent="0.3">
      <c r="A367" s="1" t="s">
        <v>746</v>
      </c>
      <c r="B367" s="1" t="s">
        <v>747</v>
      </c>
      <c r="C367" s="1" t="s">
        <v>367</v>
      </c>
      <c r="D367" s="1">
        <v>1</v>
      </c>
      <c r="E367" s="12">
        <v>45936.052083333336</v>
      </c>
      <c r="F367" s="1" t="s">
        <v>12</v>
      </c>
      <c r="G367" s="1" t="s">
        <v>13</v>
      </c>
      <c r="H367" s="1" t="s">
        <v>14</v>
      </c>
      <c r="I367" s="1" t="s">
        <v>15</v>
      </c>
      <c r="J367" s="1" t="str">
        <f t="shared" si="10"/>
        <v>delivered</v>
      </c>
      <c r="K367" s="1" t="str">
        <f>_xlfn.XLOOKUP(C367, 'Product Catalog'!$A:$A, 'Product Catalog'!$B:$B, "Unknown Product")</f>
        <v>Cable Model P67</v>
      </c>
      <c r="L367" s="1" t="str">
        <f>_xlfn.XLOOKUP(C367, 'Product Catalog'!$A:$A, 'Product Catalog'!$C:$C, "Unknown Category")</f>
        <v>Electronics</v>
      </c>
      <c r="M367" s="1">
        <f>_xlfn.XLOOKUP(C367, 'Product Catalog'!$A:$A, 'Product Catalog'!$D:$D, 0)</f>
        <v>187.9</v>
      </c>
      <c r="N367" s="1">
        <f t="shared" si="11"/>
        <v>187.9</v>
      </c>
    </row>
    <row r="368" spans="1:14" x14ac:dyDescent="0.3">
      <c r="A368" s="1" t="s">
        <v>748</v>
      </c>
      <c r="B368" s="1" t="s">
        <v>442</v>
      </c>
      <c r="C368" s="1" t="s">
        <v>749</v>
      </c>
      <c r="D368" s="1">
        <v>1</v>
      </c>
      <c r="E368" s="12">
        <v>45842.99722222222</v>
      </c>
      <c r="F368" s="1" t="s">
        <v>12</v>
      </c>
      <c r="G368" s="1" t="s">
        <v>13</v>
      </c>
      <c r="H368" s="1" t="s">
        <v>14</v>
      </c>
      <c r="I368" s="1" t="s">
        <v>15</v>
      </c>
      <c r="J368" s="1" t="str">
        <f t="shared" si="10"/>
        <v>delivered</v>
      </c>
      <c r="K368" s="1" t="str">
        <f>_xlfn.XLOOKUP(C368, 'Product Catalog'!$A:$A, 'Product Catalog'!$B:$B, "Unknown Product")</f>
        <v>VPN 6-Month Pass Model A130</v>
      </c>
      <c r="L368" s="1" t="str">
        <f>_xlfn.XLOOKUP(C368, 'Product Catalog'!$A:$A, 'Product Catalog'!$C:$C, "Unknown Category")</f>
        <v>Digital Services</v>
      </c>
      <c r="M368" s="1">
        <f>_xlfn.XLOOKUP(C368, 'Product Catalog'!$A:$A, 'Product Catalog'!$D:$D, 0)</f>
        <v>81.61</v>
      </c>
      <c r="N368" s="1">
        <f t="shared" si="11"/>
        <v>81.61</v>
      </c>
    </row>
    <row r="369" spans="1:14" x14ac:dyDescent="0.3">
      <c r="A369" s="1" t="s">
        <v>750</v>
      </c>
      <c r="B369" s="1" t="s">
        <v>243</v>
      </c>
      <c r="C369" s="1" t="s">
        <v>74</v>
      </c>
      <c r="D369" s="1">
        <v>2</v>
      </c>
      <c r="E369" s="12">
        <v>45932.844444444447</v>
      </c>
      <c r="F369" s="1" t="s">
        <v>185</v>
      </c>
      <c r="G369" s="1" t="s">
        <v>31</v>
      </c>
      <c r="H369" s="1" t="s">
        <v>24</v>
      </c>
      <c r="I369" s="1" t="s">
        <v>15</v>
      </c>
      <c r="J369" s="1" t="str">
        <f t="shared" si="10"/>
        <v>delivered</v>
      </c>
      <c r="K369" s="1" t="str">
        <f>_xlfn.XLOOKUP(C369, 'Product Catalog'!$A:$A, 'Product Catalog'!$B:$B, "Unknown Product")</f>
        <v>Webcam Model D55</v>
      </c>
      <c r="L369" s="1" t="str">
        <f>_xlfn.XLOOKUP(C369, 'Product Catalog'!$A:$A, 'Product Catalog'!$C:$C, "Unknown Category")</f>
        <v>Electronics</v>
      </c>
      <c r="M369" s="1">
        <f>_xlfn.XLOOKUP(C369, 'Product Catalog'!$A:$A, 'Product Catalog'!$D:$D, 0)</f>
        <v>168.56</v>
      </c>
      <c r="N369" s="1">
        <f t="shared" si="11"/>
        <v>337.12</v>
      </c>
    </row>
    <row r="370" spans="1:14" x14ac:dyDescent="0.3">
      <c r="A370" s="1" t="s">
        <v>751</v>
      </c>
      <c r="B370" s="1" t="s">
        <v>617</v>
      </c>
      <c r="C370" s="1" t="s">
        <v>195</v>
      </c>
      <c r="D370" s="1">
        <v>1</v>
      </c>
      <c r="E370" s="12">
        <v>45984.120833333334</v>
      </c>
      <c r="F370" s="1" t="s">
        <v>19</v>
      </c>
      <c r="G370" s="1" t="s">
        <v>46</v>
      </c>
      <c r="H370" s="1" t="s">
        <v>14</v>
      </c>
      <c r="I370" s="1" t="s">
        <v>32</v>
      </c>
      <c r="J370" s="1" t="str">
        <f t="shared" si="10"/>
        <v>SHIPPED</v>
      </c>
      <c r="K370" s="1" t="str">
        <f>_xlfn.XLOOKUP(C370, 'Product Catalog'!$A:$A, 'Product Catalog'!$B:$B, "Unknown Product")</f>
        <v>Blender Model L89</v>
      </c>
      <c r="L370" s="1" t="str">
        <f>_xlfn.XLOOKUP(C370, 'Product Catalog'!$A:$A, 'Product Catalog'!$C:$C, "Unknown Category")</f>
        <v>Home Goods</v>
      </c>
      <c r="M370" s="1">
        <f>_xlfn.XLOOKUP(C370, 'Product Catalog'!$A:$A, 'Product Catalog'!$D:$D, 0)</f>
        <v>138.6</v>
      </c>
      <c r="N370" s="1">
        <f t="shared" si="11"/>
        <v>138.6</v>
      </c>
    </row>
    <row r="371" spans="1:14" x14ac:dyDescent="0.3">
      <c r="A371" s="1" t="s">
        <v>752</v>
      </c>
      <c r="B371" s="1" t="s">
        <v>76</v>
      </c>
      <c r="C371" s="1" t="s">
        <v>391</v>
      </c>
      <c r="D371" s="1">
        <v>1</v>
      </c>
      <c r="E371" s="12">
        <v>45713.352777777778</v>
      </c>
      <c r="F371" s="1" t="s">
        <v>19</v>
      </c>
      <c r="G371" s="1" t="s">
        <v>46</v>
      </c>
      <c r="H371" s="1" t="s">
        <v>41</v>
      </c>
      <c r="I371" s="1" t="s">
        <v>15</v>
      </c>
      <c r="J371" s="1" t="str">
        <f t="shared" si="10"/>
        <v>delivered</v>
      </c>
      <c r="K371" s="1" t="str">
        <f>_xlfn.XLOOKUP(C371, 'Product Catalog'!$A:$A, 'Product Catalog'!$B:$B, "Unknown Product")</f>
        <v>Premium Stream 1M Model P145</v>
      </c>
      <c r="L371" s="1" t="str">
        <f>_xlfn.XLOOKUP(C371, 'Product Catalog'!$A:$A, 'Product Catalog'!$C:$C, "Unknown Category")</f>
        <v>Digital Services</v>
      </c>
      <c r="M371" s="1">
        <f>_xlfn.XLOOKUP(C371, 'Product Catalog'!$A:$A, 'Product Catalog'!$D:$D, 0)</f>
        <v>84.01</v>
      </c>
      <c r="N371" s="1">
        <f t="shared" si="11"/>
        <v>84.01</v>
      </c>
    </row>
    <row r="372" spans="1:14" x14ac:dyDescent="0.3">
      <c r="A372" s="1" t="s">
        <v>753</v>
      </c>
      <c r="B372" s="1" t="s">
        <v>754</v>
      </c>
      <c r="C372" s="1" t="s">
        <v>213</v>
      </c>
      <c r="D372" s="1">
        <v>1</v>
      </c>
      <c r="E372" s="12">
        <v>45994.945138888892</v>
      </c>
      <c r="F372" s="1" t="s">
        <v>12</v>
      </c>
      <c r="G372" s="1" t="s">
        <v>13</v>
      </c>
      <c r="H372" s="1" t="s">
        <v>41</v>
      </c>
      <c r="I372" s="1" t="s">
        <v>81</v>
      </c>
      <c r="J372" s="1" t="str">
        <f t="shared" si="10"/>
        <v>REFUNDED</v>
      </c>
      <c r="K372" s="1" t="str">
        <f>_xlfn.XLOOKUP(C372, 'Product Catalog'!$A:$A, 'Product Catalog'!$B:$B, "Unknown Product")</f>
        <v>Cloud Storage Basic Model L63</v>
      </c>
      <c r="L372" s="1" t="str">
        <f>_xlfn.XLOOKUP(C372, 'Product Catalog'!$A:$A, 'Product Catalog'!$C:$C, "Unknown Category")</f>
        <v>Digital Services</v>
      </c>
      <c r="M372" s="1">
        <f>_xlfn.XLOOKUP(C372, 'Product Catalog'!$A:$A, 'Product Catalog'!$D:$D, 0)</f>
        <v>20.48</v>
      </c>
      <c r="N372" s="1">
        <f t="shared" si="11"/>
        <v>20.48</v>
      </c>
    </row>
    <row r="373" spans="1:14" x14ac:dyDescent="0.3">
      <c r="A373" s="1" t="s">
        <v>755</v>
      </c>
      <c r="B373" s="1" t="s">
        <v>331</v>
      </c>
      <c r="C373" s="1" t="s">
        <v>131</v>
      </c>
      <c r="D373" s="1">
        <v>1</v>
      </c>
      <c r="E373" s="12">
        <v>45839.236111111109</v>
      </c>
      <c r="F373" s="1" t="s">
        <v>19</v>
      </c>
      <c r="G373" s="1" t="s">
        <v>109</v>
      </c>
      <c r="H373" s="1" t="s">
        <v>14</v>
      </c>
      <c r="I373" s="1" t="s">
        <v>15</v>
      </c>
      <c r="J373" s="1" t="str">
        <f t="shared" si="10"/>
        <v>delivered</v>
      </c>
      <c r="K373" s="1" t="str">
        <f>_xlfn.XLOOKUP(C373, 'Product Catalog'!$A:$A, 'Product Catalog'!$B:$B, "Unknown Product")</f>
        <v>Keyboard Model C28</v>
      </c>
      <c r="L373" s="1" t="str">
        <f>_xlfn.XLOOKUP(C373, 'Product Catalog'!$A:$A, 'Product Catalog'!$C:$C, "Unknown Category")</f>
        <v>Electronics</v>
      </c>
      <c r="M373" s="1">
        <f>_xlfn.XLOOKUP(C373, 'Product Catalog'!$A:$A, 'Product Catalog'!$D:$D, 0)</f>
        <v>162.44999999999999</v>
      </c>
      <c r="N373" s="1">
        <f t="shared" si="11"/>
        <v>162.44999999999999</v>
      </c>
    </row>
    <row r="374" spans="1:14" x14ac:dyDescent="0.3">
      <c r="A374" s="1" t="s">
        <v>756</v>
      </c>
      <c r="B374" s="1" t="s">
        <v>371</v>
      </c>
      <c r="C374" s="1" t="s">
        <v>105</v>
      </c>
      <c r="D374" s="1">
        <v>2</v>
      </c>
      <c r="E374" s="12">
        <v>45989.870833333334</v>
      </c>
      <c r="F374" s="1" t="s">
        <v>19</v>
      </c>
      <c r="G374" s="1" t="s">
        <v>46</v>
      </c>
      <c r="H374" s="1" t="s">
        <v>41</v>
      </c>
      <c r="I374" s="1" t="s">
        <v>81</v>
      </c>
      <c r="J374" s="1" t="str">
        <f t="shared" si="10"/>
        <v>REFUNDED</v>
      </c>
      <c r="K374" s="1" t="str">
        <f>_xlfn.XLOOKUP(C374, 'Product Catalog'!$A:$A, 'Product Catalog'!$B:$B, "Unknown Product")</f>
        <v>Keyboard Model E4</v>
      </c>
      <c r="L374" s="1" t="str">
        <f>_xlfn.XLOOKUP(C374, 'Product Catalog'!$A:$A, 'Product Catalog'!$C:$C, "Unknown Category")</f>
        <v>Electronics</v>
      </c>
      <c r="M374" s="1">
        <f>_xlfn.XLOOKUP(C374, 'Product Catalog'!$A:$A, 'Product Catalog'!$D:$D, 0)</f>
        <v>69.680000000000007</v>
      </c>
      <c r="N374" s="1">
        <f t="shared" si="11"/>
        <v>139.36000000000001</v>
      </c>
    </row>
    <row r="375" spans="1:14" x14ac:dyDescent="0.3">
      <c r="A375" s="1" t="s">
        <v>757</v>
      </c>
      <c r="B375" s="1" t="s">
        <v>422</v>
      </c>
      <c r="C375" s="1" t="s">
        <v>758</v>
      </c>
      <c r="D375" s="1">
        <v>5</v>
      </c>
      <c r="E375" s="12">
        <v>45680.800694444442</v>
      </c>
      <c r="F375" s="1" t="s">
        <v>19</v>
      </c>
      <c r="G375" s="1" t="s">
        <v>50</v>
      </c>
      <c r="H375" s="1" t="s">
        <v>55</v>
      </c>
      <c r="I375" s="1" t="s">
        <v>81</v>
      </c>
      <c r="J375" s="1" t="str">
        <f t="shared" si="10"/>
        <v>REFUNDED</v>
      </c>
      <c r="K375" s="1" t="str">
        <f>_xlfn.XLOOKUP(C375, 'Product Catalog'!$A:$A, 'Product Catalog'!$B:$B, "Unknown Product")</f>
        <v>Cloud Storage Basic Model G110</v>
      </c>
      <c r="L375" s="1" t="str">
        <f>_xlfn.XLOOKUP(C375, 'Product Catalog'!$A:$A, 'Product Catalog'!$C:$C, "Unknown Category")</f>
        <v>Digital Services</v>
      </c>
      <c r="M375" s="1">
        <f>_xlfn.XLOOKUP(C375, 'Product Catalog'!$A:$A, 'Product Catalog'!$D:$D, 0)</f>
        <v>53.87</v>
      </c>
      <c r="N375" s="1">
        <f t="shared" si="11"/>
        <v>269.34999999999997</v>
      </c>
    </row>
    <row r="376" spans="1:14" x14ac:dyDescent="0.3">
      <c r="A376" s="1" t="s">
        <v>759</v>
      </c>
      <c r="B376" s="1" t="s">
        <v>371</v>
      </c>
      <c r="C376" s="1" t="s">
        <v>148</v>
      </c>
      <c r="D376" s="1">
        <v>1</v>
      </c>
      <c r="E376" s="12">
        <v>45988.963194444441</v>
      </c>
      <c r="F376" s="1" t="s">
        <v>12</v>
      </c>
      <c r="G376" s="1" t="s">
        <v>40</v>
      </c>
      <c r="H376" s="1" t="s">
        <v>55</v>
      </c>
      <c r="I376" s="1" t="s">
        <v>56</v>
      </c>
      <c r="J376" s="1" t="str">
        <f t="shared" si="10"/>
        <v>cancelled</v>
      </c>
      <c r="K376" s="1" t="str">
        <f>_xlfn.XLOOKUP(C376, 'Product Catalog'!$A:$A, 'Product Catalog'!$B:$B, "Unknown Product")</f>
        <v>Charger Model W100</v>
      </c>
      <c r="L376" s="1" t="str">
        <f>_xlfn.XLOOKUP(C376, 'Product Catalog'!$A:$A, 'Product Catalog'!$C:$C, "Unknown Category")</f>
        <v>Electronics</v>
      </c>
      <c r="M376" s="1">
        <f>_xlfn.XLOOKUP(C376, 'Product Catalog'!$A:$A, 'Product Catalog'!$D:$D, 0)</f>
        <v>219.96</v>
      </c>
      <c r="N376" s="1">
        <f t="shared" si="11"/>
        <v>219.96</v>
      </c>
    </row>
    <row r="377" spans="1:14" x14ac:dyDescent="0.3">
      <c r="A377" s="1" t="s">
        <v>760</v>
      </c>
      <c r="B377" s="1" t="s">
        <v>761</v>
      </c>
      <c r="C377" s="1" t="s">
        <v>424</v>
      </c>
      <c r="D377" s="1">
        <v>5</v>
      </c>
      <c r="E377" s="12">
        <v>45989.568055555559</v>
      </c>
      <c r="F377" s="1" t="s">
        <v>19</v>
      </c>
      <c r="G377" s="1" t="s">
        <v>50</v>
      </c>
      <c r="H377" s="1" t="s">
        <v>55</v>
      </c>
      <c r="I377" s="1" t="s">
        <v>102</v>
      </c>
      <c r="J377" s="1" t="str">
        <f t="shared" si="10"/>
        <v>disputed</v>
      </c>
      <c r="K377" s="1" t="str">
        <f>_xlfn.XLOOKUP(C377, 'Product Catalog'!$A:$A, 'Product Catalog'!$B:$B, "Unknown Product")</f>
        <v>Software License Tier A Model M142</v>
      </c>
      <c r="L377" s="1" t="str">
        <f>_xlfn.XLOOKUP(C377, 'Product Catalog'!$A:$A, 'Product Catalog'!$C:$C, "Unknown Category")</f>
        <v>Digital Services</v>
      </c>
      <c r="M377" s="1">
        <f>_xlfn.XLOOKUP(C377, 'Product Catalog'!$A:$A, 'Product Catalog'!$D:$D, 0)</f>
        <v>55.59</v>
      </c>
      <c r="N377" s="1">
        <f t="shared" si="11"/>
        <v>277.95000000000005</v>
      </c>
    </row>
    <row r="378" spans="1:14" x14ac:dyDescent="0.3">
      <c r="A378" s="1" t="s">
        <v>762</v>
      </c>
      <c r="B378" s="1" t="s">
        <v>693</v>
      </c>
      <c r="C378" s="1" t="s">
        <v>357</v>
      </c>
      <c r="D378" s="1">
        <v>5</v>
      </c>
      <c r="E378" s="12">
        <v>45827.611805555556</v>
      </c>
      <c r="F378" s="1" t="s">
        <v>170</v>
      </c>
      <c r="G378" s="1" t="s">
        <v>40</v>
      </c>
      <c r="H378" s="1" t="s">
        <v>55</v>
      </c>
      <c r="I378" s="1" t="s">
        <v>42</v>
      </c>
      <c r="J378" s="1" t="str">
        <f t="shared" si="10"/>
        <v>PENDING_REVIEW</v>
      </c>
      <c r="K378" s="1" t="str">
        <f>_xlfn.XLOOKUP(C378, 'Product Catalog'!$A:$A, 'Product Catalog'!$B:$B, "Unknown Product")</f>
        <v>Blender Model C106</v>
      </c>
      <c r="L378" s="1" t="str">
        <f>_xlfn.XLOOKUP(C378, 'Product Catalog'!$A:$A, 'Product Catalog'!$C:$C, "Unknown Category")</f>
        <v>Home Goods</v>
      </c>
      <c r="M378" s="1">
        <f>_xlfn.XLOOKUP(C378, 'Product Catalog'!$A:$A, 'Product Catalog'!$D:$D, 0)</f>
        <v>112.89</v>
      </c>
      <c r="N378" s="1">
        <f t="shared" si="11"/>
        <v>564.45000000000005</v>
      </c>
    </row>
    <row r="379" spans="1:14" x14ac:dyDescent="0.3">
      <c r="A379" s="1" t="s">
        <v>763</v>
      </c>
      <c r="B379" s="1" t="s">
        <v>388</v>
      </c>
      <c r="C379" s="1" t="s">
        <v>154</v>
      </c>
      <c r="D379" s="1">
        <v>1</v>
      </c>
      <c r="E379" s="12">
        <v>45712.01458333333</v>
      </c>
      <c r="F379" s="1" t="s">
        <v>19</v>
      </c>
      <c r="G379" s="1" t="s">
        <v>31</v>
      </c>
      <c r="H379" s="1" t="s">
        <v>41</v>
      </c>
      <c r="I379" s="1" t="s">
        <v>32</v>
      </c>
      <c r="J379" s="1" t="str">
        <f t="shared" si="10"/>
        <v>SHIPPED</v>
      </c>
      <c r="K379" s="1" t="str">
        <f>_xlfn.XLOOKUP(C379, 'Product Catalog'!$A:$A, 'Product Catalog'!$B:$B, "Unknown Product")</f>
        <v>Desk Lamp Model N13</v>
      </c>
      <c r="L379" s="1" t="str">
        <f>_xlfn.XLOOKUP(C379, 'Product Catalog'!$A:$A, 'Product Catalog'!$C:$C, "Unknown Category")</f>
        <v>Home Goods</v>
      </c>
      <c r="M379" s="1">
        <f>_xlfn.XLOOKUP(C379, 'Product Catalog'!$A:$A, 'Product Catalog'!$D:$D, 0)</f>
        <v>50.77</v>
      </c>
      <c r="N379" s="1">
        <f t="shared" si="11"/>
        <v>50.77</v>
      </c>
    </row>
    <row r="380" spans="1:14" x14ac:dyDescent="0.3">
      <c r="A380" s="1" t="s">
        <v>764</v>
      </c>
      <c r="B380" s="1" t="s">
        <v>765</v>
      </c>
      <c r="C380" s="1" t="s">
        <v>164</v>
      </c>
      <c r="D380" s="1">
        <v>1</v>
      </c>
      <c r="E380" s="12">
        <v>45708.367361111108</v>
      </c>
      <c r="F380" s="1" t="s">
        <v>39</v>
      </c>
      <c r="G380" s="1" t="s">
        <v>40</v>
      </c>
      <c r="H380" s="1" t="s">
        <v>55</v>
      </c>
      <c r="I380" s="1" t="s">
        <v>56</v>
      </c>
      <c r="J380" s="1" t="str">
        <f t="shared" si="10"/>
        <v>cancelled</v>
      </c>
      <c r="K380" s="1" t="str">
        <f>_xlfn.XLOOKUP(C380, 'Product Catalog'!$A:$A, 'Product Catalog'!$B:$B, "Unknown Product")</f>
        <v>Gold Bracelet Model A26</v>
      </c>
      <c r="L380" s="1" t="str">
        <f>_xlfn.XLOOKUP(C380, 'Product Catalog'!$A:$A, 'Product Catalog'!$C:$C, "Unknown Category")</f>
        <v>Luxury Goods</v>
      </c>
      <c r="M380" s="1">
        <f>_xlfn.XLOOKUP(C380, 'Product Catalog'!$A:$A, 'Product Catalog'!$D:$D, 0)</f>
        <v>1096.3900000000001</v>
      </c>
      <c r="N380" s="1">
        <f t="shared" si="11"/>
        <v>1096.3900000000001</v>
      </c>
    </row>
    <row r="381" spans="1:14" x14ac:dyDescent="0.3">
      <c r="A381" s="1" t="s">
        <v>766</v>
      </c>
      <c r="B381" s="1" t="s">
        <v>502</v>
      </c>
      <c r="C381" s="1" t="s">
        <v>492</v>
      </c>
      <c r="D381" s="1">
        <v>1</v>
      </c>
      <c r="E381" s="12">
        <v>45771.725694444445</v>
      </c>
      <c r="F381" s="1" t="s">
        <v>12</v>
      </c>
      <c r="G381" s="1" t="s">
        <v>13</v>
      </c>
      <c r="H381" s="1" t="s">
        <v>14</v>
      </c>
      <c r="I381" s="1" t="s">
        <v>15</v>
      </c>
      <c r="J381" s="1" t="str">
        <f t="shared" si="10"/>
        <v>delivered</v>
      </c>
      <c r="K381" s="1" t="str">
        <f>_xlfn.XLOOKUP(C381, 'Product Catalog'!$A:$A, 'Product Catalog'!$B:$B, "Unknown Product")</f>
        <v>Blender Model Q16</v>
      </c>
      <c r="L381" s="1" t="str">
        <f>_xlfn.XLOOKUP(C381, 'Product Catalog'!$A:$A, 'Product Catalog'!$C:$C, "Unknown Category")</f>
        <v>Home Goods</v>
      </c>
      <c r="M381" s="1">
        <f>_xlfn.XLOOKUP(C381, 'Product Catalog'!$A:$A, 'Product Catalog'!$D:$D, 0)</f>
        <v>79.23</v>
      </c>
      <c r="N381" s="1">
        <f t="shared" si="11"/>
        <v>79.23</v>
      </c>
    </row>
    <row r="382" spans="1:14" x14ac:dyDescent="0.3">
      <c r="A382" s="1" t="s">
        <v>767</v>
      </c>
      <c r="B382" s="1" t="s">
        <v>768</v>
      </c>
      <c r="C382" s="1" t="s">
        <v>407</v>
      </c>
      <c r="D382" s="1">
        <v>1</v>
      </c>
      <c r="E382" s="12">
        <v>45923.793055555558</v>
      </c>
      <c r="F382" s="1" t="s">
        <v>12</v>
      </c>
      <c r="G382" s="1" t="s">
        <v>31</v>
      </c>
      <c r="H382" s="1" t="s">
        <v>41</v>
      </c>
      <c r="I382" s="1" t="s">
        <v>15</v>
      </c>
      <c r="J382" s="1" t="str">
        <f t="shared" si="10"/>
        <v>delivered</v>
      </c>
      <c r="K382" s="1" t="str">
        <f>_xlfn.XLOOKUP(C382, 'Product Catalog'!$A:$A, 'Product Catalog'!$B:$B, "Unknown Product")</f>
        <v>Desk Lamp Model K10</v>
      </c>
      <c r="L382" s="1" t="str">
        <f>_xlfn.XLOOKUP(C382, 'Product Catalog'!$A:$A, 'Product Catalog'!$C:$C, "Unknown Category")</f>
        <v>Home Goods</v>
      </c>
      <c r="M382" s="1">
        <f>_xlfn.XLOOKUP(C382, 'Product Catalog'!$A:$A, 'Product Catalog'!$D:$D, 0)</f>
        <v>62.32</v>
      </c>
      <c r="N382" s="1">
        <f t="shared" si="11"/>
        <v>62.32</v>
      </c>
    </row>
    <row r="383" spans="1:14" x14ac:dyDescent="0.3">
      <c r="A383" s="1" t="s">
        <v>769</v>
      </c>
      <c r="B383" s="1" t="s">
        <v>133</v>
      </c>
      <c r="C383" s="1" t="s">
        <v>293</v>
      </c>
      <c r="D383" s="1">
        <v>4</v>
      </c>
      <c r="E383" s="12">
        <v>45955.977777777778</v>
      </c>
      <c r="F383" s="1" t="s">
        <v>12</v>
      </c>
      <c r="G383" s="1" t="s">
        <v>40</v>
      </c>
      <c r="H383" s="1" t="s">
        <v>55</v>
      </c>
      <c r="I383" s="1" t="s">
        <v>102</v>
      </c>
      <c r="J383" s="1" t="str">
        <f t="shared" si="10"/>
        <v>disputed</v>
      </c>
      <c r="K383" s="1" t="str">
        <f>_xlfn.XLOOKUP(C383, 'Product Catalog'!$A:$A, 'Product Catalog'!$B:$B, "Unknown Product")</f>
        <v>Software License Tier A Model C132</v>
      </c>
      <c r="L383" s="1" t="str">
        <f>_xlfn.XLOOKUP(C383, 'Product Catalog'!$A:$A, 'Product Catalog'!$C:$C, "Unknown Category")</f>
        <v>Digital Services</v>
      </c>
      <c r="M383" s="1">
        <f>_xlfn.XLOOKUP(C383, 'Product Catalog'!$A:$A, 'Product Catalog'!$D:$D, 0)</f>
        <v>29.36</v>
      </c>
      <c r="N383" s="1">
        <f t="shared" si="11"/>
        <v>117.44</v>
      </c>
    </row>
    <row r="384" spans="1:14" x14ac:dyDescent="0.3">
      <c r="A384" s="1" t="s">
        <v>770</v>
      </c>
      <c r="B384" s="1" t="s">
        <v>22</v>
      </c>
      <c r="C384" s="1" t="s">
        <v>383</v>
      </c>
      <c r="D384" s="1">
        <v>1</v>
      </c>
      <c r="E384" s="12">
        <v>45952.313888888886</v>
      </c>
      <c r="F384" s="1" t="s">
        <v>19</v>
      </c>
      <c r="G384" s="1" t="s">
        <v>109</v>
      </c>
      <c r="H384" s="1" t="s">
        <v>14</v>
      </c>
      <c r="I384" s="1" t="s">
        <v>102</v>
      </c>
      <c r="J384" s="1" t="str">
        <f t="shared" si="10"/>
        <v>disputed</v>
      </c>
      <c r="K384" s="1" t="str">
        <f>_xlfn.XLOOKUP(C384, 'Product Catalog'!$A:$A, 'Product Catalog'!$B:$B, "Unknown Product")</f>
        <v>Keyboard Model F83</v>
      </c>
      <c r="L384" s="1" t="str">
        <f>_xlfn.XLOOKUP(C384, 'Product Catalog'!$A:$A, 'Product Catalog'!$C:$C, "Unknown Category")</f>
        <v>Electronics</v>
      </c>
      <c r="M384" s="1">
        <f>_xlfn.XLOOKUP(C384, 'Product Catalog'!$A:$A, 'Product Catalog'!$D:$D, 0)</f>
        <v>77.150000000000006</v>
      </c>
      <c r="N384" s="1">
        <f t="shared" si="11"/>
        <v>77.150000000000006</v>
      </c>
    </row>
    <row r="385" spans="1:14" x14ac:dyDescent="0.3">
      <c r="A385" s="1" t="s">
        <v>771</v>
      </c>
      <c r="B385" s="1" t="s">
        <v>484</v>
      </c>
      <c r="C385" s="1" t="s">
        <v>105</v>
      </c>
      <c r="D385" s="1">
        <v>5</v>
      </c>
      <c r="E385" s="12">
        <v>45886.531944444447</v>
      </c>
      <c r="F385" s="1" t="s">
        <v>39</v>
      </c>
      <c r="G385" s="1" t="s">
        <v>40</v>
      </c>
      <c r="H385" s="1" t="s">
        <v>55</v>
      </c>
      <c r="I385" s="1" t="s">
        <v>56</v>
      </c>
      <c r="J385" s="1" t="str">
        <f t="shared" si="10"/>
        <v>cancelled</v>
      </c>
      <c r="K385" s="1" t="str">
        <f>_xlfn.XLOOKUP(C385, 'Product Catalog'!$A:$A, 'Product Catalog'!$B:$B, "Unknown Product")</f>
        <v>Keyboard Model E4</v>
      </c>
      <c r="L385" s="1" t="str">
        <f>_xlfn.XLOOKUP(C385, 'Product Catalog'!$A:$A, 'Product Catalog'!$C:$C, "Unknown Category")</f>
        <v>Electronics</v>
      </c>
      <c r="M385" s="1">
        <f>_xlfn.XLOOKUP(C385, 'Product Catalog'!$A:$A, 'Product Catalog'!$D:$D, 0)</f>
        <v>69.680000000000007</v>
      </c>
      <c r="N385" s="1">
        <f t="shared" si="11"/>
        <v>348.40000000000003</v>
      </c>
    </row>
    <row r="386" spans="1:14" x14ac:dyDescent="0.3">
      <c r="A386" s="1" t="s">
        <v>772</v>
      </c>
      <c r="B386" s="1" t="s">
        <v>773</v>
      </c>
      <c r="C386" s="1" t="s">
        <v>459</v>
      </c>
      <c r="D386" s="1">
        <v>1</v>
      </c>
      <c r="E386" s="12">
        <v>45858.658333333333</v>
      </c>
      <c r="F386" s="1" t="s">
        <v>12</v>
      </c>
      <c r="G386" s="1" t="s">
        <v>31</v>
      </c>
      <c r="H386" s="1" t="s">
        <v>14</v>
      </c>
      <c r="I386" s="1" t="s">
        <v>15</v>
      </c>
      <c r="J386" s="1" t="str">
        <f t="shared" ref="J386:J449" si="12">TRIM(I386)</f>
        <v>delivered</v>
      </c>
      <c r="K386" s="1" t="str">
        <f>_xlfn.XLOOKUP(C386, 'Product Catalog'!$A:$A, 'Product Catalog'!$B:$B, "Unknown Product")</f>
        <v>Mouse Model I60</v>
      </c>
      <c r="L386" s="1" t="str">
        <f>_xlfn.XLOOKUP(C386, 'Product Catalog'!$A:$A, 'Product Catalog'!$C:$C, "Unknown Category")</f>
        <v>Electronics</v>
      </c>
      <c r="M386" s="1">
        <f>_xlfn.XLOOKUP(C386, 'Product Catalog'!$A:$A, 'Product Catalog'!$D:$D, 0)</f>
        <v>168.25</v>
      </c>
      <c r="N386" s="1">
        <f t="shared" ref="N386:N449" si="13">D386 * M386</f>
        <v>168.25</v>
      </c>
    </row>
    <row r="387" spans="1:14" x14ac:dyDescent="0.3">
      <c r="A387" s="1" t="s">
        <v>774</v>
      </c>
      <c r="B387" s="1" t="s">
        <v>127</v>
      </c>
      <c r="C387" s="1" t="s">
        <v>278</v>
      </c>
      <c r="D387" s="1">
        <v>2</v>
      </c>
      <c r="E387" s="12">
        <v>46005.836805555555</v>
      </c>
      <c r="F387" s="1" t="s">
        <v>19</v>
      </c>
      <c r="G387" s="1" t="s">
        <v>20</v>
      </c>
      <c r="H387" s="1" t="s">
        <v>14</v>
      </c>
      <c r="I387" s="1" t="s">
        <v>15</v>
      </c>
      <c r="J387" s="1" t="str">
        <f t="shared" si="12"/>
        <v>delivered</v>
      </c>
      <c r="K387" s="1" t="str">
        <f>_xlfn.XLOOKUP(C387, 'Product Catalog'!$A:$A, 'Product Catalog'!$B:$B, "Unknown Product")</f>
        <v>Premium Stream 1M Model L115</v>
      </c>
      <c r="L387" s="1" t="str">
        <f>_xlfn.XLOOKUP(C387, 'Product Catalog'!$A:$A, 'Product Catalog'!$C:$C, "Unknown Category")</f>
        <v>Digital Services</v>
      </c>
      <c r="M387" s="1">
        <f>_xlfn.XLOOKUP(C387, 'Product Catalog'!$A:$A, 'Product Catalog'!$D:$D, 0)</f>
        <v>62.86</v>
      </c>
      <c r="N387" s="1">
        <f t="shared" si="13"/>
        <v>125.72</v>
      </c>
    </row>
    <row r="388" spans="1:14" x14ac:dyDescent="0.3">
      <c r="A388" s="1" t="s">
        <v>775</v>
      </c>
      <c r="B388" s="1" t="s">
        <v>17</v>
      </c>
      <c r="C388" s="1" t="s">
        <v>154</v>
      </c>
      <c r="D388" s="1">
        <v>3</v>
      </c>
      <c r="E388" s="12">
        <v>46011.711111111108</v>
      </c>
      <c r="F388" s="1" t="s">
        <v>19</v>
      </c>
      <c r="G388" s="1" t="s">
        <v>46</v>
      </c>
      <c r="H388" s="1" t="s">
        <v>41</v>
      </c>
      <c r="I388" s="1" t="s">
        <v>15</v>
      </c>
      <c r="J388" s="1" t="str">
        <f t="shared" si="12"/>
        <v>delivered</v>
      </c>
      <c r="K388" s="1" t="str">
        <f>_xlfn.XLOOKUP(C388, 'Product Catalog'!$A:$A, 'Product Catalog'!$B:$B, "Unknown Product")</f>
        <v>Desk Lamp Model N13</v>
      </c>
      <c r="L388" s="1" t="str">
        <f>_xlfn.XLOOKUP(C388, 'Product Catalog'!$A:$A, 'Product Catalog'!$C:$C, "Unknown Category")</f>
        <v>Home Goods</v>
      </c>
      <c r="M388" s="1">
        <f>_xlfn.XLOOKUP(C388, 'Product Catalog'!$A:$A, 'Product Catalog'!$D:$D, 0)</f>
        <v>50.77</v>
      </c>
      <c r="N388" s="1">
        <f t="shared" si="13"/>
        <v>152.31</v>
      </c>
    </row>
    <row r="389" spans="1:14" x14ac:dyDescent="0.3">
      <c r="A389" s="1" t="s">
        <v>776</v>
      </c>
      <c r="B389" s="1" t="s">
        <v>609</v>
      </c>
      <c r="C389" s="1" t="s">
        <v>184</v>
      </c>
      <c r="D389" s="1">
        <v>1</v>
      </c>
      <c r="E389" s="12">
        <v>45735.490277777775</v>
      </c>
      <c r="F389" s="1" t="s">
        <v>19</v>
      </c>
      <c r="G389" s="1" t="s">
        <v>13</v>
      </c>
      <c r="H389" s="1" t="s">
        <v>41</v>
      </c>
      <c r="I389" s="1" t="s">
        <v>15</v>
      </c>
      <c r="J389" s="1" t="str">
        <f t="shared" si="12"/>
        <v>delivered</v>
      </c>
      <c r="K389" s="1" t="str">
        <f>_xlfn.XLOOKUP(C389, 'Product Catalog'!$A:$A, 'Product Catalog'!$B:$B, "Unknown Product")</f>
        <v>Jacket Model O40</v>
      </c>
      <c r="L389" s="1" t="str">
        <f>_xlfn.XLOOKUP(C389, 'Product Catalog'!$A:$A, 'Product Catalog'!$C:$C, "Unknown Category")</f>
        <v>Apparel</v>
      </c>
      <c r="M389" s="1">
        <f>_xlfn.XLOOKUP(C389, 'Product Catalog'!$A:$A, 'Product Catalog'!$D:$D, 0)</f>
        <v>114.16</v>
      </c>
      <c r="N389" s="1">
        <f t="shared" si="13"/>
        <v>114.16</v>
      </c>
    </row>
    <row r="390" spans="1:14" x14ac:dyDescent="0.3">
      <c r="A390" s="1" t="s">
        <v>777</v>
      </c>
      <c r="B390" s="1" t="s">
        <v>390</v>
      </c>
      <c r="C390" s="1" t="s">
        <v>320</v>
      </c>
      <c r="D390" s="1">
        <v>4</v>
      </c>
      <c r="E390" s="12">
        <v>45670.686111111114</v>
      </c>
      <c r="F390" s="1" t="s">
        <v>19</v>
      </c>
      <c r="G390" s="1" t="s">
        <v>40</v>
      </c>
      <c r="H390" s="1" t="s">
        <v>51</v>
      </c>
      <c r="I390" s="1" t="s">
        <v>102</v>
      </c>
      <c r="J390" s="1" t="str">
        <f t="shared" si="12"/>
        <v>disputed</v>
      </c>
      <c r="K390" s="1" t="str">
        <f>_xlfn.XLOOKUP(C390, 'Product Catalog'!$A:$A, 'Product Catalog'!$B:$B, "Unknown Product")</f>
        <v>Premium Stream 1M Model Y24</v>
      </c>
      <c r="L390" s="1" t="str">
        <f>_xlfn.XLOOKUP(C390, 'Product Catalog'!$A:$A, 'Product Catalog'!$C:$C, "Unknown Category")</f>
        <v>Digital Services</v>
      </c>
      <c r="M390" s="1">
        <f>_xlfn.XLOOKUP(C390, 'Product Catalog'!$A:$A, 'Product Catalog'!$D:$D, 0)</f>
        <v>29.9</v>
      </c>
      <c r="N390" s="1">
        <f t="shared" si="13"/>
        <v>119.6</v>
      </c>
    </row>
    <row r="391" spans="1:14" x14ac:dyDescent="0.3">
      <c r="A391" s="1" t="s">
        <v>778</v>
      </c>
      <c r="B391" s="1" t="s">
        <v>236</v>
      </c>
      <c r="C391" s="1" t="s">
        <v>181</v>
      </c>
      <c r="D391" s="1">
        <v>1</v>
      </c>
      <c r="E391" s="12">
        <v>45711.420138888891</v>
      </c>
      <c r="F391" s="1" t="s">
        <v>19</v>
      </c>
      <c r="G391" s="1" t="s">
        <v>13</v>
      </c>
      <c r="H391" s="1" t="s">
        <v>24</v>
      </c>
      <c r="I391" s="1" t="s">
        <v>15</v>
      </c>
      <c r="J391" s="1" t="str">
        <f t="shared" si="12"/>
        <v>delivered</v>
      </c>
      <c r="K391" s="1" t="str">
        <f>_xlfn.XLOOKUP(C391, 'Product Catalog'!$A:$A, 'Product Catalog'!$B:$B, "Unknown Product")</f>
        <v>Premium Stream 1M Model V99</v>
      </c>
      <c r="L391" s="1" t="str">
        <f>_xlfn.XLOOKUP(C391, 'Product Catalog'!$A:$A, 'Product Catalog'!$C:$C, "Unknown Category")</f>
        <v>Digital Services</v>
      </c>
      <c r="M391" s="1">
        <f>_xlfn.XLOOKUP(C391, 'Product Catalog'!$A:$A, 'Product Catalog'!$D:$D, 0)</f>
        <v>30.08</v>
      </c>
      <c r="N391" s="1">
        <f t="shared" si="13"/>
        <v>30.08</v>
      </c>
    </row>
    <row r="392" spans="1:14" x14ac:dyDescent="0.3">
      <c r="A392" s="1" t="s">
        <v>779</v>
      </c>
      <c r="B392" s="1" t="s">
        <v>742</v>
      </c>
      <c r="C392" s="1" t="s">
        <v>780</v>
      </c>
      <c r="D392" s="1">
        <v>3</v>
      </c>
      <c r="E392" s="12">
        <v>45870.121527777781</v>
      </c>
      <c r="F392" s="1" t="s">
        <v>12</v>
      </c>
      <c r="G392" s="1" t="s">
        <v>46</v>
      </c>
      <c r="H392" s="1" t="s">
        <v>41</v>
      </c>
      <c r="I392" s="1" t="s">
        <v>15</v>
      </c>
      <c r="J392" s="1" t="str">
        <f t="shared" si="12"/>
        <v>delivered</v>
      </c>
      <c r="K392" s="1" t="str">
        <f>_xlfn.XLOOKUP(C392, 'Product Catalog'!$A:$A, 'Product Catalog'!$B:$B, "Unknown Product")</f>
        <v>Organizer Model D133</v>
      </c>
      <c r="L392" s="1" t="str">
        <f>_xlfn.XLOOKUP(C392, 'Product Catalog'!$A:$A, 'Product Catalog'!$C:$C, "Unknown Category")</f>
        <v>Home Goods</v>
      </c>
      <c r="M392" s="1">
        <f>_xlfn.XLOOKUP(C392, 'Product Catalog'!$A:$A, 'Product Catalog'!$D:$D, 0)</f>
        <v>144.43</v>
      </c>
      <c r="N392" s="1">
        <f t="shared" si="13"/>
        <v>433.29</v>
      </c>
    </row>
    <row r="393" spans="1:14" x14ac:dyDescent="0.3">
      <c r="A393" s="1" t="s">
        <v>781</v>
      </c>
      <c r="B393" s="1" t="s">
        <v>252</v>
      </c>
      <c r="C393" s="1" t="s">
        <v>782</v>
      </c>
      <c r="D393" s="1">
        <v>2</v>
      </c>
      <c r="E393" s="12">
        <v>45717.201388888891</v>
      </c>
      <c r="F393" s="1" t="s">
        <v>19</v>
      </c>
      <c r="G393" s="1" t="s">
        <v>109</v>
      </c>
      <c r="H393" s="1" t="s">
        <v>14</v>
      </c>
      <c r="I393" s="1" t="s">
        <v>15</v>
      </c>
      <c r="J393" s="1" t="str">
        <f t="shared" si="12"/>
        <v>delivered</v>
      </c>
      <c r="K393" s="1" t="str">
        <f>_xlfn.XLOOKUP(C393, 'Product Catalog'!$A:$A, 'Product Catalog'!$B:$B, "Unknown Product")</f>
        <v>Headphones Model V47</v>
      </c>
      <c r="L393" s="1" t="str">
        <f>_xlfn.XLOOKUP(C393, 'Product Catalog'!$A:$A, 'Product Catalog'!$C:$C, "Unknown Category")</f>
        <v>Electronics</v>
      </c>
      <c r="M393" s="1">
        <f>_xlfn.XLOOKUP(C393, 'Product Catalog'!$A:$A, 'Product Catalog'!$D:$D, 0)</f>
        <v>19.940000000000001</v>
      </c>
      <c r="N393" s="1">
        <f t="shared" si="13"/>
        <v>39.880000000000003</v>
      </c>
    </row>
    <row r="394" spans="1:14" x14ac:dyDescent="0.3">
      <c r="A394" s="1" t="s">
        <v>783</v>
      </c>
      <c r="B394" s="1" t="s">
        <v>635</v>
      </c>
      <c r="C394" s="1" t="s">
        <v>542</v>
      </c>
      <c r="D394" s="1">
        <v>4</v>
      </c>
      <c r="E394" s="12">
        <v>45836.443055555559</v>
      </c>
      <c r="F394" s="1" t="s">
        <v>19</v>
      </c>
      <c r="G394" s="1" t="s">
        <v>40</v>
      </c>
      <c r="H394" s="1" t="s">
        <v>55</v>
      </c>
      <c r="I394" s="1" t="s">
        <v>56</v>
      </c>
      <c r="J394" s="1" t="str">
        <f t="shared" si="12"/>
        <v>cancelled</v>
      </c>
      <c r="K394" s="1" t="str">
        <f>_xlfn.XLOOKUP(C394, 'Product Catalog'!$A:$A, 'Product Catalog'!$B:$B, "Unknown Product")</f>
        <v>Cable Model M38</v>
      </c>
      <c r="L394" s="1" t="str">
        <f>_xlfn.XLOOKUP(C394, 'Product Catalog'!$A:$A, 'Product Catalog'!$C:$C, "Unknown Category")</f>
        <v>Electronics</v>
      </c>
      <c r="M394" s="1">
        <f>_xlfn.XLOOKUP(C394, 'Product Catalog'!$A:$A, 'Product Catalog'!$D:$D, 0)</f>
        <v>91.18</v>
      </c>
      <c r="N394" s="1">
        <f t="shared" si="13"/>
        <v>364.72</v>
      </c>
    </row>
    <row r="395" spans="1:14" x14ac:dyDescent="0.3">
      <c r="A395" s="1" t="s">
        <v>784</v>
      </c>
      <c r="B395" s="1" t="s">
        <v>617</v>
      </c>
      <c r="C395" s="1" t="s">
        <v>151</v>
      </c>
      <c r="D395" s="1">
        <v>1</v>
      </c>
      <c r="E395" s="12">
        <v>45833.647222222222</v>
      </c>
      <c r="F395" s="1" t="s">
        <v>12</v>
      </c>
      <c r="G395" s="1" t="s">
        <v>13</v>
      </c>
      <c r="H395" s="1" t="s">
        <v>41</v>
      </c>
      <c r="I395" s="1" t="s">
        <v>81</v>
      </c>
      <c r="J395" s="1" t="str">
        <f t="shared" si="12"/>
        <v>REFUNDED</v>
      </c>
      <c r="K395" s="1" t="str">
        <f>_xlfn.XLOOKUP(C395, 'Product Catalog'!$A:$A, 'Product Catalog'!$B:$B, "Unknown Product")</f>
        <v>Hoodie Model R43</v>
      </c>
      <c r="L395" s="1" t="str">
        <f>_xlfn.XLOOKUP(C395, 'Product Catalog'!$A:$A, 'Product Catalog'!$C:$C, "Unknown Category")</f>
        <v>Apparel</v>
      </c>
      <c r="M395" s="1">
        <f>_xlfn.XLOOKUP(C395, 'Product Catalog'!$A:$A, 'Product Catalog'!$D:$D, 0)</f>
        <v>68.040000000000006</v>
      </c>
      <c r="N395" s="1">
        <f t="shared" si="13"/>
        <v>68.040000000000006</v>
      </c>
    </row>
    <row r="396" spans="1:14" x14ac:dyDescent="0.3">
      <c r="A396" s="1" t="s">
        <v>785</v>
      </c>
      <c r="B396" s="1" t="s">
        <v>48</v>
      </c>
      <c r="C396" s="1" t="s">
        <v>592</v>
      </c>
      <c r="D396" s="1">
        <v>1</v>
      </c>
      <c r="E396" s="12">
        <v>45763.740972222222</v>
      </c>
      <c r="F396" s="1" t="s">
        <v>19</v>
      </c>
      <c r="G396" s="1" t="s">
        <v>31</v>
      </c>
      <c r="H396" s="1" t="s">
        <v>14</v>
      </c>
      <c r="I396" s="1" t="s">
        <v>81</v>
      </c>
      <c r="J396" s="1" t="str">
        <f t="shared" si="12"/>
        <v>REFUNDED</v>
      </c>
      <c r="K396" s="1" t="str">
        <f>_xlfn.XLOOKUP(C396, 'Product Catalog'!$A:$A, 'Product Catalog'!$B:$B, "Unknown Product")</f>
        <v>Blender Model Q94</v>
      </c>
      <c r="L396" s="1" t="str">
        <f>_xlfn.XLOOKUP(C396, 'Product Catalog'!$A:$A, 'Product Catalog'!$C:$C, "Unknown Category")</f>
        <v>Home Goods</v>
      </c>
      <c r="M396" s="1">
        <f>_xlfn.XLOOKUP(C396, 'Product Catalog'!$A:$A, 'Product Catalog'!$D:$D, 0)</f>
        <v>129.13</v>
      </c>
      <c r="N396" s="1">
        <f t="shared" si="13"/>
        <v>129.13</v>
      </c>
    </row>
    <row r="397" spans="1:14" x14ac:dyDescent="0.3">
      <c r="A397" s="1" t="s">
        <v>786</v>
      </c>
      <c r="B397" s="1" t="s">
        <v>787</v>
      </c>
      <c r="C397" s="1" t="s">
        <v>237</v>
      </c>
      <c r="D397" s="1">
        <v>5</v>
      </c>
      <c r="E397" s="12">
        <v>45905.495138888888</v>
      </c>
      <c r="F397" s="1" t="s">
        <v>12</v>
      </c>
      <c r="G397" s="1" t="s">
        <v>109</v>
      </c>
      <c r="H397" s="1" t="s">
        <v>41</v>
      </c>
      <c r="I397" s="1" t="s">
        <v>102</v>
      </c>
      <c r="J397" s="1" t="str">
        <f t="shared" si="12"/>
        <v>disputed</v>
      </c>
      <c r="K397" s="1" t="str">
        <f>_xlfn.XLOOKUP(C397, 'Product Catalog'!$A:$A, 'Product Catalog'!$B:$B, "Unknown Product")</f>
        <v>Leather Handbag Model U20</v>
      </c>
      <c r="L397" s="1" t="str">
        <f>_xlfn.XLOOKUP(C397, 'Product Catalog'!$A:$A, 'Product Catalog'!$C:$C, "Unknown Category")</f>
        <v>Luxury Goods</v>
      </c>
      <c r="M397" s="1">
        <f>_xlfn.XLOOKUP(C397, 'Product Catalog'!$A:$A, 'Product Catalog'!$D:$D, 0)</f>
        <v>1806.15</v>
      </c>
      <c r="N397" s="1">
        <f t="shared" si="13"/>
        <v>9030.75</v>
      </c>
    </row>
    <row r="398" spans="1:14" x14ac:dyDescent="0.3">
      <c r="A398" s="1" t="s">
        <v>788</v>
      </c>
      <c r="B398" s="1" t="s">
        <v>510</v>
      </c>
      <c r="C398" s="1" t="s">
        <v>101</v>
      </c>
      <c r="D398" s="1">
        <v>1</v>
      </c>
      <c r="E398" s="12">
        <v>45901.138194444444</v>
      </c>
      <c r="F398" s="1" t="s">
        <v>12</v>
      </c>
      <c r="G398" s="1" t="s">
        <v>13</v>
      </c>
      <c r="H398" s="1" t="s">
        <v>14</v>
      </c>
      <c r="I398" s="1" t="s">
        <v>15</v>
      </c>
      <c r="J398" s="1" t="str">
        <f t="shared" si="12"/>
        <v>delivered</v>
      </c>
      <c r="K398" s="1" t="str">
        <f>_xlfn.XLOOKUP(C398, 'Product Catalog'!$A:$A, 'Product Catalog'!$B:$B, "Unknown Product")</f>
        <v>Smartwatch Model W126</v>
      </c>
      <c r="L398" s="1" t="str">
        <f>_xlfn.XLOOKUP(C398, 'Product Catalog'!$A:$A, 'Product Catalog'!$C:$C, "Unknown Category")</f>
        <v>Electronics</v>
      </c>
      <c r="M398" s="1">
        <f>_xlfn.XLOOKUP(C398, 'Product Catalog'!$A:$A, 'Product Catalog'!$D:$D, 0)</f>
        <v>114.91</v>
      </c>
      <c r="N398" s="1">
        <f t="shared" si="13"/>
        <v>114.91</v>
      </c>
    </row>
    <row r="399" spans="1:14" x14ac:dyDescent="0.3">
      <c r="A399" s="1" t="s">
        <v>789</v>
      </c>
      <c r="B399" s="1" t="s">
        <v>379</v>
      </c>
      <c r="C399" s="1" t="s">
        <v>522</v>
      </c>
      <c r="D399" s="1">
        <v>1</v>
      </c>
      <c r="E399" s="12">
        <v>45882.990277777775</v>
      </c>
      <c r="F399" s="1" t="s">
        <v>12</v>
      </c>
      <c r="G399" s="1" t="s">
        <v>46</v>
      </c>
      <c r="H399" s="1" t="s">
        <v>55</v>
      </c>
      <c r="I399" s="1" t="s">
        <v>56</v>
      </c>
      <c r="J399" s="1" t="str">
        <f t="shared" si="12"/>
        <v>cancelled</v>
      </c>
      <c r="K399" s="1" t="str">
        <f>_xlfn.XLOOKUP(C399, 'Product Catalog'!$A:$A, 'Product Catalog'!$B:$B, "Unknown Product")</f>
        <v>Leather Handbag Model F5</v>
      </c>
      <c r="L399" s="1" t="str">
        <f>_xlfn.XLOOKUP(C399, 'Product Catalog'!$A:$A, 'Product Catalog'!$C:$C, "Unknown Category")</f>
        <v>Luxury Goods</v>
      </c>
      <c r="M399" s="1">
        <f>_xlfn.XLOOKUP(C399, 'Product Catalog'!$A:$A, 'Product Catalog'!$D:$D, 0)</f>
        <v>1875.24</v>
      </c>
      <c r="N399" s="1">
        <f t="shared" si="13"/>
        <v>1875.24</v>
      </c>
    </row>
    <row r="400" spans="1:14" x14ac:dyDescent="0.3">
      <c r="A400" s="1" t="s">
        <v>790</v>
      </c>
      <c r="B400" s="1" t="s">
        <v>570</v>
      </c>
      <c r="C400" s="1" t="s">
        <v>148</v>
      </c>
      <c r="D400" s="1">
        <v>1</v>
      </c>
      <c r="E400" s="12">
        <v>45889.453472222223</v>
      </c>
      <c r="F400" s="1" t="s">
        <v>12</v>
      </c>
      <c r="G400" s="1" t="s">
        <v>109</v>
      </c>
      <c r="H400" s="1" t="s">
        <v>24</v>
      </c>
      <c r="I400" s="1" t="s">
        <v>15</v>
      </c>
      <c r="J400" s="1" t="str">
        <f t="shared" si="12"/>
        <v>delivered</v>
      </c>
      <c r="K400" s="1" t="str">
        <f>_xlfn.XLOOKUP(C400, 'Product Catalog'!$A:$A, 'Product Catalog'!$B:$B, "Unknown Product")</f>
        <v>Charger Model W100</v>
      </c>
      <c r="L400" s="1" t="str">
        <f>_xlfn.XLOOKUP(C400, 'Product Catalog'!$A:$A, 'Product Catalog'!$C:$C, "Unknown Category")</f>
        <v>Electronics</v>
      </c>
      <c r="M400" s="1">
        <f>_xlfn.XLOOKUP(C400, 'Product Catalog'!$A:$A, 'Product Catalog'!$D:$D, 0)</f>
        <v>219.96</v>
      </c>
      <c r="N400" s="1">
        <f t="shared" si="13"/>
        <v>219.96</v>
      </c>
    </row>
    <row r="401" spans="1:14" x14ac:dyDescent="0.3">
      <c r="A401" s="1" t="s">
        <v>791</v>
      </c>
      <c r="B401" s="1" t="s">
        <v>194</v>
      </c>
      <c r="C401" s="1" t="s">
        <v>749</v>
      </c>
      <c r="D401" s="1">
        <v>1</v>
      </c>
      <c r="E401" s="12">
        <v>45692.426388888889</v>
      </c>
      <c r="F401" s="1" t="s">
        <v>12</v>
      </c>
      <c r="G401" s="1" t="s">
        <v>31</v>
      </c>
      <c r="H401" s="1" t="s">
        <v>14</v>
      </c>
      <c r="I401" s="1" t="s">
        <v>15</v>
      </c>
      <c r="J401" s="1" t="str">
        <f t="shared" si="12"/>
        <v>delivered</v>
      </c>
      <c r="K401" s="1" t="str">
        <f>_xlfn.XLOOKUP(C401, 'Product Catalog'!$A:$A, 'Product Catalog'!$B:$B, "Unknown Product")</f>
        <v>VPN 6-Month Pass Model A130</v>
      </c>
      <c r="L401" s="1" t="str">
        <f>_xlfn.XLOOKUP(C401, 'Product Catalog'!$A:$A, 'Product Catalog'!$C:$C, "Unknown Category")</f>
        <v>Digital Services</v>
      </c>
      <c r="M401" s="1">
        <f>_xlfn.XLOOKUP(C401, 'Product Catalog'!$A:$A, 'Product Catalog'!$D:$D, 0)</f>
        <v>81.61</v>
      </c>
      <c r="N401" s="1">
        <f t="shared" si="13"/>
        <v>81.61</v>
      </c>
    </row>
    <row r="402" spans="1:14" x14ac:dyDescent="0.3">
      <c r="A402" s="1" t="s">
        <v>792</v>
      </c>
      <c r="B402" s="1" t="s">
        <v>478</v>
      </c>
      <c r="C402" s="1" t="s">
        <v>633</v>
      </c>
      <c r="D402" s="1">
        <v>4</v>
      </c>
      <c r="E402" s="12">
        <v>45680.163194444445</v>
      </c>
      <c r="F402" s="1" t="s">
        <v>12</v>
      </c>
      <c r="G402" s="1" t="s">
        <v>40</v>
      </c>
      <c r="H402" s="1" t="s">
        <v>55</v>
      </c>
      <c r="I402" s="1" t="s">
        <v>56</v>
      </c>
      <c r="J402" s="1" t="str">
        <f t="shared" si="12"/>
        <v>cancelled</v>
      </c>
      <c r="K402" s="1" t="str">
        <f>_xlfn.XLOOKUP(C402, 'Product Catalog'!$A:$A, 'Product Catalog'!$B:$B, "Unknown Product")</f>
        <v>Keyboard Model X49</v>
      </c>
      <c r="L402" s="1" t="str">
        <f>_xlfn.XLOOKUP(C402, 'Product Catalog'!$A:$A, 'Product Catalog'!$C:$C, "Unknown Category")</f>
        <v>Electronics</v>
      </c>
      <c r="M402" s="1">
        <f>_xlfn.XLOOKUP(C402, 'Product Catalog'!$A:$A, 'Product Catalog'!$D:$D, 0)</f>
        <v>30.84</v>
      </c>
      <c r="N402" s="1">
        <f t="shared" si="13"/>
        <v>123.36</v>
      </c>
    </row>
    <row r="403" spans="1:14" x14ac:dyDescent="0.3">
      <c r="A403" s="1" t="s">
        <v>793</v>
      </c>
      <c r="B403" s="1" t="s">
        <v>371</v>
      </c>
      <c r="C403" s="1" t="s">
        <v>95</v>
      </c>
      <c r="D403" s="1">
        <v>1</v>
      </c>
      <c r="E403" s="12">
        <v>45669.487500000003</v>
      </c>
      <c r="F403" s="1" t="s">
        <v>19</v>
      </c>
      <c r="G403" s="1" t="s">
        <v>20</v>
      </c>
      <c r="H403" s="1" t="s">
        <v>24</v>
      </c>
      <c r="I403" s="1" t="s">
        <v>56</v>
      </c>
      <c r="J403" s="1" t="str">
        <f t="shared" si="12"/>
        <v>cancelled</v>
      </c>
      <c r="K403" s="1" t="str">
        <f>_xlfn.XLOOKUP(C403, 'Product Catalog'!$A:$A, 'Product Catalog'!$B:$B, "Unknown Product")</f>
        <v>Jacket Model U72</v>
      </c>
      <c r="L403" s="1" t="str">
        <f>_xlfn.XLOOKUP(C403, 'Product Catalog'!$A:$A, 'Product Catalog'!$C:$C, "Unknown Category")</f>
        <v>Apparel</v>
      </c>
      <c r="M403" s="1">
        <f>_xlfn.XLOOKUP(C403, 'Product Catalog'!$A:$A, 'Product Catalog'!$D:$D, 0)</f>
        <v>75.400000000000006</v>
      </c>
      <c r="N403" s="1">
        <f t="shared" si="13"/>
        <v>75.400000000000006</v>
      </c>
    </row>
    <row r="404" spans="1:14" x14ac:dyDescent="0.3">
      <c r="A404" s="1" t="s">
        <v>794</v>
      </c>
      <c r="B404" s="1" t="s">
        <v>795</v>
      </c>
      <c r="C404" s="1" t="s">
        <v>622</v>
      </c>
      <c r="D404" s="1">
        <v>1</v>
      </c>
      <c r="E404" s="12">
        <v>45989.154861111114</v>
      </c>
      <c r="F404" s="1" t="s">
        <v>19</v>
      </c>
      <c r="G404" s="1" t="s">
        <v>40</v>
      </c>
      <c r="H404" s="1" t="s">
        <v>55</v>
      </c>
      <c r="I404" s="1" t="s">
        <v>42</v>
      </c>
      <c r="J404" s="1" t="str">
        <f t="shared" si="12"/>
        <v>PENDING_REVIEW</v>
      </c>
      <c r="K404" s="1" t="str">
        <f>_xlfn.XLOOKUP(C404, 'Product Catalog'!$A:$A, 'Product Catalog'!$B:$B, "Unknown Product")</f>
        <v>Designer Watch Model R147</v>
      </c>
      <c r="L404" s="1" t="str">
        <f>_xlfn.XLOOKUP(C404, 'Product Catalog'!$A:$A, 'Product Catalog'!$C:$C, "Unknown Category")</f>
        <v>Luxury Goods</v>
      </c>
      <c r="M404" s="1">
        <f>_xlfn.XLOOKUP(C404, 'Product Catalog'!$A:$A, 'Product Catalog'!$D:$D, 0)</f>
        <v>484.68</v>
      </c>
      <c r="N404" s="1">
        <f t="shared" si="13"/>
        <v>484.68</v>
      </c>
    </row>
    <row r="405" spans="1:14" x14ac:dyDescent="0.3">
      <c r="A405" s="1" t="s">
        <v>796</v>
      </c>
      <c r="B405" s="1" t="s">
        <v>99</v>
      </c>
      <c r="C405" s="1" t="s">
        <v>586</v>
      </c>
      <c r="D405" s="1">
        <v>4</v>
      </c>
      <c r="E405" s="12">
        <v>46004.23333333333</v>
      </c>
      <c r="F405" s="1" t="s">
        <v>12</v>
      </c>
      <c r="G405" s="1" t="s">
        <v>46</v>
      </c>
      <c r="H405" s="1" t="s">
        <v>41</v>
      </c>
      <c r="I405" s="1" t="s">
        <v>42</v>
      </c>
      <c r="J405" s="1" t="str">
        <f t="shared" si="12"/>
        <v>PENDING_REVIEW</v>
      </c>
      <c r="K405" s="1" t="str">
        <f>_xlfn.XLOOKUP(C405, 'Product Catalog'!$A:$A, 'Product Catalog'!$B:$B, "Unknown Product")</f>
        <v>Designer Watch Model E82</v>
      </c>
      <c r="L405" s="1" t="str">
        <f>_xlfn.XLOOKUP(C405, 'Product Catalog'!$A:$A, 'Product Catalog'!$C:$C, "Unknown Category")</f>
        <v>Luxury Goods</v>
      </c>
      <c r="M405" s="1">
        <f>_xlfn.XLOOKUP(C405, 'Product Catalog'!$A:$A, 'Product Catalog'!$D:$D, 0)</f>
        <v>1769.3</v>
      </c>
      <c r="N405" s="1">
        <f t="shared" si="13"/>
        <v>7077.2</v>
      </c>
    </row>
    <row r="406" spans="1:14" x14ac:dyDescent="0.3">
      <c r="A406" s="1" t="s">
        <v>797</v>
      </c>
      <c r="B406" s="1" t="s">
        <v>798</v>
      </c>
      <c r="C406" s="1" t="s">
        <v>560</v>
      </c>
      <c r="D406" s="1">
        <v>1</v>
      </c>
      <c r="E406" s="12">
        <v>45782.73333333333</v>
      </c>
      <c r="F406" s="1" t="s">
        <v>19</v>
      </c>
      <c r="G406" s="1" t="s">
        <v>109</v>
      </c>
      <c r="H406" s="1" t="s">
        <v>41</v>
      </c>
      <c r="I406" s="1" t="s">
        <v>15</v>
      </c>
      <c r="J406" s="1" t="str">
        <f t="shared" si="12"/>
        <v>delivered</v>
      </c>
      <c r="K406" s="1" t="str">
        <f>_xlfn.XLOOKUP(C406, 'Product Catalog'!$A:$A, 'Product Catalog'!$B:$B, "Unknown Product")</f>
        <v>Cloud Storage Basic Model P41</v>
      </c>
      <c r="L406" s="1" t="str">
        <f>_xlfn.XLOOKUP(C406, 'Product Catalog'!$A:$A, 'Product Catalog'!$C:$C, "Unknown Category")</f>
        <v>Digital Services</v>
      </c>
      <c r="M406" s="1">
        <f>_xlfn.XLOOKUP(C406, 'Product Catalog'!$A:$A, 'Product Catalog'!$D:$D, 0)</f>
        <v>96.93</v>
      </c>
      <c r="N406" s="1">
        <f t="shared" si="13"/>
        <v>96.93</v>
      </c>
    </row>
    <row r="407" spans="1:14" x14ac:dyDescent="0.3">
      <c r="A407" s="1" t="s">
        <v>799</v>
      </c>
      <c r="B407" s="1" t="s">
        <v>241</v>
      </c>
      <c r="C407" s="1" t="s">
        <v>367</v>
      </c>
      <c r="D407" s="1">
        <v>1</v>
      </c>
      <c r="E407" s="12">
        <v>45747.784722222219</v>
      </c>
      <c r="F407" s="1" t="s">
        <v>19</v>
      </c>
      <c r="G407" s="1" t="s">
        <v>109</v>
      </c>
      <c r="H407" s="1" t="s">
        <v>41</v>
      </c>
      <c r="I407" s="1" t="s">
        <v>42</v>
      </c>
      <c r="J407" s="1" t="str">
        <f t="shared" si="12"/>
        <v>PENDING_REVIEW</v>
      </c>
      <c r="K407" s="1" t="str">
        <f>_xlfn.XLOOKUP(C407, 'Product Catalog'!$A:$A, 'Product Catalog'!$B:$B, "Unknown Product")</f>
        <v>Cable Model P67</v>
      </c>
      <c r="L407" s="1" t="str">
        <f>_xlfn.XLOOKUP(C407, 'Product Catalog'!$A:$A, 'Product Catalog'!$C:$C, "Unknown Category")</f>
        <v>Electronics</v>
      </c>
      <c r="M407" s="1">
        <f>_xlfn.XLOOKUP(C407, 'Product Catalog'!$A:$A, 'Product Catalog'!$D:$D, 0)</f>
        <v>187.9</v>
      </c>
      <c r="N407" s="1">
        <f t="shared" si="13"/>
        <v>187.9</v>
      </c>
    </row>
    <row r="408" spans="1:14" x14ac:dyDescent="0.3">
      <c r="A408" s="1" t="s">
        <v>800</v>
      </c>
      <c r="B408" s="1" t="s">
        <v>398</v>
      </c>
      <c r="C408" s="1" t="s">
        <v>801</v>
      </c>
      <c r="D408" s="1">
        <v>1</v>
      </c>
      <c r="E408" s="12">
        <v>45739.470138888886</v>
      </c>
      <c r="F408" s="1" t="s">
        <v>12</v>
      </c>
      <c r="G408" s="1" t="s">
        <v>46</v>
      </c>
      <c r="H408" s="1" t="s">
        <v>55</v>
      </c>
      <c r="I408" s="1" t="s">
        <v>102</v>
      </c>
      <c r="J408" s="1" t="str">
        <f t="shared" si="12"/>
        <v>disputed</v>
      </c>
      <c r="K408" s="1" t="str">
        <f>_xlfn.XLOOKUP(C408, 'Product Catalog'!$A:$A, 'Product Catalog'!$B:$B, "Unknown Product")</f>
        <v>Silk Scarf Model Q146</v>
      </c>
      <c r="L408" s="1" t="str">
        <f>_xlfn.XLOOKUP(C408, 'Product Catalog'!$A:$A, 'Product Catalog'!$C:$C, "Unknown Category")</f>
        <v>Luxury Goods</v>
      </c>
      <c r="M408" s="1">
        <f>_xlfn.XLOOKUP(C408, 'Product Catalog'!$A:$A, 'Product Catalog'!$D:$D, 0)</f>
        <v>359.33</v>
      </c>
      <c r="N408" s="1">
        <f t="shared" si="13"/>
        <v>359.33</v>
      </c>
    </row>
    <row r="409" spans="1:14" x14ac:dyDescent="0.3">
      <c r="A409" s="1" t="s">
        <v>802</v>
      </c>
      <c r="B409" s="1" t="s">
        <v>246</v>
      </c>
      <c r="C409" s="1" t="s">
        <v>281</v>
      </c>
      <c r="D409" s="1">
        <v>1</v>
      </c>
      <c r="E409" s="12">
        <v>45944.606249999997</v>
      </c>
      <c r="F409" s="1" t="s">
        <v>19</v>
      </c>
      <c r="G409" s="1" t="s">
        <v>109</v>
      </c>
      <c r="H409" s="1" t="s">
        <v>24</v>
      </c>
      <c r="I409" s="1" t="s">
        <v>56</v>
      </c>
      <c r="J409" s="1" t="str">
        <f t="shared" si="12"/>
        <v>cancelled</v>
      </c>
      <c r="K409" s="1" t="str">
        <f>_xlfn.XLOOKUP(C409, 'Product Catalog'!$A:$A, 'Product Catalog'!$B:$B, "Unknown Product")</f>
        <v>VPN 6-Month Pass Model B105</v>
      </c>
      <c r="L409" s="1" t="str">
        <f>_xlfn.XLOOKUP(C409, 'Product Catalog'!$A:$A, 'Product Catalog'!$C:$C, "Unknown Category")</f>
        <v>Digital Services</v>
      </c>
      <c r="M409" s="1">
        <f>_xlfn.XLOOKUP(C409, 'Product Catalog'!$A:$A, 'Product Catalog'!$D:$D, 0)</f>
        <v>36.130000000000003</v>
      </c>
      <c r="N409" s="1">
        <f t="shared" si="13"/>
        <v>36.130000000000003</v>
      </c>
    </row>
    <row r="410" spans="1:14" x14ac:dyDescent="0.3">
      <c r="A410" s="1" t="s">
        <v>803</v>
      </c>
      <c r="B410" s="1" t="s">
        <v>804</v>
      </c>
      <c r="C410" s="1" t="s">
        <v>619</v>
      </c>
      <c r="D410" s="1">
        <v>1</v>
      </c>
      <c r="E410" s="12">
        <v>45894.32916666667</v>
      </c>
      <c r="F410" s="1" t="s">
        <v>19</v>
      </c>
      <c r="G410" s="1" t="s">
        <v>46</v>
      </c>
      <c r="H410" s="1" t="s">
        <v>14</v>
      </c>
      <c r="I410" s="1" t="s">
        <v>42</v>
      </c>
      <c r="J410" s="1" t="str">
        <f t="shared" si="12"/>
        <v>PENDING_REVIEW</v>
      </c>
      <c r="K410" s="1" t="str">
        <f>_xlfn.XLOOKUP(C410, 'Product Catalog'!$A:$A, 'Product Catalog'!$B:$B, "Unknown Product")</f>
        <v>Jacket Model B27</v>
      </c>
      <c r="L410" s="1" t="str">
        <f>_xlfn.XLOOKUP(C410, 'Product Catalog'!$A:$A, 'Product Catalog'!$C:$C, "Unknown Category")</f>
        <v>Apparel</v>
      </c>
      <c r="M410" s="1">
        <f>_xlfn.XLOOKUP(C410, 'Product Catalog'!$A:$A, 'Product Catalog'!$D:$D, 0)</f>
        <v>64.290000000000006</v>
      </c>
      <c r="N410" s="1">
        <f t="shared" si="13"/>
        <v>64.290000000000006</v>
      </c>
    </row>
    <row r="411" spans="1:14" x14ac:dyDescent="0.3">
      <c r="A411" s="1" t="s">
        <v>805</v>
      </c>
      <c r="B411" s="1" t="s">
        <v>303</v>
      </c>
      <c r="C411" s="1" t="s">
        <v>137</v>
      </c>
      <c r="D411" s="1">
        <v>1</v>
      </c>
      <c r="E411" s="12">
        <v>45865.895138888889</v>
      </c>
      <c r="F411" s="1" t="s">
        <v>12</v>
      </c>
      <c r="G411" s="1" t="s">
        <v>46</v>
      </c>
      <c r="H411" s="1" t="s">
        <v>14</v>
      </c>
      <c r="I411" s="1" t="s">
        <v>15</v>
      </c>
      <c r="J411" s="1" t="str">
        <f t="shared" si="12"/>
        <v>delivered</v>
      </c>
      <c r="K411" s="1" t="str">
        <f>_xlfn.XLOOKUP(C411, 'Product Catalog'!$A:$A, 'Product Catalog'!$B:$B, "Unknown Product")</f>
        <v>VPN 6-Month Pass Model M90</v>
      </c>
      <c r="L411" s="1" t="str">
        <f>_xlfn.XLOOKUP(C411, 'Product Catalog'!$A:$A, 'Product Catalog'!$C:$C, "Unknown Category")</f>
        <v>Digital Services</v>
      </c>
      <c r="M411" s="1">
        <f>_xlfn.XLOOKUP(C411, 'Product Catalog'!$A:$A, 'Product Catalog'!$D:$D, 0)</f>
        <v>5.91</v>
      </c>
      <c r="N411" s="1">
        <f t="shared" si="13"/>
        <v>5.91</v>
      </c>
    </row>
    <row r="412" spans="1:14" x14ac:dyDescent="0.3">
      <c r="A412" s="1" t="s">
        <v>806</v>
      </c>
      <c r="B412" s="1" t="s">
        <v>807</v>
      </c>
      <c r="C412" s="1" t="s">
        <v>117</v>
      </c>
      <c r="D412" s="1">
        <v>1</v>
      </c>
      <c r="E412" s="12">
        <v>45752.26458333333</v>
      </c>
      <c r="F412" s="1" t="s">
        <v>170</v>
      </c>
      <c r="G412" s="1" t="s">
        <v>50</v>
      </c>
      <c r="H412" s="1" t="s">
        <v>55</v>
      </c>
      <c r="I412" s="1" t="s">
        <v>81</v>
      </c>
      <c r="J412" s="1" t="str">
        <f t="shared" si="12"/>
        <v>REFUNDED</v>
      </c>
      <c r="K412" s="1" t="str">
        <f>_xlfn.XLOOKUP(C412, 'Product Catalog'!$A:$A, 'Product Catalog'!$B:$B, "Unknown Product")</f>
        <v>Organizer Model R95</v>
      </c>
      <c r="L412" s="1" t="str">
        <f>_xlfn.XLOOKUP(C412, 'Product Catalog'!$A:$A, 'Product Catalog'!$C:$C, "Unknown Category")</f>
        <v>Home Goods</v>
      </c>
      <c r="M412" s="1">
        <f>_xlfn.XLOOKUP(C412, 'Product Catalog'!$A:$A, 'Product Catalog'!$D:$D, 0)</f>
        <v>109.58</v>
      </c>
      <c r="N412" s="1">
        <f t="shared" si="13"/>
        <v>109.58</v>
      </c>
    </row>
    <row r="413" spans="1:14" x14ac:dyDescent="0.3">
      <c r="A413" s="1" t="s">
        <v>808</v>
      </c>
      <c r="B413" s="1" t="s">
        <v>809</v>
      </c>
      <c r="C413" s="1" t="s">
        <v>527</v>
      </c>
      <c r="D413" s="1">
        <v>1</v>
      </c>
      <c r="E413" s="12">
        <v>45985.93472222222</v>
      </c>
      <c r="F413" s="1" t="s">
        <v>39</v>
      </c>
      <c r="G413" s="1" t="s">
        <v>13</v>
      </c>
      <c r="H413" s="1" t="s">
        <v>51</v>
      </c>
      <c r="I413" s="1" t="s">
        <v>42</v>
      </c>
      <c r="J413" s="1" t="str">
        <f t="shared" si="12"/>
        <v>PENDING_REVIEW</v>
      </c>
      <c r="K413" s="1" t="str">
        <f>_xlfn.XLOOKUP(C413, 'Product Catalog'!$A:$A, 'Product Catalog'!$B:$B, "Unknown Product")</f>
        <v>Leather Handbag Model S96</v>
      </c>
      <c r="L413" s="1" t="str">
        <f>_xlfn.XLOOKUP(C413, 'Product Catalog'!$A:$A, 'Product Catalog'!$C:$C, "Unknown Category")</f>
        <v>Luxury Goods</v>
      </c>
      <c r="M413" s="1">
        <f>_xlfn.XLOOKUP(C413, 'Product Catalog'!$A:$A, 'Product Catalog'!$D:$D, 0)</f>
        <v>2336.6799999999998</v>
      </c>
      <c r="N413" s="1">
        <f t="shared" si="13"/>
        <v>2336.6799999999998</v>
      </c>
    </row>
    <row r="414" spans="1:14" x14ac:dyDescent="0.3">
      <c r="A414" s="1" t="s">
        <v>810</v>
      </c>
      <c r="B414" s="1" t="s">
        <v>811</v>
      </c>
      <c r="C414" s="1" t="s">
        <v>140</v>
      </c>
      <c r="D414" s="1">
        <v>1</v>
      </c>
      <c r="E414" s="12">
        <v>45879.5625</v>
      </c>
      <c r="F414" s="1" t="s">
        <v>19</v>
      </c>
      <c r="G414" s="1" t="s">
        <v>109</v>
      </c>
      <c r="H414" s="1" t="s">
        <v>41</v>
      </c>
      <c r="I414" s="1" t="s">
        <v>15</v>
      </c>
      <c r="J414" s="1" t="str">
        <f t="shared" si="12"/>
        <v>delivered</v>
      </c>
      <c r="K414" s="1" t="str">
        <f>_xlfn.XLOOKUP(C414, 'Product Catalog'!$A:$A, 'Product Catalog'!$B:$B, "Unknown Product")</f>
        <v>Blender Model H85</v>
      </c>
      <c r="L414" s="1" t="str">
        <f>_xlfn.XLOOKUP(C414, 'Product Catalog'!$A:$A, 'Product Catalog'!$C:$C, "Unknown Category")</f>
        <v>Home Goods</v>
      </c>
      <c r="M414" s="1">
        <f>_xlfn.XLOOKUP(C414, 'Product Catalog'!$A:$A, 'Product Catalog'!$D:$D, 0)</f>
        <v>130</v>
      </c>
      <c r="N414" s="1">
        <f t="shared" si="13"/>
        <v>130</v>
      </c>
    </row>
    <row r="415" spans="1:14" x14ac:dyDescent="0.3">
      <c r="A415" s="1" t="s">
        <v>812</v>
      </c>
      <c r="B415" s="1" t="s">
        <v>696</v>
      </c>
      <c r="C415" s="1" t="s">
        <v>253</v>
      </c>
      <c r="D415" s="1">
        <v>1</v>
      </c>
      <c r="E415" s="12">
        <v>45672.872916666667</v>
      </c>
      <c r="F415" s="1" t="s">
        <v>19</v>
      </c>
      <c r="G415" s="1" t="s">
        <v>31</v>
      </c>
      <c r="H415" s="1" t="s">
        <v>24</v>
      </c>
      <c r="I415" s="1" t="s">
        <v>15</v>
      </c>
      <c r="J415" s="1" t="str">
        <f t="shared" si="12"/>
        <v>delivered</v>
      </c>
      <c r="K415" s="1" t="str">
        <f>_xlfn.XLOOKUP(C415, 'Product Catalog'!$A:$A, 'Product Catalog'!$B:$B, "Unknown Product")</f>
        <v>Hoodie Model B79</v>
      </c>
      <c r="L415" s="1" t="str">
        <f>_xlfn.XLOOKUP(C415, 'Product Catalog'!$A:$A, 'Product Catalog'!$C:$C, "Unknown Category")</f>
        <v>Apparel</v>
      </c>
      <c r="M415" s="1">
        <f>_xlfn.XLOOKUP(C415, 'Product Catalog'!$A:$A, 'Product Catalog'!$D:$D, 0)</f>
        <v>106.9</v>
      </c>
      <c r="N415" s="1">
        <f t="shared" si="13"/>
        <v>106.9</v>
      </c>
    </row>
    <row r="416" spans="1:14" x14ac:dyDescent="0.3">
      <c r="A416" s="1" t="s">
        <v>813</v>
      </c>
      <c r="B416" s="1" t="s">
        <v>221</v>
      </c>
      <c r="C416" s="1" t="s">
        <v>527</v>
      </c>
      <c r="D416" s="1">
        <v>5</v>
      </c>
      <c r="E416" s="12">
        <v>45759.638888888891</v>
      </c>
      <c r="F416" s="1" t="s">
        <v>39</v>
      </c>
      <c r="G416" s="1" t="s">
        <v>50</v>
      </c>
      <c r="H416" s="1" t="s">
        <v>55</v>
      </c>
      <c r="I416" s="1" t="s">
        <v>42</v>
      </c>
      <c r="J416" s="1" t="str">
        <f t="shared" si="12"/>
        <v>PENDING_REVIEW</v>
      </c>
      <c r="K416" s="1" t="str">
        <f>_xlfn.XLOOKUP(C416, 'Product Catalog'!$A:$A, 'Product Catalog'!$B:$B, "Unknown Product")</f>
        <v>Leather Handbag Model S96</v>
      </c>
      <c r="L416" s="1" t="str">
        <f>_xlfn.XLOOKUP(C416, 'Product Catalog'!$A:$A, 'Product Catalog'!$C:$C, "Unknown Category")</f>
        <v>Luxury Goods</v>
      </c>
      <c r="M416" s="1">
        <f>_xlfn.XLOOKUP(C416, 'Product Catalog'!$A:$A, 'Product Catalog'!$D:$D, 0)</f>
        <v>2336.6799999999998</v>
      </c>
      <c r="N416" s="1">
        <f t="shared" si="13"/>
        <v>11683.4</v>
      </c>
    </row>
    <row r="417" spans="1:14" x14ac:dyDescent="0.3">
      <c r="A417" s="1" t="s">
        <v>814</v>
      </c>
      <c r="B417" s="1" t="s">
        <v>322</v>
      </c>
      <c r="C417" s="1" t="s">
        <v>782</v>
      </c>
      <c r="D417" s="1">
        <v>1</v>
      </c>
      <c r="E417" s="12">
        <v>45961.61041666667</v>
      </c>
      <c r="F417" s="1" t="s">
        <v>19</v>
      </c>
      <c r="G417" s="1" t="s">
        <v>20</v>
      </c>
      <c r="H417" s="1" t="s">
        <v>41</v>
      </c>
      <c r="I417" s="1" t="s">
        <v>15</v>
      </c>
      <c r="J417" s="1" t="str">
        <f t="shared" si="12"/>
        <v>delivered</v>
      </c>
      <c r="K417" s="1" t="str">
        <f>_xlfn.XLOOKUP(C417, 'Product Catalog'!$A:$A, 'Product Catalog'!$B:$B, "Unknown Product")</f>
        <v>Headphones Model V47</v>
      </c>
      <c r="L417" s="1" t="str">
        <f>_xlfn.XLOOKUP(C417, 'Product Catalog'!$A:$A, 'Product Catalog'!$C:$C, "Unknown Category")</f>
        <v>Electronics</v>
      </c>
      <c r="M417" s="1">
        <f>_xlfn.XLOOKUP(C417, 'Product Catalog'!$A:$A, 'Product Catalog'!$D:$D, 0)</f>
        <v>19.940000000000001</v>
      </c>
      <c r="N417" s="1">
        <f t="shared" si="13"/>
        <v>19.940000000000001</v>
      </c>
    </row>
    <row r="418" spans="1:14" x14ac:dyDescent="0.3">
      <c r="A418" s="1" t="s">
        <v>815</v>
      </c>
      <c r="B418" s="1" t="s">
        <v>611</v>
      </c>
      <c r="C418" s="1" t="s">
        <v>27</v>
      </c>
      <c r="D418" s="1">
        <v>1</v>
      </c>
      <c r="E418" s="12">
        <v>45857.006249999999</v>
      </c>
      <c r="F418" s="1" t="s">
        <v>19</v>
      </c>
      <c r="G418" s="1" t="s">
        <v>20</v>
      </c>
      <c r="H418" s="1" t="s">
        <v>24</v>
      </c>
      <c r="I418" s="1" t="s">
        <v>42</v>
      </c>
      <c r="J418" s="1" t="str">
        <f t="shared" si="12"/>
        <v>PENDING_REVIEW</v>
      </c>
      <c r="K418" s="1" t="str">
        <f>_xlfn.XLOOKUP(C418, 'Product Catalog'!$A:$A, 'Product Catalog'!$B:$B, "Unknown Product")</f>
        <v>Premium Stream 1M Model B53</v>
      </c>
      <c r="L418" s="1" t="str">
        <f>_xlfn.XLOOKUP(C418, 'Product Catalog'!$A:$A, 'Product Catalog'!$C:$C, "Unknown Category")</f>
        <v>Digital Services</v>
      </c>
      <c r="M418" s="1">
        <f>_xlfn.XLOOKUP(C418, 'Product Catalog'!$A:$A, 'Product Catalog'!$D:$D, 0)</f>
        <v>13.87</v>
      </c>
      <c r="N418" s="1">
        <f t="shared" si="13"/>
        <v>13.87</v>
      </c>
    </row>
    <row r="419" spans="1:14" x14ac:dyDescent="0.3">
      <c r="A419" s="1" t="s">
        <v>816</v>
      </c>
      <c r="B419" s="1" t="s">
        <v>147</v>
      </c>
      <c r="C419" s="1" t="s">
        <v>817</v>
      </c>
      <c r="D419" s="1">
        <v>3</v>
      </c>
      <c r="E419" s="12">
        <v>46018.304861111108</v>
      </c>
      <c r="F419" s="1" t="s">
        <v>19</v>
      </c>
      <c r="G419" s="1" t="s">
        <v>13</v>
      </c>
      <c r="H419" s="1" t="s">
        <v>24</v>
      </c>
      <c r="I419" s="1" t="s">
        <v>42</v>
      </c>
      <c r="J419" s="1" t="str">
        <f t="shared" si="12"/>
        <v>PENDING_REVIEW</v>
      </c>
      <c r="K419" s="1" t="str">
        <f>_xlfn.XLOOKUP(C419, 'Product Catalog'!$A:$A, 'Product Catalog'!$B:$B, "Unknown Product")</f>
        <v>Desk Lamp Model D81</v>
      </c>
      <c r="L419" s="1" t="str">
        <f>_xlfn.XLOOKUP(C419, 'Product Catalog'!$A:$A, 'Product Catalog'!$C:$C, "Unknown Category")</f>
        <v>Home Goods</v>
      </c>
      <c r="M419" s="1">
        <f>_xlfn.XLOOKUP(C419, 'Product Catalog'!$A:$A, 'Product Catalog'!$D:$D, 0)</f>
        <v>177.42</v>
      </c>
      <c r="N419" s="1">
        <f t="shared" si="13"/>
        <v>532.26</v>
      </c>
    </row>
    <row r="420" spans="1:14" x14ac:dyDescent="0.3">
      <c r="A420" s="1" t="s">
        <v>818</v>
      </c>
      <c r="B420" s="1" t="s">
        <v>589</v>
      </c>
      <c r="C420" s="1" t="s">
        <v>265</v>
      </c>
      <c r="D420" s="1">
        <v>5</v>
      </c>
      <c r="E420" s="12">
        <v>45763.395833333336</v>
      </c>
      <c r="F420" s="1" t="s">
        <v>12</v>
      </c>
      <c r="G420" s="1" t="s">
        <v>40</v>
      </c>
      <c r="H420" s="1" t="s">
        <v>51</v>
      </c>
      <c r="I420" s="1" t="s">
        <v>56</v>
      </c>
      <c r="J420" s="1" t="str">
        <f t="shared" si="12"/>
        <v>cancelled</v>
      </c>
      <c r="K420" s="1" t="str">
        <f>_xlfn.XLOOKUP(C420, 'Product Catalog'!$A:$A, 'Product Catalog'!$B:$B, "Unknown Product")</f>
        <v>Sneakers Model R121</v>
      </c>
      <c r="L420" s="1" t="str">
        <f>_xlfn.XLOOKUP(C420, 'Product Catalog'!$A:$A, 'Product Catalog'!$C:$C, "Unknown Category")</f>
        <v>Apparel</v>
      </c>
      <c r="M420" s="1">
        <f>_xlfn.XLOOKUP(C420, 'Product Catalog'!$A:$A, 'Product Catalog'!$D:$D, 0)</f>
        <v>44.15</v>
      </c>
      <c r="N420" s="1">
        <f t="shared" si="13"/>
        <v>220.75</v>
      </c>
    </row>
    <row r="421" spans="1:14" x14ac:dyDescent="0.3">
      <c r="A421" s="1" t="s">
        <v>819</v>
      </c>
      <c r="B421" s="1" t="s">
        <v>820</v>
      </c>
      <c r="C421" s="1" t="s">
        <v>367</v>
      </c>
      <c r="D421" s="1">
        <v>1</v>
      </c>
      <c r="E421" s="12">
        <v>46018.088888888888</v>
      </c>
      <c r="F421" s="1" t="s">
        <v>12</v>
      </c>
      <c r="G421" s="1" t="s">
        <v>50</v>
      </c>
      <c r="H421" s="1" t="s">
        <v>41</v>
      </c>
      <c r="I421" s="1" t="s">
        <v>56</v>
      </c>
      <c r="J421" s="1" t="str">
        <f t="shared" si="12"/>
        <v>cancelled</v>
      </c>
      <c r="K421" s="1" t="str">
        <f>_xlfn.XLOOKUP(C421, 'Product Catalog'!$A:$A, 'Product Catalog'!$B:$B, "Unknown Product")</f>
        <v>Cable Model P67</v>
      </c>
      <c r="L421" s="1" t="str">
        <f>_xlfn.XLOOKUP(C421, 'Product Catalog'!$A:$A, 'Product Catalog'!$C:$C, "Unknown Category")</f>
        <v>Electronics</v>
      </c>
      <c r="M421" s="1">
        <f>_xlfn.XLOOKUP(C421, 'Product Catalog'!$A:$A, 'Product Catalog'!$D:$D, 0)</f>
        <v>187.9</v>
      </c>
      <c r="N421" s="1">
        <f t="shared" si="13"/>
        <v>187.9</v>
      </c>
    </row>
    <row r="422" spans="1:14" x14ac:dyDescent="0.3">
      <c r="A422" s="1" t="s">
        <v>821</v>
      </c>
      <c r="B422" s="1" t="s">
        <v>581</v>
      </c>
      <c r="C422" s="1" t="s">
        <v>74</v>
      </c>
      <c r="D422" s="1">
        <v>1</v>
      </c>
      <c r="E422" s="12">
        <v>45953.144444444442</v>
      </c>
      <c r="F422" s="1" t="s">
        <v>19</v>
      </c>
      <c r="G422" s="1" t="s">
        <v>31</v>
      </c>
      <c r="H422" s="1" t="s">
        <v>24</v>
      </c>
      <c r="I422" s="1" t="s">
        <v>15</v>
      </c>
      <c r="J422" s="1" t="str">
        <f t="shared" si="12"/>
        <v>delivered</v>
      </c>
      <c r="K422" s="1" t="str">
        <f>_xlfn.XLOOKUP(C422, 'Product Catalog'!$A:$A, 'Product Catalog'!$B:$B, "Unknown Product")</f>
        <v>Webcam Model D55</v>
      </c>
      <c r="L422" s="1" t="str">
        <f>_xlfn.XLOOKUP(C422, 'Product Catalog'!$A:$A, 'Product Catalog'!$C:$C, "Unknown Category")</f>
        <v>Electronics</v>
      </c>
      <c r="M422" s="1">
        <f>_xlfn.XLOOKUP(C422, 'Product Catalog'!$A:$A, 'Product Catalog'!$D:$D, 0)</f>
        <v>168.56</v>
      </c>
      <c r="N422" s="1">
        <f t="shared" si="13"/>
        <v>168.56</v>
      </c>
    </row>
    <row r="423" spans="1:14" x14ac:dyDescent="0.3">
      <c r="A423" s="1" t="s">
        <v>822</v>
      </c>
      <c r="B423" s="1" t="s">
        <v>823</v>
      </c>
      <c r="C423" s="1" t="s">
        <v>128</v>
      </c>
      <c r="D423" s="1">
        <v>1</v>
      </c>
      <c r="E423" s="12">
        <v>45932.265277777777</v>
      </c>
      <c r="F423" s="1" t="s">
        <v>19</v>
      </c>
      <c r="G423" s="1" t="s">
        <v>109</v>
      </c>
      <c r="H423" s="1" t="s">
        <v>14</v>
      </c>
      <c r="I423" s="1" t="s">
        <v>15</v>
      </c>
      <c r="J423" s="1" t="str">
        <f t="shared" si="12"/>
        <v>delivered</v>
      </c>
      <c r="K423" s="1" t="str">
        <f>_xlfn.XLOOKUP(C423, 'Product Catalog'!$A:$A, 'Product Catalog'!$B:$B, "Unknown Product")</f>
        <v>Organizer Model N39</v>
      </c>
      <c r="L423" s="1" t="str">
        <f>_xlfn.XLOOKUP(C423, 'Product Catalog'!$A:$A, 'Product Catalog'!$C:$C, "Unknown Category")</f>
        <v>Home Goods</v>
      </c>
      <c r="M423" s="1">
        <f>_xlfn.XLOOKUP(C423, 'Product Catalog'!$A:$A, 'Product Catalog'!$D:$D, 0)</f>
        <v>149.08000000000001</v>
      </c>
      <c r="N423" s="1">
        <f t="shared" si="13"/>
        <v>149.08000000000001</v>
      </c>
    </row>
    <row r="424" spans="1:14" x14ac:dyDescent="0.3">
      <c r="A424" s="1" t="s">
        <v>824</v>
      </c>
      <c r="B424" s="1" t="s">
        <v>745</v>
      </c>
      <c r="C424" s="1" t="s">
        <v>352</v>
      </c>
      <c r="D424" s="1">
        <v>1</v>
      </c>
      <c r="E424" s="12">
        <v>45845.463194444441</v>
      </c>
      <c r="F424" s="1" t="s">
        <v>19</v>
      </c>
      <c r="G424" s="1" t="s">
        <v>13</v>
      </c>
      <c r="H424" s="1" t="s">
        <v>41</v>
      </c>
      <c r="I424" s="1" t="s">
        <v>15</v>
      </c>
      <c r="J424" s="1" t="str">
        <f t="shared" si="12"/>
        <v>delivered</v>
      </c>
      <c r="K424" s="1" t="str">
        <f>_xlfn.XLOOKUP(C424, 'Product Catalog'!$A:$A, 'Product Catalog'!$B:$B, "Unknown Product")</f>
        <v>VPN 6-Month Pass Model U46</v>
      </c>
      <c r="L424" s="1" t="str">
        <f>_xlfn.XLOOKUP(C424, 'Product Catalog'!$A:$A, 'Product Catalog'!$C:$C, "Unknown Category")</f>
        <v>Digital Services</v>
      </c>
      <c r="M424" s="1">
        <f>_xlfn.XLOOKUP(C424, 'Product Catalog'!$A:$A, 'Product Catalog'!$D:$D, 0)</f>
        <v>47.44</v>
      </c>
      <c r="N424" s="1">
        <f t="shared" si="13"/>
        <v>47.44</v>
      </c>
    </row>
    <row r="425" spans="1:14" x14ac:dyDescent="0.3">
      <c r="A425" s="1" t="s">
        <v>825</v>
      </c>
      <c r="B425" s="1" t="s">
        <v>283</v>
      </c>
      <c r="C425" s="1" t="s">
        <v>393</v>
      </c>
      <c r="D425" s="1">
        <v>1</v>
      </c>
      <c r="E425" s="12">
        <v>45758.650694444441</v>
      </c>
      <c r="F425" s="1" t="s">
        <v>12</v>
      </c>
      <c r="G425" s="1" t="s">
        <v>20</v>
      </c>
      <c r="H425" s="1" t="s">
        <v>41</v>
      </c>
      <c r="I425" s="1" t="s">
        <v>15</v>
      </c>
      <c r="J425" s="1" t="str">
        <f t="shared" si="12"/>
        <v>delivered</v>
      </c>
      <c r="K425" s="1" t="str">
        <f>_xlfn.XLOOKUP(C425, 'Product Catalog'!$A:$A, 'Product Catalog'!$B:$B, "Unknown Product")</f>
        <v>Mouse Model B1</v>
      </c>
      <c r="L425" s="1" t="str">
        <f>_xlfn.XLOOKUP(C425, 'Product Catalog'!$A:$A, 'Product Catalog'!$C:$C, "Unknown Category")</f>
        <v>Electronics</v>
      </c>
      <c r="M425" s="1">
        <f>_xlfn.XLOOKUP(C425, 'Product Catalog'!$A:$A, 'Product Catalog'!$D:$D, 0)</f>
        <v>189.26</v>
      </c>
      <c r="N425" s="1">
        <f t="shared" si="13"/>
        <v>189.26</v>
      </c>
    </row>
    <row r="426" spans="1:14" x14ac:dyDescent="0.3">
      <c r="A426" s="1" t="s">
        <v>826</v>
      </c>
      <c r="B426" s="1" t="s">
        <v>827</v>
      </c>
      <c r="C426" s="1" t="s">
        <v>691</v>
      </c>
      <c r="D426" s="1">
        <v>4</v>
      </c>
      <c r="E426" s="12">
        <v>45716.372916666667</v>
      </c>
      <c r="F426" s="1" t="s">
        <v>19</v>
      </c>
      <c r="G426" s="1" t="s">
        <v>40</v>
      </c>
      <c r="H426" s="1" t="s">
        <v>41</v>
      </c>
      <c r="I426" s="1" t="s">
        <v>102</v>
      </c>
      <c r="J426" s="1" t="str">
        <f t="shared" si="12"/>
        <v>disputed</v>
      </c>
      <c r="K426" s="1" t="str">
        <f>_xlfn.XLOOKUP(C426, 'Product Catalog'!$A:$A, 'Product Catalog'!$B:$B, "Unknown Product")</f>
        <v>Designer Watch Model T123</v>
      </c>
      <c r="L426" s="1" t="str">
        <f>_xlfn.XLOOKUP(C426, 'Product Catalog'!$A:$A, 'Product Catalog'!$C:$C, "Unknown Category")</f>
        <v>Luxury Goods</v>
      </c>
      <c r="M426" s="1">
        <f>_xlfn.XLOOKUP(C426, 'Product Catalog'!$A:$A, 'Product Catalog'!$D:$D, 0)</f>
        <v>1301.92</v>
      </c>
      <c r="N426" s="1">
        <f t="shared" si="13"/>
        <v>5207.68</v>
      </c>
    </row>
    <row r="427" spans="1:14" x14ac:dyDescent="0.3">
      <c r="A427" s="1" t="s">
        <v>828</v>
      </c>
      <c r="B427" s="1" t="s">
        <v>829</v>
      </c>
      <c r="C427" s="1" t="s">
        <v>677</v>
      </c>
      <c r="D427" s="1">
        <v>1</v>
      </c>
      <c r="E427" s="12">
        <v>46001.695833333331</v>
      </c>
      <c r="F427" s="1" t="s">
        <v>19</v>
      </c>
      <c r="G427" s="1" t="s">
        <v>46</v>
      </c>
      <c r="H427" s="1" t="s">
        <v>24</v>
      </c>
      <c r="I427" s="1" t="s">
        <v>15</v>
      </c>
      <c r="J427" s="1" t="str">
        <f t="shared" si="12"/>
        <v>delivered</v>
      </c>
      <c r="K427" s="1" t="str">
        <f>_xlfn.XLOOKUP(C427, 'Product Catalog'!$A:$A, 'Product Catalog'!$B:$B, "Unknown Product")</f>
        <v>Charger Model Y128</v>
      </c>
      <c r="L427" s="1" t="str">
        <f>_xlfn.XLOOKUP(C427, 'Product Catalog'!$A:$A, 'Product Catalog'!$C:$C, "Unknown Category")</f>
        <v>Electronics</v>
      </c>
      <c r="M427" s="1">
        <f>_xlfn.XLOOKUP(C427, 'Product Catalog'!$A:$A, 'Product Catalog'!$D:$D, 0)</f>
        <v>46.33</v>
      </c>
      <c r="N427" s="1">
        <f t="shared" si="13"/>
        <v>46.33</v>
      </c>
    </row>
    <row r="428" spans="1:14" x14ac:dyDescent="0.3">
      <c r="A428" s="1" t="s">
        <v>830</v>
      </c>
      <c r="B428" s="1" t="s">
        <v>765</v>
      </c>
      <c r="C428" s="1" t="s">
        <v>190</v>
      </c>
      <c r="D428" s="1">
        <v>4</v>
      </c>
      <c r="E428" s="12">
        <v>45928.908333333333</v>
      </c>
      <c r="F428" s="1" t="s">
        <v>39</v>
      </c>
      <c r="G428" s="1" t="s">
        <v>20</v>
      </c>
      <c r="H428" s="1" t="s">
        <v>51</v>
      </c>
      <c r="I428" s="1" t="s">
        <v>56</v>
      </c>
      <c r="J428" s="1" t="str">
        <f t="shared" si="12"/>
        <v>cancelled</v>
      </c>
      <c r="K428" s="1" t="str">
        <f>_xlfn.XLOOKUP(C428, 'Product Catalog'!$A:$A, 'Product Catalog'!$B:$B, "Unknown Product")</f>
        <v>Silk Scarf Model A52</v>
      </c>
      <c r="L428" s="1" t="str">
        <f>_xlfn.XLOOKUP(C428, 'Product Catalog'!$A:$A, 'Product Catalog'!$C:$C, "Unknown Category")</f>
        <v>Luxury Goods</v>
      </c>
      <c r="M428" s="1">
        <f>_xlfn.XLOOKUP(C428, 'Product Catalog'!$A:$A, 'Product Catalog'!$D:$D, 0)</f>
        <v>1339.88</v>
      </c>
      <c r="N428" s="1">
        <f t="shared" si="13"/>
        <v>5359.52</v>
      </c>
    </row>
    <row r="429" spans="1:14" x14ac:dyDescent="0.3">
      <c r="A429" s="1" t="s">
        <v>831</v>
      </c>
      <c r="B429" s="1" t="s">
        <v>344</v>
      </c>
      <c r="C429" s="1" t="s">
        <v>644</v>
      </c>
      <c r="D429" s="1">
        <v>5</v>
      </c>
      <c r="E429" s="12">
        <v>45818.848611111112</v>
      </c>
      <c r="F429" s="1" t="s">
        <v>12</v>
      </c>
      <c r="G429" s="1" t="s">
        <v>40</v>
      </c>
      <c r="H429" s="1" t="s">
        <v>51</v>
      </c>
      <c r="I429" s="1" t="s">
        <v>56</v>
      </c>
      <c r="J429" s="1" t="str">
        <f t="shared" si="12"/>
        <v>cancelled</v>
      </c>
      <c r="K429" s="1" t="str">
        <f>_xlfn.XLOOKUP(C429, 'Product Catalog'!$A:$A, 'Product Catalog'!$B:$B, "Unknown Product")</f>
        <v>Socks Model T71</v>
      </c>
      <c r="L429" s="1" t="str">
        <f>_xlfn.XLOOKUP(C429, 'Product Catalog'!$A:$A, 'Product Catalog'!$C:$C, "Unknown Category")</f>
        <v>Apparel</v>
      </c>
      <c r="M429" s="1">
        <f>_xlfn.XLOOKUP(C429, 'Product Catalog'!$A:$A, 'Product Catalog'!$D:$D, 0)</f>
        <v>23.19</v>
      </c>
      <c r="N429" s="1">
        <f t="shared" si="13"/>
        <v>115.95</v>
      </c>
    </row>
    <row r="430" spans="1:14" x14ac:dyDescent="0.3">
      <c r="A430" s="1" t="s">
        <v>832</v>
      </c>
      <c r="B430" s="1" t="s">
        <v>638</v>
      </c>
      <c r="C430" s="1" t="s">
        <v>309</v>
      </c>
      <c r="D430" s="1">
        <v>5</v>
      </c>
      <c r="E430" s="12">
        <v>45856.868750000001</v>
      </c>
      <c r="F430" s="1" t="s">
        <v>39</v>
      </c>
      <c r="G430" s="1" t="s">
        <v>50</v>
      </c>
      <c r="H430" s="1" t="s">
        <v>51</v>
      </c>
      <c r="I430" s="1" t="s">
        <v>102</v>
      </c>
      <c r="J430" s="1" t="str">
        <f t="shared" si="12"/>
        <v>disputed</v>
      </c>
      <c r="K430" s="1" t="str">
        <f>_xlfn.XLOOKUP(C430, 'Product Catalog'!$A:$A, 'Product Catalog'!$B:$B, "Unknown Product")</f>
        <v>Sneakers Model C2</v>
      </c>
      <c r="L430" s="1" t="str">
        <f>_xlfn.XLOOKUP(C430, 'Product Catalog'!$A:$A, 'Product Catalog'!$C:$C, "Unknown Category")</f>
        <v>Apparel</v>
      </c>
      <c r="M430" s="1">
        <f>_xlfn.XLOOKUP(C430, 'Product Catalog'!$A:$A, 'Product Catalog'!$D:$D, 0)</f>
        <v>21.27</v>
      </c>
      <c r="N430" s="1">
        <f t="shared" si="13"/>
        <v>106.35</v>
      </c>
    </row>
    <row r="431" spans="1:14" x14ac:dyDescent="0.3">
      <c r="A431" s="1" t="s">
        <v>833</v>
      </c>
      <c r="B431" s="1" t="s">
        <v>834</v>
      </c>
      <c r="C431" s="1" t="s">
        <v>402</v>
      </c>
      <c r="D431" s="1">
        <v>1</v>
      </c>
      <c r="E431" s="12">
        <v>45858.834722222222</v>
      </c>
      <c r="F431" s="1" t="s">
        <v>19</v>
      </c>
      <c r="G431" s="1" t="s">
        <v>46</v>
      </c>
      <c r="H431" s="1" t="s">
        <v>14</v>
      </c>
      <c r="I431" s="1" t="s">
        <v>15</v>
      </c>
      <c r="J431" s="1" t="str">
        <f t="shared" si="12"/>
        <v>delivered</v>
      </c>
      <c r="K431" s="1" t="str">
        <f>_xlfn.XLOOKUP(C431, 'Product Catalog'!$A:$A, 'Product Catalog'!$B:$B, "Unknown Product")</f>
        <v>Software License Tier A Model J139</v>
      </c>
      <c r="L431" s="1" t="str">
        <f>_xlfn.XLOOKUP(C431, 'Product Catalog'!$A:$A, 'Product Catalog'!$C:$C, "Unknown Category")</f>
        <v>Digital Services</v>
      </c>
      <c r="M431" s="1">
        <f>_xlfn.XLOOKUP(C431, 'Product Catalog'!$A:$A, 'Product Catalog'!$D:$D, 0)</f>
        <v>90.05</v>
      </c>
      <c r="N431" s="1">
        <f t="shared" si="13"/>
        <v>90.05</v>
      </c>
    </row>
    <row r="432" spans="1:14" x14ac:dyDescent="0.3">
      <c r="A432" s="1" t="s">
        <v>835</v>
      </c>
      <c r="B432" s="1" t="s">
        <v>189</v>
      </c>
      <c r="C432" s="1" t="s">
        <v>498</v>
      </c>
      <c r="D432" s="1">
        <v>1</v>
      </c>
      <c r="E432" s="12">
        <v>45716.494444444441</v>
      </c>
      <c r="F432" s="1" t="s">
        <v>39</v>
      </c>
      <c r="G432" s="1" t="s">
        <v>46</v>
      </c>
      <c r="H432" s="1" t="s">
        <v>55</v>
      </c>
      <c r="I432" s="1" t="s">
        <v>102</v>
      </c>
      <c r="J432" s="1" t="str">
        <f t="shared" si="12"/>
        <v>disputed</v>
      </c>
      <c r="K432" s="1" t="str">
        <f>_xlfn.XLOOKUP(C432, 'Product Catalog'!$A:$A, 'Product Catalog'!$B:$B, "Unknown Product")</f>
        <v>Leather Handbag Model N143</v>
      </c>
      <c r="L432" s="1" t="str">
        <f>_xlfn.XLOOKUP(C432, 'Product Catalog'!$A:$A, 'Product Catalog'!$C:$C, "Unknown Category")</f>
        <v>Luxury Goods</v>
      </c>
      <c r="M432" s="1">
        <f>_xlfn.XLOOKUP(C432, 'Product Catalog'!$A:$A, 'Product Catalog'!$D:$D, 0)</f>
        <v>1374.1</v>
      </c>
      <c r="N432" s="1">
        <f t="shared" si="13"/>
        <v>1374.1</v>
      </c>
    </row>
    <row r="433" spans="1:14" x14ac:dyDescent="0.3">
      <c r="A433" s="1" t="s">
        <v>836</v>
      </c>
      <c r="B433" s="1" t="s">
        <v>834</v>
      </c>
      <c r="C433" s="1" t="s">
        <v>95</v>
      </c>
      <c r="D433" s="1">
        <v>2</v>
      </c>
      <c r="E433" s="12">
        <v>45838.650694444441</v>
      </c>
      <c r="F433" s="1" t="s">
        <v>185</v>
      </c>
      <c r="G433" s="1" t="s">
        <v>20</v>
      </c>
      <c r="H433" s="1" t="s">
        <v>24</v>
      </c>
      <c r="I433" s="1" t="s">
        <v>15</v>
      </c>
      <c r="J433" s="1" t="str">
        <f t="shared" si="12"/>
        <v>delivered</v>
      </c>
      <c r="K433" s="1" t="str">
        <f>_xlfn.XLOOKUP(C433, 'Product Catalog'!$A:$A, 'Product Catalog'!$B:$B, "Unknown Product")</f>
        <v>Jacket Model U72</v>
      </c>
      <c r="L433" s="1" t="str">
        <f>_xlfn.XLOOKUP(C433, 'Product Catalog'!$A:$A, 'Product Catalog'!$C:$C, "Unknown Category")</f>
        <v>Apparel</v>
      </c>
      <c r="M433" s="1">
        <f>_xlfn.XLOOKUP(C433, 'Product Catalog'!$A:$A, 'Product Catalog'!$D:$D, 0)</f>
        <v>75.400000000000006</v>
      </c>
      <c r="N433" s="1">
        <f t="shared" si="13"/>
        <v>150.80000000000001</v>
      </c>
    </row>
    <row r="434" spans="1:14" x14ac:dyDescent="0.3">
      <c r="A434" s="1" t="s">
        <v>837</v>
      </c>
      <c r="B434" s="1" t="s">
        <v>838</v>
      </c>
      <c r="C434" s="1" t="s">
        <v>309</v>
      </c>
      <c r="D434" s="1">
        <v>1</v>
      </c>
      <c r="E434" s="12">
        <v>45974.245138888888</v>
      </c>
      <c r="F434" s="1" t="s">
        <v>19</v>
      </c>
      <c r="G434" s="1" t="s">
        <v>20</v>
      </c>
      <c r="H434" s="1" t="s">
        <v>14</v>
      </c>
      <c r="I434" s="1" t="s">
        <v>15</v>
      </c>
      <c r="J434" s="1" t="str">
        <f t="shared" si="12"/>
        <v>delivered</v>
      </c>
      <c r="K434" s="1" t="str">
        <f>_xlfn.XLOOKUP(C434, 'Product Catalog'!$A:$A, 'Product Catalog'!$B:$B, "Unknown Product")</f>
        <v>Sneakers Model C2</v>
      </c>
      <c r="L434" s="1" t="str">
        <f>_xlfn.XLOOKUP(C434, 'Product Catalog'!$A:$A, 'Product Catalog'!$C:$C, "Unknown Category")</f>
        <v>Apparel</v>
      </c>
      <c r="M434" s="1">
        <f>_xlfn.XLOOKUP(C434, 'Product Catalog'!$A:$A, 'Product Catalog'!$D:$D, 0)</f>
        <v>21.27</v>
      </c>
      <c r="N434" s="1">
        <f t="shared" si="13"/>
        <v>21.27</v>
      </c>
    </row>
    <row r="435" spans="1:14" x14ac:dyDescent="0.3">
      <c r="A435" s="1" t="s">
        <v>839</v>
      </c>
      <c r="B435" s="1" t="s">
        <v>92</v>
      </c>
      <c r="C435" s="1" t="s">
        <v>667</v>
      </c>
      <c r="D435" s="1">
        <v>2</v>
      </c>
      <c r="E435" s="12">
        <v>46002.42291666667</v>
      </c>
      <c r="F435" s="1" t="s">
        <v>12</v>
      </c>
      <c r="G435" s="1" t="s">
        <v>31</v>
      </c>
      <c r="H435" s="1" t="s">
        <v>41</v>
      </c>
      <c r="I435" s="1" t="s">
        <v>15</v>
      </c>
      <c r="J435" s="1" t="str">
        <f t="shared" si="12"/>
        <v>delivered</v>
      </c>
      <c r="K435" s="1" t="str">
        <f>_xlfn.XLOOKUP(C435, 'Product Catalog'!$A:$A, 'Product Catalog'!$B:$B, "Unknown Product")</f>
        <v>Mug Model N65</v>
      </c>
      <c r="L435" s="1" t="str">
        <f>_xlfn.XLOOKUP(C435, 'Product Catalog'!$A:$A, 'Product Catalog'!$C:$C, "Unknown Category")</f>
        <v>Home Goods</v>
      </c>
      <c r="M435" s="1">
        <f>_xlfn.XLOOKUP(C435, 'Product Catalog'!$A:$A, 'Product Catalog'!$D:$D, 0)</f>
        <v>131.44999999999999</v>
      </c>
      <c r="N435" s="1">
        <f t="shared" si="13"/>
        <v>262.89999999999998</v>
      </c>
    </row>
    <row r="436" spans="1:14" x14ac:dyDescent="0.3">
      <c r="A436" s="1" t="s">
        <v>840</v>
      </c>
      <c r="B436" s="1" t="s">
        <v>510</v>
      </c>
      <c r="C436" s="1" t="s">
        <v>740</v>
      </c>
      <c r="D436" s="1">
        <v>1</v>
      </c>
      <c r="E436" s="12">
        <v>45972.838888888888</v>
      </c>
      <c r="F436" s="1" t="s">
        <v>12</v>
      </c>
      <c r="G436" s="1" t="s">
        <v>109</v>
      </c>
      <c r="H436" s="1" t="s">
        <v>41</v>
      </c>
      <c r="I436" s="1" t="s">
        <v>81</v>
      </c>
      <c r="J436" s="1" t="str">
        <f t="shared" si="12"/>
        <v>REFUNDED</v>
      </c>
      <c r="K436" s="1" t="str">
        <f>_xlfn.XLOOKUP(C436, 'Product Catalog'!$A:$A, 'Product Catalog'!$B:$B, "Unknown Product")</f>
        <v>Jacket Model S44</v>
      </c>
      <c r="L436" s="1" t="str">
        <f>_xlfn.XLOOKUP(C436, 'Product Catalog'!$A:$A, 'Product Catalog'!$C:$C, "Unknown Category")</f>
        <v>Apparel</v>
      </c>
      <c r="M436" s="1">
        <f>_xlfn.XLOOKUP(C436, 'Product Catalog'!$A:$A, 'Product Catalog'!$D:$D, 0)</f>
        <v>93.08</v>
      </c>
      <c r="N436" s="1">
        <f t="shared" si="13"/>
        <v>93.08</v>
      </c>
    </row>
    <row r="437" spans="1:14" x14ac:dyDescent="0.3">
      <c r="A437" s="1" t="s">
        <v>841</v>
      </c>
      <c r="B437" s="1" t="s">
        <v>842</v>
      </c>
      <c r="C437" s="1" t="s">
        <v>84</v>
      </c>
      <c r="D437" s="1">
        <v>2</v>
      </c>
      <c r="E437" s="12">
        <v>45701.955555555556</v>
      </c>
      <c r="F437" s="1" t="s">
        <v>19</v>
      </c>
      <c r="G437" s="1" t="s">
        <v>31</v>
      </c>
      <c r="H437" s="1" t="s">
        <v>41</v>
      </c>
      <c r="I437" s="1" t="s">
        <v>15</v>
      </c>
      <c r="J437" s="1" t="str">
        <f t="shared" si="12"/>
        <v>delivered</v>
      </c>
      <c r="K437" s="1" t="str">
        <f>_xlfn.XLOOKUP(C437, 'Product Catalog'!$A:$A, 'Product Catalog'!$B:$B, "Unknown Product")</f>
        <v>Smartwatch Model J35</v>
      </c>
      <c r="L437" s="1" t="str">
        <f>_xlfn.XLOOKUP(C437, 'Product Catalog'!$A:$A, 'Product Catalog'!$C:$C, "Unknown Category")</f>
        <v>Electronics</v>
      </c>
      <c r="M437" s="1">
        <f>_xlfn.XLOOKUP(C437, 'Product Catalog'!$A:$A, 'Product Catalog'!$D:$D, 0)</f>
        <v>161.94999999999999</v>
      </c>
      <c r="N437" s="1">
        <f t="shared" si="13"/>
        <v>323.89999999999998</v>
      </c>
    </row>
    <row r="438" spans="1:14" x14ac:dyDescent="0.3">
      <c r="A438" s="1" t="s">
        <v>843</v>
      </c>
      <c r="B438" s="1" t="s">
        <v>488</v>
      </c>
      <c r="C438" s="1" t="s">
        <v>309</v>
      </c>
      <c r="D438" s="1">
        <v>1</v>
      </c>
      <c r="E438" s="12">
        <v>45726.445138888892</v>
      </c>
      <c r="F438" s="1" t="s">
        <v>19</v>
      </c>
      <c r="G438" s="1" t="s">
        <v>20</v>
      </c>
      <c r="H438" s="1" t="s">
        <v>14</v>
      </c>
      <c r="I438" s="1" t="s">
        <v>15</v>
      </c>
      <c r="J438" s="1" t="str">
        <f t="shared" si="12"/>
        <v>delivered</v>
      </c>
      <c r="K438" s="1" t="str">
        <f>_xlfn.XLOOKUP(C438, 'Product Catalog'!$A:$A, 'Product Catalog'!$B:$B, "Unknown Product")</f>
        <v>Sneakers Model C2</v>
      </c>
      <c r="L438" s="1" t="str">
        <f>_xlfn.XLOOKUP(C438, 'Product Catalog'!$A:$A, 'Product Catalog'!$C:$C, "Unknown Category")</f>
        <v>Apparel</v>
      </c>
      <c r="M438" s="1">
        <f>_xlfn.XLOOKUP(C438, 'Product Catalog'!$A:$A, 'Product Catalog'!$D:$D, 0)</f>
        <v>21.27</v>
      </c>
      <c r="N438" s="1">
        <f t="shared" si="13"/>
        <v>21.27</v>
      </c>
    </row>
    <row r="439" spans="1:14" x14ac:dyDescent="0.3">
      <c r="A439" s="1" t="s">
        <v>844</v>
      </c>
      <c r="B439" s="1" t="s">
        <v>437</v>
      </c>
      <c r="C439" s="1" t="s">
        <v>11</v>
      </c>
      <c r="D439" s="1">
        <v>1</v>
      </c>
      <c r="E439" s="12">
        <v>45718.338888888888</v>
      </c>
      <c r="F439" s="1" t="s">
        <v>19</v>
      </c>
      <c r="G439" s="1" t="s">
        <v>20</v>
      </c>
      <c r="H439" s="1" t="s">
        <v>14</v>
      </c>
      <c r="I439" s="1" t="s">
        <v>15</v>
      </c>
      <c r="J439" s="1" t="str">
        <f t="shared" si="12"/>
        <v>delivered</v>
      </c>
      <c r="K439" s="1" t="str">
        <f>_xlfn.XLOOKUP(C439, 'Product Catalog'!$A:$A, 'Product Catalog'!$B:$B, "Unknown Product")</f>
        <v>Keyboard Model F57</v>
      </c>
      <c r="L439" s="1" t="str">
        <f>_xlfn.XLOOKUP(C439, 'Product Catalog'!$A:$A, 'Product Catalog'!$C:$C, "Unknown Category")</f>
        <v>Electronics</v>
      </c>
      <c r="M439" s="1">
        <f>_xlfn.XLOOKUP(C439, 'Product Catalog'!$A:$A, 'Product Catalog'!$D:$D, 0)</f>
        <v>60.02</v>
      </c>
      <c r="N439" s="1">
        <f t="shared" si="13"/>
        <v>60.02</v>
      </c>
    </row>
    <row r="440" spans="1:14" x14ac:dyDescent="0.3">
      <c r="A440" s="1" t="s">
        <v>845</v>
      </c>
      <c r="B440" s="1" t="s">
        <v>468</v>
      </c>
      <c r="C440" s="1" t="s">
        <v>296</v>
      </c>
      <c r="D440" s="1">
        <v>1</v>
      </c>
      <c r="E440" s="12">
        <v>45814.165972222225</v>
      </c>
      <c r="F440" s="1" t="s">
        <v>19</v>
      </c>
      <c r="G440" s="1" t="s">
        <v>13</v>
      </c>
      <c r="H440" s="1" t="s">
        <v>14</v>
      </c>
      <c r="I440" s="1" t="s">
        <v>15</v>
      </c>
      <c r="J440" s="1" t="str">
        <f t="shared" si="12"/>
        <v>delivered</v>
      </c>
      <c r="K440" s="1" t="str">
        <f>_xlfn.XLOOKUP(C440, 'Product Catalog'!$A:$A, 'Product Catalog'!$B:$B, "Unknown Product")</f>
        <v>Socks Model K62</v>
      </c>
      <c r="L440" s="1" t="str">
        <f>_xlfn.XLOOKUP(C440, 'Product Catalog'!$A:$A, 'Product Catalog'!$C:$C, "Unknown Category")</f>
        <v>Apparel</v>
      </c>
      <c r="M440" s="1">
        <f>_xlfn.XLOOKUP(C440, 'Product Catalog'!$A:$A, 'Product Catalog'!$D:$D, 0)</f>
        <v>63.42</v>
      </c>
      <c r="N440" s="1">
        <f t="shared" si="13"/>
        <v>63.42</v>
      </c>
    </row>
    <row r="441" spans="1:14" x14ac:dyDescent="0.3">
      <c r="A441" s="1" t="s">
        <v>846</v>
      </c>
      <c r="B441" s="1" t="s">
        <v>324</v>
      </c>
      <c r="C441" s="1" t="s">
        <v>140</v>
      </c>
      <c r="D441" s="1">
        <v>1</v>
      </c>
      <c r="E441" s="12">
        <v>45751.530555555553</v>
      </c>
      <c r="F441" s="1" t="s">
        <v>19</v>
      </c>
      <c r="G441" s="1" t="s">
        <v>31</v>
      </c>
      <c r="H441" s="1" t="s">
        <v>41</v>
      </c>
      <c r="I441" s="1" t="s">
        <v>15</v>
      </c>
      <c r="J441" s="1" t="str">
        <f t="shared" si="12"/>
        <v>delivered</v>
      </c>
      <c r="K441" s="1" t="str">
        <f>_xlfn.XLOOKUP(C441, 'Product Catalog'!$A:$A, 'Product Catalog'!$B:$B, "Unknown Product")</f>
        <v>Blender Model H85</v>
      </c>
      <c r="L441" s="1" t="str">
        <f>_xlfn.XLOOKUP(C441, 'Product Catalog'!$A:$A, 'Product Catalog'!$C:$C, "Unknown Category")</f>
        <v>Home Goods</v>
      </c>
      <c r="M441" s="1">
        <f>_xlfn.XLOOKUP(C441, 'Product Catalog'!$A:$A, 'Product Catalog'!$D:$D, 0)</f>
        <v>130</v>
      </c>
      <c r="N441" s="1">
        <f t="shared" si="13"/>
        <v>130</v>
      </c>
    </row>
    <row r="442" spans="1:14" x14ac:dyDescent="0.3">
      <c r="A442" s="1" t="s">
        <v>847</v>
      </c>
      <c r="B442" s="1" t="s">
        <v>575</v>
      </c>
      <c r="C442" s="1" t="s">
        <v>459</v>
      </c>
      <c r="D442" s="1">
        <v>1</v>
      </c>
      <c r="E442" s="12">
        <v>46013.200694444444</v>
      </c>
      <c r="F442" s="1" t="s">
        <v>12</v>
      </c>
      <c r="G442" s="1" t="s">
        <v>109</v>
      </c>
      <c r="H442" s="1" t="s">
        <v>14</v>
      </c>
      <c r="I442" s="1" t="s">
        <v>15</v>
      </c>
      <c r="J442" s="1" t="str">
        <f t="shared" si="12"/>
        <v>delivered</v>
      </c>
      <c r="K442" s="1" t="str">
        <f>_xlfn.XLOOKUP(C442, 'Product Catalog'!$A:$A, 'Product Catalog'!$B:$B, "Unknown Product")</f>
        <v>Mouse Model I60</v>
      </c>
      <c r="L442" s="1" t="str">
        <f>_xlfn.XLOOKUP(C442, 'Product Catalog'!$A:$A, 'Product Catalog'!$C:$C, "Unknown Category")</f>
        <v>Electronics</v>
      </c>
      <c r="M442" s="1">
        <f>_xlfn.XLOOKUP(C442, 'Product Catalog'!$A:$A, 'Product Catalog'!$D:$D, 0)</f>
        <v>168.25</v>
      </c>
      <c r="N442" s="1">
        <f t="shared" si="13"/>
        <v>168.25</v>
      </c>
    </row>
    <row r="443" spans="1:14" x14ac:dyDescent="0.3">
      <c r="A443" s="1" t="s">
        <v>848</v>
      </c>
      <c r="B443" s="1" t="s">
        <v>798</v>
      </c>
      <c r="C443" s="1" t="s">
        <v>59</v>
      </c>
      <c r="D443" s="1">
        <v>1</v>
      </c>
      <c r="E443" s="12">
        <v>45919.552083333336</v>
      </c>
      <c r="F443" s="1" t="s">
        <v>39</v>
      </c>
      <c r="G443" s="1" t="s">
        <v>109</v>
      </c>
      <c r="H443" s="1" t="s">
        <v>51</v>
      </c>
      <c r="I443" s="1" t="s">
        <v>102</v>
      </c>
      <c r="J443" s="1" t="str">
        <f t="shared" si="12"/>
        <v>disputed</v>
      </c>
      <c r="K443" s="1" t="str">
        <f>_xlfn.XLOOKUP(C443, 'Product Catalog'!$A:$A, 'Product Catalog'!$B:$B, "Unknown Product")</f>
        <v>Silk Scarf Model Z25</v>
      </c>
      <c r="L443" s="1" t="str">
        <f>_xlfn.XLOOKUP(C443, 'Product Catalog'!$A:$A, 'Product Catalog'!$C:$C, "Unknown Category")</f>
        <v>Luxury Goods</v>
      </c>
      <c r="M443" s="1">
        <f>_xlfn.XLOOKUP(C443, 'Product Catalog'!$A:$A, 'Product Catalog'!$D:$D, 0)</f>
        <v>878.03</v>
      </c>
      <c r="N443" s="1">
        <f t="shared" si="13"/>
        <v>878.03</v>
      </c>
    </row>
    <row r="444" spans="1:14" x14ac:dyDescent="0.3">
      <c r="A444" s="1" t="s">
        <v>849</v>
      </c>
      <c r="B444" s="1" t="s">
        <v>326</v>
      </c>
      <c r="C444" s="1" t="s">
        <v>359</v>
      </c>
      <c r="D444" s="1">
        <v>1</v>
      </c>
      <c r="E444" s="12">
        <v>45872.847916666666</v>
      </c>
      <c r="F444" s="1" t="s">
        <v>19</v>
      </c>
      <c r="G444" s="1" t="s">
        <v>109</v>
      </c>
      <c r="H444" s="1" t="s">
        <v>41</v>
      </c>
      <c r="I444" s="1" t="s">
        <v>102</v>
      </c>
      <c r="J444" s="1" t="str">
        <f t="shared" si="12"/>
        <v>disputed</v>
      </c>
      <c r="K444" s="1" t="str">
        <f>_xlfn.XLOOKUP(C444, 'Product Catalog'!$A:$A, 'Product Catalog'!$B:$B, "Unknown Product")</f>
        <v>Hoodie Model H111</v>
      </c>
      <c r="L444" s="1" t="str">
        <f>_xlfn.XLOOKUP(C444, 'Product Catalog'!$A:$A, 'Product Catalog'!$C:$C, "Unknown Category")</f>
        <v>Apparel</v>
      </c>
      <c r="M444" s="1">
        <f>_xlfn.XLOOKUP(C444, 'Product Catalog'!$A:$A, 'Product Catalog'!$D:$D, 0)</f>
        <v>57.44</v>
      </c>
      <c r="N444" s="1">
        <f t="shared" si="13"/>
        <v>57.44</v>
      </c>
    </row>
    <row r="445" spans="1:14" x14ac:dyDescent="0.3">
      <c r="A445" s="1" t="s">
        <v>850</v>
      </c>
      <c r="B445" s="1" t="s">
        <v>342</v>
      </c>
      <c r="C445" s="1" t="s">
        <v>851</v>
      </c>
      <c r="D445" s="1">
        <v>2</v>
      </c>
      <c r="E445" s="12">
        <v>45728.817361111112</v>
      </c>
      <c r="F445" s="1" t="s">
        <v>19</v>
      </c>
      <c r="G445" s="1" t="s">
        <v>13</v>
      </c>
      <c r="H445" s="1" t="s">
        <v>14</v>
      </c>
      <c r="I445" s="1" t="s">
        <v>15</v>
      </c>
      <c r="J445" s="1" t="str">
        <f t="shared" si="12"/>
        <v>delivered</v>
      </c>
      <c r="K445" s="1" t="str">
        <f>_xlfn.XLOOKUP(C445, 'Product Catalog'!$A:$A, 'Product Catalog'!$B:$B, "Unknown Product")</f>
        <v>Charger Model H59</v>
      </c>
      <c r="L445" s="1" t="str">
        <f>_xlfn.XLOOKUP(C445, 'Product Catalog'!$A:$A, 'Product Catalog'!$C:$C, "Unknown Category")</f>
        <v>Electronics</v>
      </c>
      <c r="M445" s="1">
        <f>_xlfn.XLOOKUP(C445, 'Product Catalog'!$A:$A, 'Product Catalog'!$D:$D, 0)</f>
        <v>204.89</v>
      </c>
      <c r="N445" s="1">
        <f t="shared" si="13"/>
        <v>409.78</v>
      </c>
    </row>
    <row r="446" spans="1:14" x14ac:dyDescent="0.3">
      <c r="A446" s="1" t="s">
        <v>852</v>
      </c>
      <c r="B446" s="1" t="s">
        <v>693</v>
      </c>
      <c r="C446" s="1" t="s">
        <v>11</v>
      </c>
      <c r="D446" s="1">
        <v>1</v>
      </c>
      <c r="E446" s="12">
        <v>45854.601388888892</v>
      </c>
      <c r="F446" s="1" t="s">
        <v>19</v>
      </c>
      <c r="G446" s="1" t="s">
        <v>20</v>
      </c>
      <c r="H446" s="1" t="s">
        <v>41</v>
      </c>
      <c r="I446" s="1" t="s">
        <v>15</v>
      </c>
      <c r="J446" s="1" t="str">
        <f t="shared" si="12"/>
        <v>delivered</v>
      </c>
      <c r="K446" s="1" t="str">
        <f>_xlfn.XLOOKUP(C446, 'Product Catalog'!$A:$A, 'Product Catalog'!$B:$B, "Unknown Product")</f>
        <v>Keyboard Model F57</v>
      </c>
      <c r="L446" s="1" t="str">
        <f>_xlfn.XLOOKUP(C446, 'Product Catalog'!$A:$A, 'Product Catalog'!$C:$C, "Unknown Category")</f>
        <v>Electronics</v>
      </c>
      <c r="M446" s="1">
        <f>_xlfn.XLOOKUP(C446, 'Product Catalog'!$A:$A, 'Product Catalog'!$D:$D, 0)</f>
        <v>60.02</v>
      </c>
      <c r="N446" s="1">
        <f t="shared" si="13"/>
        <v>60.02</v>
      </c>
    </row>
    <row r="447" spans="1:14" x14ac:dyDescent="0.3">
      <c r="A447" s="1" t="s">
        <v>853</v>
      </c>
      <c r="B447" s="1" t="s">
        <v>142</v>
      </c>
      <c r="C447" s="1" t="s">
        <v>184</v>
      </c>
      <c r="D447" s="1">
        <v>1</v>
      </c>
      <c r="E447" s="12">
        <v>45753.691666666666</v>
      </c>
      <c r="F447" s="1" t="s">
        <v>19</v>
      </c>
      <c r="G447" s="1" t="s">
        <v>109</v>
      </c>
      <c r="H447" s="1" t="s">
        <v>14</v>
      </c>
      <c r="I447" s="1" t="s">
        <v>15</v>
      </c>
      <c r="J447" s="1" t="str">
        <f t="shared" si="12"/>
        <v>delivered</v>
      </c>
      <c r="K447" s="1" t="str">
        <f>_xlfn.XLOOKUP(C447, 'Product Catalog'!$A:$A, 'Product Catalog'!$B:$B, "Unknown Product")</f>
        <v>Jacket Model O40</v>
      </c>
      <c r="L447" s="1" t="str">
        <f>_xlfn.XLOOKUP(C447, 'Product Catalog'!$A:$A, 'Product Catalog'!$C:$C, "Unknown Category")</f>
        <v>Apparel</v>
      </c>
      <c r="M447" s="1">
        <f>_xlfn.XLOOKUP(C447, 'Product Catalog'!$A:$A, 'Product Catalog'!$D:$D, 0)</f>
        <v>114.16</v>
      </c>
      <c r="N447" s="1">
        <f t="shared" si="13"/>
        <v>114.16</v>
      </c>
    </row>
    <row r="448" spans="1:14" x14ac:dyDescent="0.3">
      <c r="A448" s="1" t="s">
        <v>854</v>
      </c>
      <c r="B448" s="1" t="s">
        <v>130</v>
      </c>
      <c r="C448" s="1" t="s">
        <v>329</v>
      </c>
      <c r="D448" s="1">
        <v>5</v>
      </c>
      <c r="E448" s="12">
        <v>45983.763888888891</v>
      </c>
      <c r="F448" s="1" t="s">
        <v>170</v>
      </c>
      <c r="G448" s="1" t="s">
        <v>40</v>
      </c>
      <c r="H448" s="1" t="s">
        <v>41</v>
      </c>
      <c r="I448" s="1" t="s">
        <v>42</v>
      </c>
      <c r="J448" s="1" t="str">
        <f t="shared" si="12"/>
        <v>PENDING_REVIEW</v>
      </c>
      <c r="K448" s="1" t="str">
        <f>_xlfn.XLOOKUP(C448, 'Product Catalog'!$A:$A, 'Product Catalog'!$B:$B, "Unknown Product")</f>
        <v>E-Book Access Model M64</v>
      </c>
      <c r="L448" s="1" t="str">
        <f>_xlfn.XLOOKUP(C448, 'Product Catalog'!$A:$A, 'Product Catalog'!$C:$C, "Unknown Category")</f>
        <v>Digital Services</v>
      </c>
      <c r="M448" s="1">
        <f>_xlfn.XLOOKUP(C448, 'Product Catalog'!$A:$A, 'Product Catalog'!$D:$D, 0)</f>
        <v>92.09</v>
      </c>
      <c r="N448" s="1">
        <f t="shared" si="13"/>
        <v>460.45000000000005</v>
      </c>
    </row>
    <row r="449" spans="1:14" x14ac:dyDescent="0.3">
      <c r="A449" s="1" t="s">
        <v>855</v>
      </c>
      <c r="B449" s="1" t="s">
        <v>698</v>
      </c>
      <c r="C449" s="1" t="s">
        <v>446</v>
      </c>
      <c r="D449" s="1">
        <v>4</v>
      </c>
      <c r="E449" s="12">
        <v>46013.917361111111</v>
      </c>
      <c r="F449" s="1" t="s">
        <v>19</v>
      </c>
      <c r="G449" s="1" t="s">
        <v>109</v>
      </c>
      <c r="H449" s="1" t="s">
        <v>41</v>
      </c>
      <c r="I449" s="1" t="s">
        <v>56</v>
      </c>
      <c r="J449" s="1" t="str">
        <f t="shared" si="12"/>
        <v>cancelled</v>
      </c>
      <c r="K449" s="1" t="str">
        <f>_xlfn.XLOOKUP(C449, 'Product Catalog'!$A:$A, 'Product Catalog'!$B:$B, "Unknown Product")</f>
        <v>Silk Scarf Model K36</v>
      </c>
      <c r="L449" s="1" t="str">
        <f>_xlfn.XLOOKUP(C449, 'Product Catalog'!$A:$A, 'Product Catalog'!$C:$C, "Unknown Category")</f>
        <v>Luxury Goods</v>
      </c>
      <c r="M449" s="1">
        <f>_xlfn.XLOOKUP(C449, 'Product Catalog'!$A:$A, 'Product Catalog'!$D:$D, 0)</f>
        <v>737.6</v>
      </c>
      <c r="N449" s="1">
        <f t="shared" si="13"/>
        <v>2950.4</v>
      </c>
    </row>
    <row r="450" spans="1:14" x14ac:dyDescent="0.3">
      <c r="A450" s="1" t="s">
        <v>856</v>
      </c>
      <c r="B450" s="1" t="s">
        <v>208</v>
      </c>
      <c r="C450" s="1" t="s">
        <v>278</v>
      </c>
      <c r="D450" s="1">
        <v>1</v>
      </c>
      <c r="E450" s="12">
        <v>45746.788888888892</v>
      </c>
      <c r="F450" s="1" t="s">
        <v>19</v>
      </c>
      <c r="G450" s="1" t="s">
        <v>13</v>
      </c>
      <c r="H450" s="1" t="s">
        <v>24</v>
      </c>
      <c r="I450" s="1" t="s">
        <v>15</v>
      </c>
      <c r="J450" s="1" t="str">
        <f t="shared" ref="J450:J513" si="14">TRIM(I450)</f>
        <v>delivered</v>
      </c>
      <c r="K450" s="1" t="str">
        <f>_xlfn.XLOOKUP(C450, 'Product Catalog'!$A:$A, 'Product Catalog'!$B:$B, "Unknown Product")</f>
        <v>Premium Stream 1M Model L115</v>
      </c>
      <c r="L450" s="1" t="str">
        <f>_xlfn.XLOOKUP(C450, 'Product Catalog'!$A:$A, 'Product Catalog'!$C:$C, "Unknown Category")</f>
        <v>Digital Services</v>
      </c>
      <c r="M450" s="1">
        <f>_xlfn.XLOOKUP(C450, 'Product Catalog'!$A:$A, 'Product Catalog'!$D:$D, 0)</f>
        <v>62.86</v>
      </c>
      <c r="N450" s="1">
        <f t="shared" ref="N450:N513" si="15">D450 * M450</f>
        <v>62.86</v>
      </c>
    </row>
    <row r="451" spans="1:14" x14ac:dyDescent="0.3">
      <c r="A451" s="1" t="s">
        <v>857</v>
      </c>
      <c r="B451" s="1" t="s">
        <v>180</v>
      </c>
      <c r="C451" s="1" t="s">
        <v>18</v>
      </c>
      <c r="D451" s="1">
        <v>1</v>
      </c>
      <c r="E451" s="12">
        <v>45743.695833333331</v>
      </c>
      <c r="F451" s="1" t="s">
        <v>12</v>
      </c>
      <c r="G451" s="1" t="s">
        <v>20</v>
      </c>
      <c r="H451" s="1" t="s">
        <v>41</v>
      </c>
      <c r="I451" s="1" t="s">
        <v>15</v>
      </c>
      <c r="J451" s="1" t="str">
        <f t="shared" si="14"/>
        <v>delivered</v>
      </c>
      <c r="K451" s="1" t="str">
        <f>_xlfn.XLOOKUP(C451, 'Product Catalog'!$A:$A, 'Product Catalog'!$B:$B, "Unknown Product")</f>
        <v>Sneakers Model H137</v>
      </c>
      <c r="L451" s="1" t="str">
        <f>_xlfn.XLOOKUP(C451, 'Product Catalog'!$A:$A, 'Product Catalog'!$C:$C, "Unknown Category")</f>
        <v>Apparel</v>
      </c>
      <c r="M451" s="1">
        <f>_xlfn.XLOOKUP(C451, 'Product Catalog'!$A:$A, 'Product Catalog'!$D:$D, 0)</f>
        <v>33.53</v>
      </c>
      <c r="N451" s="1">
        <f t="shared" si="15"/>
        <v>33.53</v>
      </c>
    </row>
    <row r="452" spans="1:14" x14ac:dyDescent="0.3">
      <c r="A452" s="1" t="s">
        <v>858</v>
      </c>
      <c r="B452" s="1" t="s">
        <v>859</v>
      </c>
      <c r="C452" s="1" t="s">
        <v>87</v>
      </c>
      <c r="D452" s="1">
        <v>1</v>
      </c>
      <c r="E452" s="12">
        <v>45805.199305555558</v>
      </c>
      <c r="F452" s="1" t="s">
        <v>12</v>
      </c>
      <c r="G452" s="1" t="s">
        <v>13</v>
      </c>
      <c r="H452" s="1" t="s">
        <v>14</v>
      </c>
      <c r="I452" s="1" t="s">
        <v>15</v>
      </c>
      <c r="J452" s="1" t="str">
        <f t="shared" si="14"/>
        <v>delivered</v>
      </c>
      <c r="K452" s="1" t="str">
        <f>_xlfn.XLOOKUP(C452, 'Product Catalog'!$A:$A, 'Product Catalog'!$B:$B, "Unknown Product")</f>
        <v>T-Shirt Model S122</v>
      </c>
      <c r="L452" s="1" t="str">
        <f>_xlfn.XLOOKUP(C452, 'Product Catalog'!$A:$A, 'Product Catalog'!$C:$C, "Unknown Category")</f>
        <v>Apparel</v>
      </c>
      <c r="M452" s="1">
        <f>_xlfn.XLOOKUP(C452, 'Product Catalog'!$A:$A, 'Product Catalog'!$D:$D, 0)</f>
        <v>15.08</v>
      </c>
      <c r="N452" s="1">
        <f t="shared" si="15"/>
        <v>15.08</v>
      </c>
    </row>
    <row r="453" spans="1:14" x14ac:dyDescent="0.3">
      <c r="A453" s="1" t="s">
        <v>860</v>
      </c>
      <c r="B453" s="1" t="s">
        <v>745</v>
      </c>
      <c r="C453" s="1" t="s">
        <v>337</v>
      </c>
      <c r="D453" s="1">
        <v>1</v>
      </c>
      <c r="E453" s="12">
        <v>45753.447222222225</v>
      </c>
      <c r="F453" s="1" t="s">
        <v>19</v>
      </c>
      <c r="G453" s="1" t="s">
        <v>109</v>
      </c>
      <c r="H453" s="1" t="s">
        <v>41</v>
      </c>
      <c r="I453" s="1" t="s">
        <v>15</v>
      </c>
      <c r="J453" s="1" t="str">
        <f t="shared" si="14"/>
        <v>delivered</v>
      </c>
      <c r="K453" s="1" t="str">
        <f>_xlfn.XLOOKUP(C453, 'Product Catalog'!$A:$A, 'Product Catalog'!$B:$B, "Unknown Product")</f>
        <v>Webcam Model Z103</v>
      </c>
      <c r="L453" s="1" t="str">
        <f>_xlfn.XLOOKUP(C453, 'Product Catalog'!$A:$A, 'Product Catalog'!$C:$C, "Unknown Category")</f>
        <v>Electronics</v>
      </c>
      <c r="M453" s="1">
        <f>_xlfn.XLOOKUP(C453, 'Product Catalog'!$A:$A, 'Product Catalog'!$D:$D, 0)</f>
        <v>60.39</v>
      </c>
      <c r="N453" s="1">
        <f t="shared" si="15"/>
        <v>60.39</v>
      </c>
    </row>
    <row r="454" spans="1:14" x14ac:dyDescent="0.3">
      <c r="A454" s="1" t="s">
        <v>861</v>
      </c>
      <c r="B454" s="1" t="s">
        <v>734</v>
      </c>
      <c r="C454" s="1" t="s">
        <v>151</v>
      </c>
      <c r="D454" s="1">
        <v>1</v>
      </c>
      <c r="E454" s="12">
        <v>45888.880555555559</v>
      </c>
      <c r="F454" s="1" t="s">
        <v>12</v>
      </c>
      <c r="G454" s="1" t="s">
        <v>31</v>
      </c>
      <c r="H454" s="1" t="s">
        <v>41</v>
      </c>
      <c r="I454" s="1" t="s">
        <v>15</v>
      </c>
      <c r="J454" s="1" t="str">
        <f t="shared" si="14"/>
        <v>delivered</v>
      </c>
      <c r="K454" s="1" t="str">
        <f>_xlfn.XLOOKUP(C454, 'Product Catalog'!$A:$A, 'Product Catalog'!$B:$B, "Unknown Product")</f>
        <v>Hoodie Model R43</v>
      </c>
      <c r="L454" s="1" t="str">
        <f>_xlfn.XLOOKUP(C454, 'Product Catalog'!$A:$A, 'Product Catalog'!$C:$C, "Unknown Category")</f>
        <v>Apparel</v>
      </c>
      <c r="M454" s="1">
        <f>_xlfn.XLOOKUP(C454, 'Product Catalog'!$A:$A, 'Product Catalog'!$D:$D, 0)</f>
        <v>68.040000000000006</v>
      </c>
      <c r="N454" s="1">
        <f t="shared" si="15"/>
        <v>68.040000000000006</v>
      </c>
    </row>
    <row r="455" spans="1:14" x14ac:dyDescent="0.3">
      <c r="A455" s="1" t="s">
        <v>862</v>
      </c>
      <c r="B455" s="1" t="s">
        <v>807</v>
      </c>
      <c r="C455" s="1" t="s">
        <v>275</v>
      </c>
      <c r="D455" s="1">
        <v>4</v>
      </c>
      <c r="E455" s="12">
        <v>45685.510416666664</v>
      </c>
      <c r="F455" s="1" t="s">
        <v>19</v>
      </c>
      <c r="G455" s="1" t="s">
        <v>50</v>
      </c>
      <c r="H455" s="1" t="s">
        <v>51</v>
      </c>
      <c r="I455" s="1" t="s">
        <v>56</v>
      </c>
      <c r="J455" s="1" t="str">
        <f t="shared" si="14"/>
        <v>cancelled</v>
      </c>
      <c r="K455" s="1" t="str">
        <f>_xlfn.XLOOKUP(C455, 'Product Catalog'!$A:$A, 'Product Catalog'!$B:$B, "Unknown Product")</f>
        <v>Desk Lamp Model I112</v>
      </c>
      <c r="L455" s="1" t="str">
        <f>_xlfn.XLOOKUP(C455, 'Product Catalog'!$A:$A, 'Product Catalog'!$C:$C, "Unknown Category")</f>
        <v>Home Goods</v>
      </c>
      <c r="M455" s="1">
        <f>_xlfn.XLOOKUP(C455, 'Product Catalog'!$A:$A, 'Product Catalog'!$D:$D, 0)</f>
        <v>70.23</v>
      </c>
      <c r="N455" s="1">
        <f t="shared" si="15"/>
        <v>280.92</v>
      </c>
    </row>
    <row r="456" spans="1:14" x14ac:dyDescent="0.3">
      <c r="A456" s="1" t="s">
        <v>863</v>
      </c>
      <c r="B456" s="1" t="s">
        <v>121</v>
      </c>
      <c r="C456" s="1" t="s">
        <v>87</v>
      </c>
      <c r="D456" s="1">
        <v>1</v>
      </c>
      <c r="E456" s="12">
        <v>45662.688888888886</v>
      </c>
      <c r="F456" s="1" t="s">
        <v>12</v>
      </c>
      <c r="G456" s="1" t="s">
        <v>40</v>
      </c>
      <c r="H456" s="1" t="s">
        <v>51</v>
      </c>
      <c r="I456" s="1" t="s">
        <v>42</v>
      </c>
      <c r="J456" s="1" t="str">
        <f t="shared" si="14"/>
        <v>PENDING_REVIEW</v>
      </c>
      <c r="K456" s="1" t="str">
        <f>_xlfn.XLOOKUP(C456, 'Product Catalog'!$A:$A, 'Product Catalog'!$B:$B, "Unknown Product")</f>
        <v>T-Shirt Model S122</v>
      </c>
      <c r="L456" s="1" t="str">
        <f>_xlfn.XLOOKUP(C456, 'Product Catalog'!$A:$A, 'Product Catalog'!$C:$C, "Unknown Category")</f>
        <v>Apparel</v>
      </c>
      <c r="M456" s="1">
        <f>_xlfn.XLOOKUP(C456, 'Product Catalog'!$A:$A, 'Product Catalog'!$D:$D, 0)</f>
        <v>15.08</v>
      </c>
      <c r="N456" s="1">
        <f t="shared" si="15"/>
        <v>15.08</v>
      </c>
    </row>
    <row r="457" spans="1:14" x14ac:dyDescent="0.3">
      <c r="A457" s="1" t="s">
        <v>864</v>
      </c>
      <c r="B457" s="1" t="s">
        <v>376</v>
      </c>
      <c r="C457" s="1" t="s">
        <v>296</v>
      </c>
      <c r="D457" s="1">
        <v>1</v>
      </c>
      <c r="E457" s="12">
        <v>45727.277083333334</v>
      </c>
      <c r="F457" s="1" t="s">
        <v>12</v>
      </c>
      <c r="G457" s="1" t="s">
        <v>109</v>
      </c>
      <c r="H457" s="1" t="s">
        <v>41</v>
      </c>
      <c r="I457" s="1" t="s">
        <v>15</v>
      </c>
      <c r="J457" s="1" t="str">
        <f t="shared" si="14"/>
        <v>delivered</v>
      </c>
      <c r="K457" s="1" t="str">
        <f>_xlfn.XLOOKUP(C457, 'Product Catalog'!$A:$A, 'Product Catalog'!$B:$B, "Unknown Product")</f>
        <v>Socks Model K62</v>
      </c>
      <c r="L457" s="1" t="str">
        <f>_xlfn.XLOOKUP(C457, 'Product Catalog'!$A:$A, 'Product Catalog'!$C:$C, "Unknown Category")</f>
        <v>Apparel</v>
      </c>
      <c r="M457" s="1">
        <f>_xlfn.XLOOKUP(C457, 'Product Catalog'!$A:$A, 'Product Catalog'!$D:$D, 0)</f>
        <v>63.42</v>
      </c>
      <c r="N457" s="1">
        <f t="shared" si="15"/>
        <v>63.42</v>
      </c>
    </row>
    <row r="458" spans="1:14" x14ac:dyDescent="0.3">
      <c r="A458" s="1" t="s">
        <v>865</v>
      </c>
      <c r="B458" s="1" t="s">
        <v>376</v>
      </c>
      <c r="C458" s="1" t="s">
        <v>209</v>
      </c>
      <c r="D458" s="1">
        <v>5</v>
      </c>
      <c r="E458" s="12">
        <v>45854.798611111109</v>
      </c>
      <c r="F458" s="1" t="s">
        <v>39</v>
      </c>
      <c r="G458" s="1" t="s">
        <v>46</v>
      </c>
      <c r="H458" s="1" t="s">
        <v>51</v>
      </c>
      <c r="I458" s="1" t="s">
        <v>81</v>
      </c>
      <c r="J458" s="1" t="str">
        <f t="shared" si="14"/>
        <v>REFUNDED</v>
      </c>
      <c r="K458" s="1" t="str">
        <f>_xlfn.XLOOKUP(C458, 'Product Catalog'!$A:$A, 'Product Catalog'!$B:$B, "Unknown Product")</f>
        <v>Silk Scarf Model Z129</v>
      </c>
      <c r="L458" s="1" t="str">
        <f>_xlfn.XLOOKUP(C458, 'Product Catalog'!$A:$A, 'Product Catalog'!$C:$C, "Unknown Category")</f>
        <v>Luxury Goods</v>
      </c>
      <c r="M458" s="1">
        <f>_xlfn.XLOOKUP(C458, 'Product Catalog'!$A:$A, 'Product Catalog'!$D:$D, 0)</f>
        <v>1610</v>
      </c>
      <c r="N458" s="1">
        <f t="shared" si="15"/>
        <v>8050</v>
      </c>
    </row>
    <row r="459" spans="1:14" x14ac:dyDescent="0.3">
      <c r="A459" s="1" t="s">
        <v>866</v>
      </c>
      <c r="B459" s="1" t="s">
        <v>867</v>
      </c>
      <c r="C459" s="1" t="s">
        <v>131</v>
      </c>
      <c r="D459" s="1">
        <v>2</v>
      </c>
      <c r="E459" s="12">
        <v>45916.928472222222</v>
      </c>
      <c r="F459" s="1" t="s">
        <v>19</v>
      </c>
      <c r="G459" s="1" t="s">
        <v>13</v>
      </c>
      <c r="H459" s="1" t="s">
        <v>14</v>
      </c>
      <c r="I459" s="1" t="s">
        <v>15</v>
      </c>
      <c r="J459" s="1" t="str">
        <f t="shared" si="14"/>
        <v>delivered</v>
      </c>
      <c r="K459" s="1" t="str">
        <f>_xlfn.XLOOKUP(C459, 'Product Catalog'!$A:$A, 'Product Catalog'!$B:$B, "Unknown Product")</f>
        <v>Keyboard Model C28</v>
      </c>
      <c r="L459" s="1" t="str">
        <f>_xlfn.XLOOKUP(C459, 'Product Catalog'!$A:$A, 'Product Catalog'!$C:$C, "Unknown Category")</f>
        <v>Electronics</v>
      </c>
      <c r="M459" s="1">
        <f>_xlfn.XLOOKUP(C459, 'Product Catalog'!$A:$A, 'Product Catalog'!$D:$D, 0)</f>
        <v>162.44999999999999</v>
      </c>
      <c r="N459" s="1">
        <f t="shared" si="15"/>
        <v>324.89999999999998</v>
      </c>
    </row>
    <row r="460" spans="1:14" x14ac:dyDescent="0.3">
      <c r="A460" s="1" t="s">
        <v>868</v>
      </c>
      <c r="B460" s="1" t="s">
        <v>869</v>
      </c>
      <c r="C460" s="1" t="s">
        <v>740</v>
      </c>
      <c r="D460" s="1">
        <v>1</v>
      </c>
      <c r="E460" s="12">
        <v>45911.581250000003</v>
      </c>
      <c r="F460" s="1" t="s">
        <v>185</v>
      </c>
      <c r="G460" s="1" t="s">
        <v>109</v>
      </c>
      <c r="H460" s="1" t="s">
        <v>41</v>
      </c>
      <c r="I460" s="1" t="s">
        <v>15</v>
      </c>
      <c r="J460" s="1" t="str">
        <f t="shared" si="14"/>
        <v>delivered</v>
      </c>
      <c r="K460" s="1" t="str">
        <f>_xlfn.XLOOKUP(C460, 'Product Catalog'!$A:$A, 'Product Catalog'!$B:$B, "Unknown Product")</f>
        <v>Jacket Model S44</v>
      </c>
      <c r="L460" s="1" t="str">
        <f>_xlfn.XLOOKUP(C460, 'Product Catalog'!$A:$A, 'Product Catalog'!$C:$C, "Unknown Category")</f>
        <v>Apparel</v>
      </c>
      <c r="M460" s="1">
        <f>_xlfn.XLOOKUP(C460, 'Product Catalog'!$A:$A, 'Product Catalog'!$D:$D, 0)</f>
        <v>93.08</v>
      </c>
      <c r="N460" s="1">
        <f t="shared" si="15"/>
        <v>93.08</v>
      </c>
    </row>
    <row r="461" spans="1:14" x14ac:dyDescent="0.3">
      <c r="A461" s="1" t="s">
        <v>870</v>
      </c>
      <c r="B461" s="1" t="s">
        <v>395</v>
      </c>
      <c r="C461" s="1" t="s">
        <v>527</v>
      </c>
      <c r="D461" s="1">
        <v>1</v>
      </c>
      <c r="E461" s="12">
        <v>46008.699305555558</v>
      </c>
      <c r="F461" s="1" t="s">
        <v>39</v>
      </c>
      <c r="G461" s="1" t="s">
        <v>40</v>
      </c>
      <c r="H461" s="1" t="s">
        <v>51</v>
      </c>
      <c r="I461" s="1" t="s">
        <v>81</v>
      </c>
      <c r="J461" s="1" t="str">
        <f t="shared" si="14"/>
        <v>REFUNDED</v>
      </c>
      <c r="K461" s="1" t="str">
        <f>_xlfn.XLOOKUP(C461, 'Product Catalog'!$A:$A, 'Product Catalog'!$B:$B, "Unknown Product")</f>
        <v>Leather Handbag Model S96</v>
      </c>
      <c r="L461" s="1" t="str">
        <f>_xlfn.XLOOKUP(C461, 'Product Catalog'!$A:$A, 'Product Catalog'!$C:$C, "Unknown Category")</f>
        <v>Luxury Goods</v>
      </c>
      <c r="M461" s="1">
        <f>_xlfn.XLOOKUP(C461, 'Product Catalog'!$A:$A, 'Product Catalog'!$D:$D, 0)</f>
        <v>2336.6799999999998</v>
      </c>
      <c r="N461" s="1">
        <f t="shared" si="15"/>
        <v>2336.6799999999998</v>
      </c>
    </row>
    <row r="462" spans="1:14" x14ac:dyDescent="0.3">
      <c r="A462" s="1" t="s">
        <v>871</v>
      </c>
      <c r="B462" s="1" t="s">
        <v>838</v>
      </c>
      <c r="C462" s="1" t="s">
        <v>224</v>
      </c>
      <c r="D462" s="1">
        <v>5</v>
      </c>
      <c r="E462" s="12">
        <v>45870.631249999999</v>
      </c>
      <c r="F462" s="1" t="s">
        <v>19</v>
      </c>
      <c r="G462" s="1" t="s">
        <v>40</v>
      </c>
      <c r="H462" s="1" t="s">
        <v>55</v>
      </c>
      <c r="I462" s="1" t="s">
        <v>56</v>
      </c>
      <c r="J462" s="1" t="str">
        <f t="shared" si="14"/>
        <v>cancelled</v>
      </c>
      <c r="K462" s="1" t="str">
        <f>_xlfn.XLOOKUP(C462, 'Product Catalog'!$A:$A, 'Product Catalog'!$B:$B, "Unknown Product")</f>
        <v>Organizer Model P93</v>
      </c>
      <c r="L462" s="1" t="str">
        <f>_xlfn.XLOOKUP(C462, 'Product Catalog'!$A:$A, 'Product Catalog'!$C:$C, "Unknown Category")</f>
        <v>Home Goods</v>
      </c>
      <c r="M462" s="1">
        <f>_xlfn.XLOOKUP(C462, 'Product Catalog'!$A:$A, 'Product Catalog'!$D:$D, 0)</f>
        <v>175.55</v>
      </c>
      <c r="N462" s="1">
        <f t="shared" si="15"/>
        <v>877.75</v>
      </c>
    </row>
    <row r="463" spans="1:14" x14ac:dyDescent="0.3">
      <c r="A463" s="1" t="s">
        <v>872</v>
      </c>
      <c r="B463" s="1" t="s">
        <v>147</v>
      </c>
      <c r="C463" s="1" t="s">
        <v>560</v>
      </c>
      <c r="D463" s="1">
        <v>2</v>
      </c>
      <c r="E463" s="12">
        <v>45908.237500000003</v>
      </c>
      <c r="F463" s="1" t="s">
        <v>19</v>
      </c>
      <c r="G463" s="1" t="s">
        <v>46</v>
      </c>
      <c r="H463" s="1" t="s">
        <v>14</v>
      </c>
      <c r="I463" s="1" t="s">
        <v>42</v>
      </c>
      <c r="J463" s="1" t="str">
        <f t="shared" si="14"/>
        <v>PENDING_REVIEW</v>
      </c>
      <c r="K463" s="1" t="str">
        <f>_xlfn.XLOOKUP(C463, 'Product Catalog'!$A:$A, 'Product Catalog'!$B:$B, "Unknown Product")</f>
        <v>Cloud Storage Basic Model P41</v>
      </c>
      <c r="L463" s="1" t="str">
        <f>_xlfn.XLOOKUP(C463, 'Product Catalog'!$A:$A, 'Product Catalog'!$C:$C, "Unknown Category")</f>
        <v>Digital Services</v>
      </c>
      <c r="M463" s="1">
        <f>_xlfn.XLOOKUP(C463, 'Product Catalog'!$A:$A, 'Product Catalog'!$D:$D, 0)</f>
        <v>96.93</v>
      </c>
      <c r="N463" s="1">
        <f t="shared" si="15"/>
        <v>193.86</v>
      </c>
    </row>
    <row r="464" spans="1:14" x14ac:dyDescent="0.3">
      <c r="A464" s="1" t="s">
        <v>873</v>
      </c>
      <c r="B464" s="1" t="s">
        <v>874</v>
      </c>
      <c r="C464" s="1" t="s">
        <v>592</v>
      </c>
      <c r="D464" s="1">
        <v>1</v>
      </c>
      <c r="E464" s="12">
        <v>45700.803472222222</v>
      </c>
      <c r="F464" s="1" t="s">
        <v>19</v>
      </c>
      <c r="G464" s="1" t="s">
        <v>20</v>
      </c>
      <c r="H464" s="1" t="s">
        <v>24</v>
      </c>
      <c r="I464" s="1" t="s">
        <v>15</v>
      </c>
      <c r="J464" s="1" t="str">
        <f t="shared" si="14"/>
        <v>delivered</v>
      </c>
      <c r="K464" s="1" t="str">
        <f>_xlfn.XLOOKUP(C464, 'Product Catalog'!$A:$A, 'Product Catalog'!$B:$B, "Unknown Product")</f>
        <v>Blender Model Q94</v>
      </c>
      <c r="L464" s="1" t="str">
        <f>_xlfn.XLOOKUP(C464, 'Product Catalog'!$A:$A, 'Product Catalog'!$C:$C, "Unknown Category")</f>
        <v>Home Goods</v>
      </c>
      <c r="M464" s="1">
        <f>_xlfn.XLOOKUP(C464, 'Product Catalog'!$A:$A, 'Product Catalog'!$D:$D, 0)</f>
        <v>129.13</v>
      </c>
      <c r="N464" s="1">
        <f t="shared" si="15"/>
        <v>129.13</v>
      </c>
    </row>
    <row r="465" spans="1:14" x14ac:dyDescent="0.3">
      <c r="A465" s="1" t="s">
        <v>875</v>
      </c>
      <c r="B465" s="1" t="s">
        <v>827</v>
      </c>
      <c r="C465" s="1" t="s">
        <v>71</v>
      </c>
      <c r="D465" s="1">
        <v>1</v>
      </c>
      <c r="E465" s="12">
        <v>45673.313194444447</v>
      </c>
      <c r="F465" s="1" t="s">
        <v>19</v>
      </c>
      <c r="G465" s="1" t="s">
        <v>13</v>
      </c>
      <c r="H465" s="1" t="s">
        <v>14</v>
      </c>
      <c r="I465" s="1" t="s">
        <v>15</v>
      </c>
      <c r="J465" s="1" t="str">
        <f t="shared" si="14"/>
        <v>delivered</v>
      </c>
      <c r="K465" s="1" t="str">
        <f>_xlfn.XLOOKUP(C465, 'Product Catalog'!$A:$A, 'Product Catalog'!$B:$B, "Unknown Product")</f>
        <v>VPN 6-Month Pass Model D29</v>
      </c>
      <c r="L465" s="1" t="str">
        <f>_xlfn.XLOOKUP(C465, 'Product Catalog'!$A:$A, 'Product Catalog'!$C:$C, "Unknown Category")</f>
        <v>Digital Services</v>
      </c>
      <c r="M465" s="1">
        <f>_xlfn.XLOOKUP(C465, 'Product Catalog'!$A:$A, 'Product Catalog'!$D:$D, 0)</f>
        <v>10.97</v>
      </c>
      <c r="N465" s="1">
        <f t="shared" si="15"/>
        <v>10.97</v>
      </c>
    </row>
    <row r="466" spans="1:14" x14ac:dyDescent="0.3">
      <c r="A466" s="1" t="s">
        <v>876</v>
      </c>
      <c r="B466" s="1" t="s">
        <v>877</v>
      </c>
      <c r="C466" s="1" t="s">
        <v>143</v>
      </c>
      <c r="D466" s="1">
        <v>1</v>
      </c>
      <c r="E466" s="12">
        <v>45807.04583333333</v>
      </c>
      <c r="F466" s="1" t="s">
        <v>170</v>
      </c>
      <c r="G466" s="1" t="s">
        <v>40</v>
      </c>
      <c r="H466" s="1" t="s">
        <v>55</v>
      </c>
      <c r="I466" s="1" t="s">
        <v>102</v>
      </c>
      <c r="J466" s="1" t="str">
        <f t="shared" si="14"/>
        <v>disputed</v>
      </c>
      <c r="K466" s="1" t="str">
        <f>_xlfn.XLOOKUP(C466, 'Product Catalog'!$A:$A, 'Product Catalog'!$B:$B, "Unknown Product")</f>
        <v>Designer Watch Model D3</v>
      </c>
      <c r="L466" s="1" t="str">
        <f>_xlfn.XLOOKUP(C466, 'Product Catalog'!$A:$A, 'Product Catalog'!$C:$C, "Unknown Category")</f>
        <v>Luxury Goods</v>
      </c>
      <c r="M466" s="1">
        <f>_xlfn.XLOOKUP(C466, 'Product Catalog'!$A:$A, 'Product Catalog'!$D:$D, 0)</f>
        <v>1599.08</v>
      </c>
      <c r="N466" s="1">
        <f t="shared" si="15"/>
        <v>1599.08</v>
      </c>
    </row>
    <row r="467" spans="1:14" x14ac:dyDescent="0.3">
      <c r="A467" s="1" t="s">
        <v>878</v>
      </c>
      <c r="B467" s="1" t="s">
        <v>572</v>
      </c>
      <c r="C467" s="1" t="s">
        <v>879</v>
      </c>
      <c r="D467" s="1">
        <v>1</v>
      </c>
      <c r="E467" s="12">
        <v>45798.319444444445</v>
      </c>
      <c r="F467" s="1" t="s">
        <v>19</v>
      </c>
      <c r="G467" s="1" t="s">
        <v>13</v>
      </c>
      <c r="H467" s="1" t="s">
        <v>14</v>
      </c>
      <c r="I467" s="1" t="s">
        <v>56</v>
      </c>
      <c r="J467" s="1" t="str">
        <f t="shared" si="14"/>
        <v>cancelled</v>
      </c>
      <c r="K467" s="1" t="str">
        <f>_xlfn.XLOOKUP(C467, 'Product Catalog'!$A:$A, 'Product Catalog'!$B:$B, "Unknown Product")</f>
        <v>Toaster Model I8</v>
      </c>
      <c r="L467" s="1" t="str">
        <f>_xlfn.XLOOKUP(C467, 'Product Catalog'!$A:$A, 'Product Catalog'!$C:$C, "Unknown Category")</f>
        <v>Home Goods</v>
      </c>
      <c r="M467" s="1">
        <f>_xlfn.XLOOKUP(C467, 'Product Catalog'!$A:$A, 'Product Catalog'!$D:$D, 0)</f>
        <v>44.88</v>
      </c>
      <c r="N467" s="1">
        <f t="shared" si="15"/>
        <v>44.88</v>
      </c>
    </row>
    <row r="468" spans="1:14" x14ac:dyDescent="0.3">
      <c r="A468" s="1" t="s">
        <v>880</v>
      </c>
      <c r="B468" s="1" t="s">
        <v>333</v>
      </c>
      <c r="C468" s="1" t="s">
        <v>817</v>
      </c>
      <c r="D468" s="1">
        <v>3</v>
      </c>
      <c r="E468" s="12">
        <v>45933.410416666666</v>
      </c>
      <c r="F468" s="1" t="s">
        <v>19</v>
      </c>
      <c r="G468" s="1" t="s">
        <v>46</v>
      </c>
      <c r="H468" s="1" t="s">
        <v>14</v>
      </c>
      <c r="I468" s="1" t="s">
        <v>15</v>
      </c>
      <c r="J468" s="1" t="str">
        <f t="shared" si="14"/>
        <v>delivered</v>
      </c>
      <c r="K468" s="1" t="str">
        <f>_xlfn.XLOOKUP(C468, 'Product Catalog'!$A:$A, 'Product Catalog'!$B:$B, "Unknown Product")</f>
        <v>Desk Lamp Model D81</v>
      </c>
      <c r="L468" s="1" t="str">
        <f>_xlfn.XLOOKUP(C468, 'Product Catalog'!$A:$A, 'Product Catalog'!$C:$C, "Unknown Category")</f>
        <v>Home Goods</v>
      </c>
      <c r="M468" s="1">
        <f>_xlfn.XLOOKUP(C468, 'Product Catalog'!$A:$A, 'Product Catalog'!$D:$D, 0)</f>
        <v>177.42</v>
      </c>
      <c r="N468" s="1">
        <f t="shared" si="15"/>
        <v>532.26</v>
      </c>
    </row>
    <row r="469" spans="1:14" x14ac:dyDescent="0.3">
      <c r="A469" s="1" t="s">
        <v>881</v>
      </c>
      <c r="B469" s="1" t="s">
        <v>882</v>
      </c>
      <c r="C469" s="1" t="s">
        <v>131</v>
      </c>
      <c r="D469" s="1">
        <v>4</v>
      </c>
      <c r="E469" s="12">
        <v>45744.65</v>
      </c>
      <c r="F469" s="1" t="s">
        <v>12</v>
      </c>
      <c r="G469" s="1" t="s">
        <v>50</v>
      </c>
      <c r="H469" s="1" t="s">
        <v>55</v>
      </c>
      <c r="I469" s="1" t="s">
        <v>56</v>
      </c>
      <c r="J469" s="1" t="str">
        <f t="shared" si="14"/>
        <v>cancelled</v>
      </c>
      <c r="K469" s="1" t="str">
        <f>_xlfn.XLOOKUP(C469, 'Product Catalog'!$A:$A, 'Product Catalog'!$B:$B, "Unknown Product")</f>
        <v>Keyboard Model C28</v>
      </c>
      <c r="L469" s="1" t="str">
        <f>_xlfn.XLOOKUP(C469, 'Product Catalog'!$A:$A, 'Product Catalog'!$C:$C, "Unknown Category")</f>
        <v>Electronics</v>
      </c>
      <c r="M469" s="1">
        <f>_xlfn.XLOOKUP(C469, 'Product Catalog'!$A:$A, 'Product Catalog'!$D:$D, 0)</f>
        <v>162.44999999999999</v>
      </c>
      <c r="N469" s="1">
        <f t="shared" si="15"/>
        <v>649.79999999999995</v>
      </c>
    </row>
    <row r="470" spans="1:14" x14ac:dyDescent="0.3">
      <c r="A470" s="1" t="s">
        <v>883</v>
      </c>
      <c r="B470" s="1" t="s">
        <v>277</v>
      </c>
      <c r="C470" s="1" t="s">
        <v>492</v>
      </c>
      <c r="D470" s="1">
        <v>1</v>
      </c>
      <c r="E470" s="12">
        <v>45947.70416666667</v>
      </c>
      <c r="F470" s="1" t="s">
        <v>39</v>
      </c>
      <c r="G470" s="1" t="s">
        <v>40</v>
      </c>
      <c r="H470" s="1" t="s">
        <v>51</v>
      </c>
      <c r="I470" s="1" t="s">
        <v>102</v>
      </c>
      <c r="J470" s="1" t="str">
        <f t="shared" si="14"/>
        <v>disputed</v>
      </c>
      <c r="K470" s="1" t="str">
        <f>_xlfn.XLOOKUP(C470, 'Product Catalog'!$A:$A, 'Product Catalog'!$B:$B, "Unknown Product")</f>
        <v>Blender Model Q16</v>
      </c>
      <c r="L470" s="1" t="str">
        <f>_xlfn.XLOOKUP(C470, 'Product Catalog'!$A:$A, 'Product Catalog'!$C:$C, "Unknown Category")</f>
        <v>Home Goods</v>
      </c>
      <c r="M470" s="1">
        <f>_xlfn.XLOOKUP(C470, 'Product Catalog'!$A:$A, 'Product Catalog'!$D:$D, 0)</f>
        <v>79.23</v>
      </c>
      <c r="N470" s="1">
        <f t="shared" si="15"/>
        <v>79.23</v>
      </c>
    </row>
    <row r="471" spans="1:14" x14ac:dyDescent="0.3">
      <c r="A471" s="1" t="s">
        <v>884</v>
      </c>
      <c r="B471" s="1" t="s">
        <v>342</v>
      </c>
      <c r="C471" s="1" t="s">
        <v>560</v>
      </c>
      <c r="D471" s="1">
        <v>1</v>
      </c>
      <c r="E471" s="12">
        <v>45939.726388888892</v>
      </c>
      <c r="F471" s="1" t="s">
        <v>19</v>
      </c>
      <c r="G471" s="1" t="s">
        <v>31</v>
      </c>
      <c r="H471" s="1" t="s">
        <v>41</v>
      </c>
      <c r="I471" s="1" t="s">
        <v>42</v>
      </c>
      <c r="J471" s="1" t="str">
        <f t="shared" si="14"/>
        <v>PENDING_REVIEW</v>
      </c>
      <c r="K471" s="1" t="str">
        <f>_xlfn.XLOOKUP(C471, 'Product Catalog'!$A:$A, 'Product Catalog'!$B:$B, "Unknown Product")</f>
        <v>Cloud Storage Basic Model P41</v>
      </c>
      <c r="L471" s="1" t="str">
        <f>_xlfn.XLOOKUP(C471, 'Product Catalog'!$A:$A, 'Product Catalog'!$C:$C, "Unknown Category")</f>
        <v>Digital Services</v>
      </c>
      <c r="M471" s="1">
        <f>_xlfn.XLOOKUP(C471, 'Product Catalog'!$A:$A, 'Product Catalog'!$D:$D, 0)</f>
        <v>96.93</v>
      </c>
      <c r="N471" s="1">
        <f t="shared" si="15"/>
        <v>96.93</v>
      </c>
    </row>
    <row r="472" spans="1:14" x14ac:dyDescent="0.3">
      <c r="A472" s="1" t="s">
        <v>885</v>
      </c>
      <c r="B472" s="1" t="s">
        <v>886</v>
      </c>
      <c r="C472" s="1" t="s">
        <v>77</v>
      </c>
      <c r="D472" s="1">
        <v>1</v>
      </c>
      <c r="E472" s="12">
        <v>45715.813888888886</v>
      </c>
      <c r="F472" s="1" t="s">
        <v>19</v>
      </c>
      <c r="G472" s="1" t="s">
        <v>13</v>
      </c>
      <c r="H472" s="1" t="s">
        <v>14</v>
      </c>
      <c r="I472" s="1" t="s">
        <v>15</v>
      </c>
      <c r="J472" s="1" t="str">
        <f t="shared" si="14"/>
        <v>delivered</v>
      </c>
      <c r="K472" s="1" t="str">
        <f>_xlfn.XLOOKUP(C472, 'Product Catalog'!$A:$A, 'Product Catalog'!$B:$B, "Unknown Product")</f>
        <v>Mug Model E108</v>
      </c>
      <c r="L472" s="1" t="str">
        <f>_xlfn.XLOOKUP(C472, 'Product Catalog'!$A:$A, 'Product Catalog'!$C:$C, "Unknown Category")</f>
        <v>Home Goods</v>
      </c>
      <c r="M472" s="1">
        <f>_xlfn.XLOOKUP(C472, 'Product Catalog'!$A:$A, 'Product Catalog'!$D:$D, 0)</f>
        <v>116.99</v>
      </c>
      <c r="N472" s="1">
        <f t="shared" si="15"/>
        <v>116.99</v>
      </c>
    </row>
    <row r="473" spans="1:14" x14ac:dyDescent="0.3">
      <c r="A473" s="1" t="s">
        <v>887</v>
      </c>
      <c r="B473" s="1" t="s">
        <v>888</v>
      </c>
      <c r="C473" s="1" t="s">
        <v>758</v>
      </c>
      <c r="D473" s="1">
        <v>2</v>
      </c>
      <c r="E473" s="12">
        <v>45716.380555555559</v>
      </c>
      <c r="F473" s="1" t="s">
        <v>19</v>
      </c>
      <c r="G473" s="1" t="s">
        <v>109</v>
      </c>
      <c r="H473" s="1" t="s">
        <v>41</v>
      </c>
      <c r="I473" s="1" t="s">
        <v>15</v>
      </c>
      <c r="J473" s="1" t="str">
        <f t="shared" si="14"/>
        <v>delivered</v>
      </c>
      <c r="K473" s="1" t="str">
        <f>_xlfn.XLOOKUP(C473, 'Product Catalog'!$A:$A, 'Product Catalog'!$B:$B, "Unknown Product")</f>
        <v>Cloud Storage Basic Model G110</v>
      </c>
      <c r="L473" s="1" t="str">
        <f>_xlfn.XLOOKUP(C473, 'Product Catalog'!$A:$A, 'Product Catalog'!$C:$C, "Unknown Category")</f>
        <v>Digital Services</v>
      </c>
      <c r="M473" s="1">
        <f>_xlfn.XLOOKUP(C473, 'Product Catalog'!$A:$A, 'Product Catalog'!$D:$D, 0)</f>
        <v>53.87</v>
      </c>
      <c r="N473" s="1">
        <f t="shared" si="15"/>
        <v>107.74</v>
      </c>
    </row>
    <row r="474" spans="1:14" x14ac:dyDescent="0.3">
      <c r="A474" s="1" t="s">
        <v>889</v>
      </c>
      <c r="B474" s="1" t="s">
        <v>53</v>
      </c>
      <c r="C474" s="1" t="s">
        <v>84</v>
      </c>
      <c r="D474" s="1">
        <v>1</v>
      </c>
      <c r="E474" s="12">
        <v>45936.521527777775</v>
      </c>
      <c r="F474" s="1" t="s">
        <v>19</v>
      </c>
      <c r="G474" s="1" t="s">
        <v>109</v>
      </c>
      <c r="H474" s="1" t="s">
        <v>41</v>
      </c>
      <c r="I474" s="1" t="s">
        <v>15</v>
      </c>
      <c r="J474" s="1" t="str">
        <f t="shared" si="14"/>
        <v>delivered</v>
      </c>
      <c r="K474" s="1" t="str">
        <f>_xlfn.XLOOKUP(C474, 'Product Catalog'!$A:$A, 'Product Catalog'!$B:$B, "Unknown Product")</f>
        <v>Smartwatch Model J35</v>
      </c>
      <c r="L474" s="1" t="str">
        <f>_xlfn.XLOOKUP(C474, 'Product Catalog'!$A:$A, 'Product Catalog'!$C:$C, "Unknown Category")</f>
        <v>Electronics</v>
      </c>
      <c r="M474" s="1">
        <f>_xlfn.XLOOKUP(C474, 'Product Catalog'!$A:$A, 'Product Catalog'!$D:$D, 0)</f>
        <v>161.94999999999999</v>
      </c>
      <c r="N474" s="1">
        <f t="shared" si="15"/>
        <v>161.94999999999999</v>
      </c>
    </row>
    <row r="475" spans="1:14" x14ac:dyDescent="0.3">
      <c r="A475" s="1" t="s">
        <v>890</v>
      </c>
      <c r="B475" s="1" t="s">
        <v>891</v>
      </c>
      <c r="C475" s="1" t="s">
        <v>216</v>
      </c>
      <c r="D475" s="1">
        <v>4</v>
      </c>
      <c r="E475" s="12">
        <v>45935.059027777781</v>
      </c>
      <c r="F475" s="1" t="s">
        <v>39</v>
      </c>
      <c r="G475" s="1" t="s">
        <v>50</v>
      </c>
      <c r="H475" s="1" t="s">
        <v>41</v>
      </c>
      <c r="I475" s="1" t="s">
        <v>42</v>
      </c>
      <c r="J475" s="1" t="str">
        <f t="shared" si="14"/>
        <v>PENDING_REVIEW</v>
      </c>
      <c r="K475" s="1" t="str">
        <f>_xlfn.XLOOKUP(C475, 'Product Catalog'!$A:$A, 'Product Catalog'!$B:$B, "Unknown Product")</f>
        <v>Premium Perfume Model X23</v>
      </c>
      <c r="L475" s="1" t="str">
        <f>_xlfn.XLOOKUP(C475, 'Product Catalog'!$A:$A, 'Product Catalog'!$C:$C, "Unknown Category")</f>
        <v>Luxury Goods</v>
      </c>
      <c r="M475" s="1">
        <f>_xlfn.XLOOKUP(C475, 'Product Catalog'!$A:$A, 'Product Catalog'!$D:$D, 0)</f>
        <v>767.78</v>
      </c>
      <c r="N475" s="1">
        <f t="shared" si="15"/>
        <v>3071.12</v>
      </c>
    </row>
    <row r="476" spans="1:14" x14ac:dyDescent="0.3">
      <c r="A476" s="1" t="s">
        <v>892</v>
      </c>
      <c r="B476" s="1" t="s">
        <v>422</v>
      </c>
      <c r="C476" s="1" t="s">
        <v>565</v>
      </c>
      <c r="D476" s="1">
        <v>1</v>
      </c>
      <c r="E476" s="12">
        <v>45883.776388888888</v>
      </c>
      <c r="F476" s="1" t="s">
        <v>19</v>
      </c>
      <c r="G476" s="1" t="s">
        <v>13</v>
      </c>
      <c r="H476" s="1" t="s">
        <v>14</v>
      </c>
      <c r="I476" s="1" t="s">
        <v>15</v>
      </c>
      <c r="J476" s="1" t="str">
        <f t="shared" si="14"/>
        <v>delivered</v>
      </c>
      <c r="K476" s="1" t="str">
        <f>_xlfn.XLOOKUP(C476, 'Product Catalog'!$A:$A, 'Product Catalog'!$B:$B, "Unknown Product")</f>
        <v>Mug Model X75</v>
      </c>
      <c r="L476" s="1" t="str">
        <f>_xlfn.XLOOKUP(C476, 'Product Catalog'!$A:$A, 'Product Catalog'!$C:$C, "Unknown Category")</f>
        <v>Home Goods</v>
      </c>
      <c r="M476" s="1">
        <f>_xlfn.XLOOKUP(C476, 'Product Catalog'!$A:$A, 'Product Catalog'!$D:$D, 0)</f>
        <v>40.94</v>
      </c>
      <c r="N476" s="1">
        <f t="shared" si="15"/>
        <v>40.94</v>
      </c>
    </row>
    <row r="477" spans="1:14" x14ac:dyDescent="0.3">
      <c r="A477" s="1" t="s">
        <v>893</v>
      </c>
      <c r="B477" s="1" t="s">
        <v>894</v>
      </c>
      <c r="C477" s="1" t="s">
        <v>190</v>
      </c>
      <c r="D477" s="1">
        <v>1</v>
      </c>
      <c r="E477" s="12">
        <v>45769.604166666664</v>
      </c>
      <c r="F477" s="1" t="s">
        <v>19</v>
      </c>
      <c r="G477" s="1" t="s">
        <v>31</v>
      </c>
      <c r="H477" s="1" t="s">
        <v>55</v>
      </c>
      <c r="I477" s="1" t="s">
        <v>56</v>
      </c>
      <c r="J477" s="1" t="str">
        <f t="shared" si="14"/>
        <v>cancelled</v>
      </c>
      <c r="K477" s="1" t="str">
        <f>_xlfn.XLOOKUP(C477, 'Product Catalog'!$A:$A, 'Product Catalog'!$B:$B, "Unknown Product")</f>
        <v>Silk Scarf Model A52</v>
      </c>
      <c r="L477" s="1" t="str">
        <f>_xlfn.XLOOKUP(C477, 'Product Catalog'!$A:$A, 'Product Catalog'!$C:$C, "Unknown Category")</f>
        <v>Luxury Goods</v>
      </c>
      <c r="M477" s="1">
        <f>_xlfn.XLOOKUP(C477, 'Product Catalog'!$A:$A, 'Product Catalog'!$D:$D, 0)</f>
        <v>1339.88</v>
      </c>
      <c r="N477" s="1">
        <f t="shared" si="15"/>
        <v>1339.88</v>
      </c>
    </row>
    <row r="478" spans="1:14" x14ac:dyDescent="0.3">
      <c r="A478" s="1" t="s">
        <v>895</v>
      </c>
      <c r="B478" s="1" t="s">
        <v>114</v>
      </c>
      <c r="C478" s="1" t="s">
        <v>782</v>
      </c>
      <c r="D478" s="1">
        <v>1</v>
      </c>
      <c r="E478" s="12">
        <v>45710.929166666669</v>
      </c>
      <c r="F478" s="1" t="s">
        <v>12</v>
      </c>
      <c r="G478" s="1" t="s">
        <v>31</v>
      </c>
      <c r="H478" s="1" t="s">
        <v>24</v>
      </c>
      <c r="I478" s="1" t="s">
        <v>15</v>
      </c>
      <c r="J478" s="1" t="str">
        <f t="shared" si="14"/>
        <v>delivered</v>
      </c>
      <c r="K478" s="1" t="str">
        <f>_xlfn.XLOOKUP(C478, 'Product Catalog'!$A:$A, 'Product Catalog'!$B:$B, "Unknown Product")</f>
        <v>Headphones Model V47</v>
      </c>
      <c r="L478" s="1" t="str">
        <f>_xlfn.XLOOKUP(C478, 'Product Catalog'!$A:$A, 'Product Catalog'!$C:$C, "Unknown Category")</f>
        <v>Electronics</v>
      </c>
      <c r="M478" s="1">
        <f>_xlfn.XLOOKUP(C478, 'Product Catalog'!$A:$A, 'Product Catalog'!$D:$D, 0)</f>
        <v>19.940000000000001</v>
      </c>
      <c r="N478" s="1">
        <f t="shared" si="15"/>
        <v>19.940000000000001</v>
      </c>
    </row>
    <row r="479" spans="1:14" x14ac:dyDescent="0.3">
      <c r="A479" s="1" t="s">
        <v>896</v>
      </c>
      <c r="B479" s="1" t="s">
        <v>897</v>
      </c>
      <c r="C479" s="1" t="s">
        <v>173</v>
      </c>
      <c r="D479" s="1">
        <v>1</v>
      </c>
      <c r="E479" s="12">
        <v>45784.42291666667</v>
      </c>
      <c r="F479" s="1" t="s">
        <v>12</v>
      </c>
      <c r="G479" s="1" t="s">
        <v>46</v>
      </c>
      <c r="H479" s="1" t="s">
        <v>55</v>
      </c>
      <c r="I479" s="1" t="s">
        <v>56</v>
      </c>
      <c r="J479" s="1" t="str">
        <f t="shared" si="14"/>
        <v>cancelled</v>
      </c>
      <c r="K479" s="1" t="str">
        <f>_xlfn.XLOOKUP(C479, 'Product Catalog'!$A:$A, 'Product Catalog'!$B:$B, "Unknown Product")</f>
        <v>Premium Perfume Model Q120</v>
      </c>
      <c r="L479" s="1" t="str">
        <f>_xlfn.XLOOKUP(C479, 'Product Catalog'!$A:$A, 'Product Catalog'!$C:$C, "Unknown Category")</f>
        <v>Luxury Goods</v>
      </c>
      <c r="M479" s="1">
        <f>_xlfn.XLOOKUP(C479, 'Product Catalog'!$A:$A, 'Product Catalog'!$D:$D, 0)</f>
        <v>505.45</v>
      </c>
      <c r="N479" s="1">
        <f t="shared" si="15"/>
        <v>505.45</v>
      </c>
    </row>
    <row r="480" spans="1:14" x14ac:dyDescent="0.3">
      <c r="A480" s="1" t="s">
        <v>898</v>
      </c>
      <c r="B480" s="1" t="s">
        <v>656</v>
      </c>
      <c r="C480" s="1" t="s">
        <v>452</v>
      </c>
      <c r="D480" s="1">
        <v>1</v>
      </c>
      <c r="E480" s="12">
        <v>45674.63958333333</v>
      </c>
      <c r="F480" s="1" t="s">
        <v>19</v>
      </c>
      <c r="G480" s="1" t="s">
        <v>46</v>
      </c>
      <c r="H480" s="1" t="s">
        <v>14</v>
      </c>
      <c r="I480" s="1" t="s">
        <v>32</v>
      </c>
      <c r="J480" s="1" t="str">
        <f t="shared" si="14"/>
        <v>SHIPPED</v>
      </c>
      <c r="K480" s="1" t="str">
        <f>_xlfn.XLOOKUP(C480, 'Product Catalog'!$A:$A, 'Product Catalog'!$B:$B, "Unknown Product")</f>
        <v>E-Book Access Model U150</v>
      </c>
      <c r="L480" s="1" t="str">
        <f>_xlfn.XLOOKUP(C480, 'Product Catalog'!$A:$A, 'Product Catalog'!$C:$C, "Unknown Category")</f>
        <v>Digital Services</v>
      </c>
      <c r="M480" s="1">
        <f>_xlfn.XLOOKUP(C480, 'Product Catalog'!$A:$A, 'Product Catalog'!$D:$D, 0)</f>
        <v>75.69</v>
      </c>
      <c r="N480" s="1">
        <f t="shared" si="15"/>
        <v>75.69</v>
      </c>
    </row>
    <row r="481" spans="1:14" x14ac:dyDescent="0.3">
      <c r="A481" s="1" t="s">
        <v>899</v>
      </c>
      <c r="B481" s="1" t="s">
        <v>570</v>
      </c>
      <c r="C481" s="1" t="s">
        <v>519</v>
      </c>
      <c r="D481" s="1">
        <v>1</v>
      </c>
      <c r="E481" s="12">
        <v>45792.495138888888</v>
      </c>
      <c r="F481" s="1" t="s">
        <v>185</v>
      </c>
      <c r="G481" s="1" t="s">
        <v>20</v>
      </c>
      <c r="H481" s="1" t="s">
        <v>41</v>
      </c>
      <c r="I481" s="1" t="s">
        <v>81</v>
      </c>
      <c r="J481" s="1" t="str">
        <f t="shared" si="14"/>
        <v>REFUNDED</v>
      </c>
      <c r="K481" s="1" t="str">
        <f>_xlfn.XLOOKUP(C481, 'Product Catalog'!$A:$A, 'Product Catalog'!$B:$B, "Unknown Product")</f>
        <v>T-Shirt Model S70</v>
      </c>
      <c r="L481" s="1" t="str">
        <f>_xlfn.XLOOKUP(C481, 'Product Catalog'!$A:$A, 'Product Catalog'!$C:$C, "Unknown Category")</f>
        <v>Apparel</v>
      </c>
      <c r="M481" s="1">
        <f>_xlfn.XLOOKUP(C481, 'Product Catalog'!$A:$A, 'Product Catalog'!$D:$D, 0)</f>
        <v>75.45</v>
      </c>
      <c r="N481" s="1">
        <f t="shared" si="15"/>
        <v>75.45</v>
      </c>
    </row>
    <row r="482" spans="1:14" x14ac:dyDescent="0.3">
      <c r="A482" s="1" t="s">
        <v>900</v>
      </c>
      <c r="B482" s="1" t="s">
        <v>376</v>
      </c>
      <c r="C482" s="1" t="s">
        <v>268</v>
      </c>
      <c r="D482" s="1">
        <v>5</v>
      </c>
      <c r="E482" s="12">
        <v>45702.624305555553</v>
      </c>
      <c r="F482" s="1" t="s">
        <v>170</v>
      </c>
      <c r="G482" s="1" t="s">
        <v>40</v>
      </c>
      <c r="H482" s="1" t="s">
        <v>55</v>
      </c>
      <c r="I482" s="1" t="s">
        <v>81</v>
      </c>
      <c r="J482" s="1" t="str">
        <f t="shared" si="14"/>
        <v>REFUNDED</v>
      </c>
      <c r="K482" s="1" t="str">
        <f>_xlfn.XLOOKUP(C482, 'Product Catalog'!$A:$A, 'Product Catalog'!$B:$B, "Unknown Product")</f>
        <v>Sneakers Model P119</v>
      </c>
      <c r="L482" s="1" t="str">
        <f>_xlfn.XLOOKUP(C482, 'Product Catalog'!$A:$A, 'Product Catalog'!$C:$C, "Unknown Category")</f>
        <v>Apparel</v>
      </c>
      <c r="M482" s="1">
        <f>_xlfn.XLOOKUP(C482, 'Product Catalog'!$A:$A, 'Product Catalog'!$D:$D, 0)</f>
        <v>19.329999999999998</v>
      </c>
      <c r="N482" s="1">
        <f t="shared" si="15"/>
        <v>96.649999999999991</v>
      </c>
    </row>
    <row r="483" spans="1:14" x14ac:dyDescent="0.3">
      <c r="A483" s="1" t="s">
        <v>901</v>
      </c>
      <c r="B483" s="1" t="s">
        <v>902</v>
      </c>
      <c r="C483" s="1" t="s">
        <v>903</v>
      </c>
      <c r="D483" s="1">
        <v>2</v>
      </c>
      <c r="E483" s="12">
        <v>45718.336805555555</v>
      </c>
      <c r="F483" s="1" t="s">
        <v>19</v>
      </c>
      <c r="G483" s="1" t="s">
        <v>20</v>
      </c>
      <c r="H483" s="1" t="s">
        <v>14</v>
      </c>
      <c r="I483" s="1" t="s">
        <v>15</v>
      </c>
      <c r="J483" s="1" t="str">
        <f t="shared" si="14"/>
        <v>delivered</v>
      </c>
      <c r="K483" s="1" t="str">
        <f>_xlfn.XLOOKUP(C483, 'Product Catalog'!$A:$A, 'Product Catalog'!$B:$B, "Unknown Product")</f>
        <v>Coffee Maker Model Y50</v>
      </c>
      <c r="L483" s="1" t="str">
        <f>_xlfn.XLOOKUP(C483, 'Product Catalog'!$A:$A, 'Product Catalog'!$C:$C, "Unknown Category")</f>
        <v>Home Goods</v>
      </c>
      <c r="M483" s="1">
        <f>_xlfn.XLOOKUP(C483, 'Product Catalog'!$A:$A, 'Product Catalog'!$D:$D, 0)</f>
        <v>102.26</v>
      </c>
      <c r="N483" s="1">
        <f t="shared" si="15"/>
        <v>204.52</v>
      </c>
    </row>
    <row r="484" spans="1:14" x14ac:dyDescent="0.3">
      <c r="A484" s="1" t="s">
        <v>904</v>
      </c>
      <c r="B484" s="1" t="s">
        <v>686</v>
      </c>
      <c r="C484" s="1" t="s">
        <v>905</v>
      </c>
      <c r="D484" s="1">
        <v>1</v>
      </c>
      <c r="E484" s="12">
        <v>45765.836111111108</v>
      </c>
      <c r="F484" s="1" t="s">
        <v>12</v>
      </c>
      <c r="G484" s="1" t="s">
        <v>31</v>
      </c>
      <c r="H484" s="1" t="s">
        <v>51</v>
      </c>
      <c r="I484" s="1" t="s">
        <v>56</v>
      </c>
      <c r="J484" s="1" t="str">
        <f t="shared" si="14"/>
        <v>cancelled</v>
      </c>
      <c r="K484" s="1" t="str">
        <f>_xlfn.XLOOKUP(C484, 'Product Catalog'!$A:$A, 'Product Catalog'!$B:$B, "Unknown Product")</f>
        <v>Gold Bracelet Model X127</v>
      </c>
      <c r="L484" s="1" t="str">
        <f>_xlfn.XLOOKUP(C484, 'Product Catalog'!$A:$A, 'Product Catalog'!$C:$C, "Unknown Category")</f>
        <v>Luxury Goods</v>
      </c>
      <c r="M484" s="1">
        <f>_xlfn.XLOOKUP(C484, 'Product Catalog'!$A:$A, 'Product Catalog'!$D:$D, 0)</f>
        <v>410.48</v>
      </c>
      <c r="N484" s="1">
        <f t="shared" si="15"/>
        <v>410.48</v>
      </c>
    </row>
    <row r="485" spans="1:14" x14ac:dyDescent="0.3">
      <c r="A485" s="1" t="s">
        <v>906</v>
      </c>
      <c r="B485" s="1" t="s">
        <v>581</v>
      </c>
      <c r="C485" s="1" t="s">
        <v>498</v>
      </c>
      <c r="D485" s="1">
        <v>4</v>
      </c>
      <c r="E485" s="12">
        <v>46010.498611111114</v>
      </c>
      <c r="F485" s="1" t="s">
        <v>39</v>
      </c>
      <c r="G485" s="1" t="s">
        <v>13</v>
      </c>
      <c r="H485" s="1" t="s">
        <v>55</v>
      </c>
      <c r="I485" s="1" t="s">
        <v>81</v>
      </c>
      <c r="J485" s="1" t="str">
        <f t="shared" si="14"/>
        <v>REFUNDED</v>
      </c>
      <c r="K485" s="1" t="str">
        <f>_xlfn.XLOOKUP(C485, 'Product Catalog'!$A:$A, 'Product Catalog'!$B:$B, "Unknown Product")</f>
        <v>Leather Handbag Model N143</v>
      </c>
      <c r="L485" s="1" t="str">
        <f>_xlfn.XLOOKUP(C485, 'Product Catalog'!$A:$A, 'Product Catalog'!$C:$C, "Unknown Category")</f>
        <v>Luxury Goods</v>
      </c>
      <c r="M485" s="1">
        <f>_xlfn.XLOOKUP(C485, 'Product Catalog'!$A:$A, 'Product Catalog'!$D:$D, 0)</f>
        <v>1374.1</v>
      </c>
      <c r="N485" s="1">
        <f t="shared" si="15"/>
        <v>5496.4</v>
      </c>
    </row>
    <row r="486" spans="1:14" x14ac:dyDescent="0.3">
      <c r="A486" s="1" t="s">
        <v>907</v>
      </c>
      <c r="B486" s="1" t="s">
        <v>64</v>
      </c>
      <c r="C486" s="1" t="s">
        <v>125</v>
      </c>
      <c r="D486" s="1">
        <v>1</v>
      </c>
      <c r="E486" s="12">
        <v>45970.899305555555</v>
      </c>
      <c r="F486" s="1" t="s">
        <v>19</v>
      </c>
      <c r="G486" s="1" t="s">
        <v>13</v>
      </c>
      <c r="H486" s="1" t="s">
        <v>14</v>
      </c>
      <c r="I486" s="1" t="s">
        <v>15</v>
      </c>
      <c r="J486" s="1" t="str">
        <f t="shared" si="14"/>
        <v>delivered</v>
      </c>
      <c r="K486" s="1" t="str">
        <f>_xlfn.XLOOKUP(C486, 'Product Catalog'!$A:$A, 'Product Catalog'!$B:$B, "Unknown Product")</f>
        <v>Coffee Maker Model J9</v>
      </c>
      <c r="L486" s="1" t="str">
        <f>_xlfn.XLOOKUP(C486, 'Product Catalog'!$A:$A, 'Product Catalog'!$C:$C, "Unknown Category")</f>
        <v>Home Goods</v>
      </c>
      <c r="M486" s="1">
        <f>_xlfn.XLOOKUP(C486, 'Product Catalog'!$A:$A, 'Product Catalog'!$D:$D, 0)</f>
        <v>34.840000000000003</v>
      </c>
      <c r="N486" s="1">
        <f t="shared" si="15"/>
        <v>34.840000000000003</v>
      </c>
    </row>
    <row r="487" spans="1:14" x14ac:dyDescent="0.3">
      <c r="A487" s="1" t="s">
        <v>908</v>
      </c>
      <c r="B487" s="1" t="s">
        <v>656</v>
      </c>
      <c r="C487" s="1" t="s">
        <v>247</v>
      </c>
      <c r="D487" s="1">
        <v>4</v>
      </c>
      <c r="E487" s="12">
        <v>45877.23541666667</v>
      </c>
      <c r="F487" s="1" t="s">
        <v>170</v>
      </c>
      <c r="G487" s="1" t="s">
        <v>46</v>
      </c>
      <c r="H487" s="1" t="s">
        <v>41</v>
      </c>
      <c r="I487" s="1" t="s">
        <v>102</v>
      </c>
      <c r="J487" s="1" t="str">
        <f t="shared" si="14"/>
        <v>disputed</v>
      </c>
      <c r="K487" s="1" t="str">
        <f>_xlfn.XLOOKUP(C487, 'Product Catalog'!$A:$A, 'Product Catalog'!$B:$B, "Unknown Product")</f>
        <v>Silk Scarf Model N117</v>
      </c>
      <c r="L487" s="1" t="str">
        <f>_xlfn.XLOOKUP(C487, 'Product Catalog'!$A:$A, 'Product Catalog'!$C:$C, "Unknown Category")</f>
        <v>Luxury Goods</v>
      </c>
      <c r="M487" s="1">
        <f>_xlfn.XLOOKUP(C487, 'Product Catalog'!$A:$A, 'Product Catalog'!$D:$D, 0)</f>
        <v>1740.35</v>
      </c>
      <c r="N487" s="1">
        <f t="shared" si="15"/>
        <v>6961.4</v>
      </c>
    </row>
    <row r="488" spans="1:14" x14ac:dyDescent="0.3">
      <c r="A488" s="1" t="s">
        <v>909</v>
      </c>
      <c r="B488" s="1" t="s">
        <v>29</v>
      </c>
      <c r="C488" s="1" t="s">
        <v>466</v>
      </c>
      <c r="D488" s="1">
        <v>1</v>
      </c>
      <c r="E488" s="12">
        <v>45973.197916666664</v>
      </c>
      <c r="F488" s="1" t="s">
        <v>12</v>
      </c>
      <c r="G488" s="1" t="s">
        <v>31</v>
      </c>
      <c r="H488" s="1" t="s">
        <v>41</v>
      </c>
      <c r="I488" s="1" t="s">
        <v>15</v>
      </c>
      <c r="J488" s="1" t="str">
        <f t="shared" si="14"/>
        <v>delivered</v>
      </c>
      <c r="K488" s="1" t="str">
        <f>_xlfn.XLOOKUP(C488, 'Product Catalog'!$A:$A, 'Product Catalog'!$B:$B, "Unknown Product")</f>
        <v>VPN 6-Month Pass Model L11</v>
      </c>
      <c r="L488" s="1" t="str">
        <f>_xlfn.XLOOKUP(C488, 'Product Catalog'!$A:$A, 'Product Catalog'!$C:$C, "Unknown Category")</f>
        <v>Digital Services</v>
      </c>
      <c r="M488" s="1">
        <f>_xlfn.XLOOKUP(C488, 'Product Catalog'!$A:$A, 'Product Catalog'!$D:$D, 0)</f>
        <v>16.73</v>
      </c>
      <c r="N488" s="1">
        <f t="shared" si="15"/>
        <v>16.73</v>
      </c>
    </row>
    <row r="489" spans="1:14" x14ac:dyDescent="0.3">
      <c r="A489" s="1" t="s">
        <v>910</v>
      </c>
      <c r="B489" s="1" t="s">
        <v>911</v>
      </c>
      <c r="C489" s="1" t="s">
        <v>644</v>
      </c>
      <c r="D489" s="1">
        <v>2</v>
      </c>
      <c r="E489" s="12">
        <v>45763.293749999997</v>
      </c>
      <c r="F489" s="1" t="s">
        <v>19</v>
      </c>
      <c r="G489" s="1" t="s">
        <v>13</v>
      </c>
      <c r="H489" s="1" t="s">
        <v>41</v>
      </c>
      <c r="I489" s="1" t="s">
        <v>15</v>
      </c>
      <c r="J489" s="1" t="str">
        <f t="shared" si="14"/>
        <v>delivered</v>
      </c>
      <c r="K489" s="1" t="str">
        <f>_xlfn.XLOOKUP(C489, 'Product Catalog'!$A:$A, 'Product Catalog'!$B:$B, "Unknown Product")</f>
        <v>Socks Model T71</v>
      </c>
      <c r="L489" s="1" t="str">
        <f>_xlfn.XLOOKUP(C489, 'Product Catalog'!$A:$A, 'Product Catalog'!$C:$C, "Unknown Category")</f>
        <v>Apparel</v>
      </c>
      <c r="M489" s="1">
        <f>_xlfn.XLOOKUP(C489, 'Product Catalog'!$A:$A, 'Product Catalog'!$D:$D, 0)</f>
        <v>23.19</v>
      </c>
      <c r="N489" s="1">
        <f t="shared" si="15"/>
        <v>46.38</v>
      </c>
    </row>
    <row r="490" spans="1:14" x14ac:dyDescent="0.3">
      <c r="A490" s="1" t="s">
        <v>912</v>
      </c>
      <c r="B490" s="1" t="s">
        <v>322</v>
      </c>
      <c r="C490" s="1" t="s">
        <v>71</v>
      </c>
      <c r="D490" s="1">
        <v>2</v>
      </c>
      <c r="E490" s="12">
        <v>45688.810416666667</v>
      </c>
      <c r="F490" s="1" t="s">
        <v>12</v>
      </c>
      <c r="G490" s="1" t="s">
        <v>20</v>
      </c>
      <c r="H490" s="1" t="s">
        <v>14</v>
      </c>
      <c r="I490" s="1" t="s">
        <v>15</v>
      </c>
      <c r="J490" s="1" t="str">
        <f t="shared" si="14"/>
        <v>delivered</v>
      </c>
      <c r="K490" s="1" t="str">
        <f>_xlfn.XLOOKUP(C490, 'Product Catalog'!$A:$A, 'Product Catalog'!$B:$B, "Unknown Product")</f>
        <v>VPN 6-Month Pass Model D29</v>
      </c>
      <c r="L490" s="1" t="str">
        <f>_xlfn.XLOOKUP(C490, 'Product Catalog'!$A:$A, 'Product Catalog'!$C:$C, "Unknown Category")</f>
        <v>Digital Services</v>
      </c>
      <c r="M490" s="1">
        <f>_xlfn.XLOOKUP(C490, 'Product Catalog'!$A:$A, 'Product Catalog'!$D:$D, 0)</f>
        <v>10.97</v>
      </c>
      <c r="N490" s="1">
        <f t="shared" si="15"/>
        <v>21.94</v>
      </c>
    </row>
    <row r="491" spans="1:14" x14ac:dyDescent="0.3">
      <c r="A491" s="1" t="s">
        <v>913</v>
      </c>
      <c r="B491" s="1" t="s">
        <v>555</v>
      </c>
      <c r="C491" s="1" t="s">
        <v>905</v>
      </c>
      <c r="D491" s="1">
        <v>1</v>
      </c>
      <c r="E491" s="12">
        <v>45837.756944444445</v>
      </c>
      <c r="F491" s="1" t="s">
        <v>170</v>
      </c>
      <c r="G491" s="1" t="s">
        <v>109</v>
      </c>
      <c r="H491" s="1" t="s">
        <v>41</v>
      </c>
      <c r="I491" s="1" t="s">
        <v>102</v>
      </c>
      <c r="J491" s="1" t="str">
        <f t="shared" si="14"/>
        <v>disputed</v>
      </c>
      <c r="K491" s="1" t="str">
        <f>_xlfn.XLOOKUP(C491, 'Product Catalog'!$A:$A, 'Product Catalog'!$B:$B, "Unknown Product")</f>
        <v>Gold Bracelet Model X127</v>
      </c>
      <c r="L491" s="1" t="str">
        <f>_xlfn.XLOOKUP(C491, 'Product Catalog'!$A:$A, 'Product Catalog'!$C:$C, "Unknown Category")</f>
        <v>Luxury Goods</v>
      </c>
      <c r="M491" s="1">
        <f>_xlfn.XLOOKUP(C491, 'Product Catalog'!$A:$A, 'Product Catalog'!$D:$D, 0)</f>
        <v>410.48</v>
      </c>
      <c r="N491" s="1">
        <f t="shared" si="15"/>
        <v>410.48</v>
      </c>
    </row>
    <row r="492" spans="1:14" x14ac:dyDescent="0.3">
      <c r="A492" s="1" t="s">
        <v>914</v>
      </c>
      <c r="B492" s="1" t="s">
        <v>553</v>
      </c>
      <c r="C492" s="1" t="s">
        <v>691</v>
      </c>
      <c r="D492" s="1">
        <v>4</v>
      </c>
      <c r="E492" s="12">
        <v>45801.848611111112</v>
      </c>
      <c r="F492" s="1" t="s">
        <v>12</v>
      </c>
      <c r="G492" s="1" t="s">
        <v>46</v>
      </c>
      <c r="H492" s="1" t="s">
        <v>51</v>
      </c>
      <c r="I492" s="1" t="s">
        <v>102</v>
      </c>
      <c r="J492" s="1" t="str">
        <f t="shared" si="14"/>
        <v>disputed</v>
      </c>
      <c r="K492" s="1" t="str">
        <f>_xlfn.XLOOKUP(C492, 'Product Catalog'!$A:$A, 'Product Catalog'!$B:$B, "Unknown Product")</f>
        <v>Designer Watch Model T123</v>
      </c>
      <c r="L492" s="1" t="str">
        <f>_xlfn.XLOOKUP(C492, 'Product Catalog'!$A:$A, 'Product Catalog'!$C:$C, "Unknown Category")</f>
        <v>Luxury Goods</v>
      </c>
      <c r="M492" s="1">
        <f>_xlfn.XLOOKUP(C492, 'Product Catalog'!$A:$A, 'Product Catalog'!$D:$D, 0)</f>
        <v>1301.92</v>
      </c>
      <c r="N492" s="1">
        <f t="shared" si="15"/>
        <v>5207.68</v>
      </c>
    </row>
    <row r="493" spans="1:14" x14ac:dyDescent="0.3">
      <c r="A493" s="1" t="s">
        <v>915</v>
      </c>
      <c r="B493" s="1" t="s">
        <v>537</v>
      </c>
      <c r="C493" s="1" t="s">
        <v>167</v>
      </c>
      <c r="D493" s="1">
        <v>5</v>
      </c>
      <c r="E493" s="12">
        <v>45933.238888888889</v>
      </c>
      <c r="F493" s="1" t="s">
        <v>170</v>
      </c>
      <c r="G493" s="1" t="s">
        <v>40</v>
      </c>
      <c r="H493" s="1" t="s">
        <v>55</v>
      </c>
      <c r="I493" s="1" t="s">
        <v>42</v>
      </c>
      <c r="J493" s="1" t="str">
        <f t="shared" si="14"/>
        <v>PENDING_REVIEW</v>
      </c>
      <c r="K493" s="1" t="str">
        <f>_xlfn.XLOOKUP(C493, 'Product Catalog'!$A:$A, 'Product Catalog'!$B:$B, "Unknown Product")</f>
        <v>Premium Stream 1M Model V125</v>
      </c>
      <c r="L493" s="1" t="str">
        <f>_xlfn.XLOOKUP(C493, 'Product Catalog'!$A:$A, 'Product Catalog'!$C:$C, "Unknown Category")</f>
        <v>Digital Services</v>
      </c>
      <c r="M493" s="1">
        <f>_xlfn.XLOOKUP(C493, 'Product Catalog'!$A:$A, 'Product Catalog'!$D:$D, 0)</f>
        <v>18.87</v>
      </c>
      <c r="N493" s="1">
        <f t="shared" si="15"/>
        <v>94.350000000000009</v>
      </c>
    </row>
    <row r="494" spans="1:14" x14ac:dyDescent="0.3">
      <c r="A494" s="1" t="s">
        <v>916</v>
      </c>
      <c r="B494" s="1" t="s">
        <v>94</v>
      </c>
      <c r="C494" s="1" t="s">
        <v>706</v>
      </c>
      <c r="D494" s="1">
        <v>4</v>
      </c>
      <c r="E494" s="12">
        <v>45823.415972222225</v>
      </c>
      <c r="F494" s="1" t="s">
        <v>12</v>
      </c>
      <c r="G494" s="1" t="s">
        <v>40</v>
      </c>
      <c r="H494" s="1" t="s">
        <v>51</v>
      </c>
      <c r="I494" s="1" t="s">
        <v>42</v>
      </c>
      <c r="J494" s="1" t="str">
        <f t="shared" si="14"/>
        <v>PENDING_REVIEW</v>
      </c>
      <c r="K494" s="1" t="str">
        <f>_xlfn.XLOOKUP(C494, 'Product Catalog'!$A:$A, 'Product Catalog'!$B:$B, "Unknown Product")</f>
        <v>Software License Tier A Model T19</v>
      </c>
      <c r="L494" s="1" t="str">
        <f>_xlfn.XLOOKUP(C494, 'Product Catalog'!$A:$A, 'Product Catalog'!$C:$C, "Unknown Category")</f>
        <v>Digital Services</v>
      </c>
      <c r="M494" s="1">
        <f>_xlfn.XLOOKUP(C494, 'Product Catalog'!$A:$A, 'Product Catalog'!$D:$D, 0)</f>
        <v>30.38</v>
      </c>
      <c r="N494" s="1">
        <f t="shared" si="15"/>
        <v>121.52</v>
      </c>
    </row>
    <row r="495" spans="1:14" x14ac:dyDescent="0.3">
      <c r="A495" s="1" t="s">
        <v>917</v>
      </c>
      <c r="B495" s="1" t="s">
        <v>918</v>
      </c>
      <c r="C495" s="1" t="s">
        <v>512</v>
      </c>
      <c r="D495" s="1">
        <v>1</v>
      </c>
      <c r="E495" s="12">
        <v>45806.813888888886</v>
      </c>
      <c r="F495" s="1" t="s">
        <v>170</v>
      </c>
      <c r="G495" s="1" t="s">
        <v>109</v>
      </c>
      <c r="H495" s="1" t="s">
        <v>51</v>
      </c>
      <c r="I495" s="1" t="s">
        <v>102</v>
      </c>
      <c r="J495" s="1" t="str">
        <f t="shared" si="14"/>
        <v>disputed</v>
      </c>
      <c r="K495" s="1" t="str">
        <f>_xlfn.XLOOKUP(C495, 'Product Catalog'!$A:$A, 'Product Catalog'!$B:$B, "Unknown Product")</f>
        <v>Designer Watch Model M116</v>
      </c>
      <c r="L495" s="1" t="str">
        <f>_xlfn.XLOOKUP(C495, 'Product Catalog'!$A:$A, 'Product Catalog'!$C:$C, "Unknown Category")</f>
        <v>Luxury Goods</v>
      </c>
      <c r="M495" s="1">
        <f>_xlfn.XLOOKUP(C495, 'Product Catalog'!$A:$A, 'Product Catalog'!$D:$D, 0)</f>
        <v>968.52</v>
      </c>
      <c r="N495" s="1">
        <f t="shared" si="15"/>
        <v>968.52</v>
      </c>
    </row>
    <row r="496" spans="1:14" x14ac:dyDescent="0.3">
      <c r="A496" s="1" t="s">
        <v>919</v>
      </c>
      <c r="B496" s="1" t="s">
        <v>376</v>
      </c>
      <c r="C496" s="1" t="s">
        <v>542</v>
      </c>
      <c r="D496" s="1">
        <v>2</v>
      </c>
      <c r="E496" s="12">
        <v>45794.731249999997</v>
      </c>
      <c r="F496" s="1" t="s">
        <v>19</v>
      </c>
      <c r="G496" s="1" t="s">
        <v>20</v>
      </c>
      <c r="H496" s="1" t="s">
        <v>24</v>
      </c>
      <c r="I496" s="1" t="s">
        <v>15</v>
      </c>
      <c r="J496" s="1" t="str">
        <f t="shared" si="14"/>
        <v>delivered</v>
      </c>
      <c r="K496" s="1" t="str">
        <f>_xlfn.XLOOKUP(C496, 'Product Catalog'!$A:$A, 'Product Catalog'!$B:$B, "Unknown Product")</f>
        <v>Cable Model M38</v>
      </c>
      <c r="L496" s="1" t="str">
        <f>_xlfn.XLOOKUP(C496, 'Product Catalog'!$A:$A, 'Product Catalog'!$C:$C, "Unknown Category")</f>
        <v>Electronics</v>
      </c>
      <c r="M496" s="1">
        <f>_xlfn.XLOOKUP(C496, 'Product Catalog'!$A:$A, 'Product Catalog'!$D:$D, 0)</f>
        <v>91.18</v>
      </c>
      <c r="N496" s="1">
        <f t="shared" si="15"/>
        <v>182.36</v>
      </c>
    </row>
    <row r="497" spans="1:14" x14ac:dyDescent="0.3">
      <c r="A497" s="1" t="s">
        <v>920</v>
      </c>
      <c r="B497" s="1" t="s">
        <v>773</v>
      </c>
      <c r="C497" s="1" t="s">
        <v>512</v>
      </c>
      <c r="D497" s="1">
        <v>1</v>
      </c>
      <c r="E497" s="12">
        <v>46005.135416666664</v>
      </c>
      <c r="F497" s="1" t="s">
        <v>170</v>
      </c>
      <c r="G497" s="1" t="s">
        <v>50</v>
      </c>
      <c r="H497" s="1" t="s">
        <v>55</v>
      </c>
      <c r="I497" s="1" t="s">
        <v>56</v>
      </c>
      <c r="J497" s="1" t="str">
        <f t="shared" si="14"/>
        <v>cancelled</v>
      </c>
      <c r="K497" s="1" t="str">
        <f>_xlfn.XLOOKUP(C497, 'Product Catalog'!$A:$A, 'Product Catalog'!$B:$B, "Unknown Product")</f>
        <v>Designer Watch Model M116</v>
      </c>
      <c r="L497" s="1" t="str">
        <f>_xlfn.XLOOKUP(C497, 'Product Catalog'!$A:$A, 'Product Catalog'!$C:$C, "Unknown Category")</f>
        <v>Luxury Goods</v>
      </c>
      <c r="M497" s="1">
        <f>_xlfn.XLOOKUP(C497, 'Product Catalog'!$A:$A, 'Product Catalog'!$D:$D, 0)</f>
        <v>968.52</v>
      </c>
      <c r="N497" s="1">
        <f t="shared" si="15"/>
        <v>968.52</v>
      </c>
    </row>
    <row r="498" spans="1:14" x14ac:dyDescent="0.3">
      <c r="A498" s="1" t="s">
        <v>921</v>
      </c>
      <c r="B498" s="1" t="s">
        <v>83</v>
      </c>
      <c r="C498" s="1" t="s">
        <v>367</v>
      </c>
      <c r="D498" s="1">
        <v>2</v>
      </c>
      <c r="E498" s="12">
        <v>45727.584722222222</v>
      </c>
      <c r="F498" s="1" t="s">
        <v>19</v>
      </c>
      <c r="G498" s="1" t="s">
        <v>109</v>
      </c>
      <c r="H498" s="1" t="s">
        <v>41</v>
      </c>
      <c r="I498" s="1" t="s">
        <v>32</v>
      </c>
      <c r="J498" s="1" t="str">
        <f t="shared" si="14"/>
        <v>SHIPPED</v>
      </c>
      <c r="K498" s="1" t="str">
        <f>_xlfn.XLOOKUP(C498, 'Product Catalog'!$A:$A, 'Product Catalog'!$B:$B, "Unknown Product")</f>
        <v>Cable Model P67</v>
      </c>
      <c r="L498" s="1" t="str">
        <f>_xlfn.XLOOKUP(C498, 'Product Catalog'!$A:$A, 'Product Catalog'!$C:$C, "Unknown Category")</f>
        <v>Electronics</v>
      </c>
      <c r="M498" s="1">
        <f>_xlfn.XLOOKUP(C498, 'Product Catalog'!$A:$A, 'Product Catalog'!$D:$D, 0)</f>
        <v>187.9</v>
      </c>
      <c r="N498" s="1">
        <f t="shared" si="15"/>
        <v>375.8</v>
      </c>
    </row>
    <row r="499" spans="1:14" x14ac:dyDescent="0.3">
      <c r="A499" s="1" t="s">
        <v>922</v>
      </c>
      <c r="B499" s="1" t="s">
        <v>548</v>
      </c>
      <c r="C499" s="1" t="s">
        <v>359</v>
      </c>
      <c r="D499" s="1">
        <v>2</v>
      </c>
      <c r="E499" s="12">
        <v>45688.393750000003</v>
      </c>
      <c r="F499" s="1" t="s">
        <v>12</v>
      </c>
      <c r="G499" s="1" t="s">
        <v>109</v>
      </c>
      <c r="H499" s="1" t="s">
        <v>41</v>
      </c>
      <c r="I499" s="1" t="s">
        <v>15</v>
      </c>
      <c r="J499" s="1" t="str">
        <f t="shared" si="14"/>
        <v>delivered</v>
      </c>
      <c r="K499" s="1" t="str">
        <f>_xlfn.XLOOKUP(C499, 'Product Catalog'!$A:$A, 'Product Catalog'!$B:$B, "Unknown Product")</f>
        <v>Hoodie Model H111</v>
      </c>
      <c r="L499" s="1" t="str">
        <f>_xlfn.XLOOKUP(C499, 'Product Catalog'!$A:$A, 'Product Catalog'!$C:$C, "Unknown Category")</f>
        <v>Apparel</v>
      </c>
      <c r="M499" s="1">
        <f>_xlfn.XLOOKUP(C499, 'Product Catalog'!$A:$A, 'Product Catalog'!$D:$D, 0)</f>
        <v>57.44</v>
      </c>
      <c r="N499" s="1">
        <f t="shared" si="15"/>
        <v>114.88</v>
      </c>
    </row>
    <row r="500" spans="1:14" x14ac:dyDescent="0.3">
      <c r="A500" s="1" t="s">
        <v>923</v>
      </c>
      <c r="B500" s="1" t="s">
        <v>133</v>
      </c>
      <c r="C500" s="1" t="s">
        <v>119</v>
      </c>
      <c r="D500" s="1">
        <v>1</v>
      </c>
      <c r="E500" s="12">
        <v>45993.179861111108</v>
      </c>
      <c r="F500" s="1" t="s">
        <v>19</v>
      </c>
      <c r="G500" s="1" t="s">
        <v>20</v>
      </c>
      <c r="H500" s="1" t="s">
        <v>41</v>
      </c>
      <c r="I500" s="1" t="s">
        <v>15</v>
      </c>
      <c r="J500" s="1" t="str">
        <f t="shared" si="14"/>
        <v>delivered</v>
      </c>
      <c r="K500" s="1" t="str">
        <f>_xlfn.XLOOKUP(C500, 'Product Catalog'!$A:$A, 'Product Catalog'!$B:$B, "Unknown Product")</f>
        <v>Premium Stream 1M Model G6</v>
      </c>
      <c r="L500" s="1" t="str">
        <f>_xlfn.XLOOKUP(C500, 'Product Catalog'!$A:$A, 'Product Catalog'!$C:$C, "Unknown Category")</f>
        <v>Digital Services</v>
      </c>
      <c r="M500" s="1">
        <f>_xlfn.XLOOKUP(C500, 'Product Catalog'!$A:$A, 'Product Catalog'!$D:$D, 0)</f>
        <v>47.23</v>
      </c>
      <c r="N500" s="1">
        <f t="shared" si="15"/>
        <v>47.23</v>
      </c>
    </row>
    <row r="501" spans="1:14" x14ac:dyDescent="0.3">
      <c r="A501" s="1" t="s">
        <v>924</v>
      </c>
      <c r="B501" s="1" t="s">
        <v>533</v>
      </c>
      <c r="C501" s="1" t="s">
        <v>519</v>
      </c>
      <c r="D501" s="1">
        <v>1</v>
      </c>
      <c r="E501" s="12">
        <v>46017.188194444447</v>
      </c>
      <c r="F501" s="1" t="s">
        <v>19</v>
      </c>
      <c r="G501" s="1" t="s">
        <v>109</v>
      </c>
      <c r="H501" s="1" t="s">
        <v>14</v>
      </c>
      <c r="I501" s="1" t="s">
        <v>15</v>
      </c>
      <c r="J501" s="1" t="str">
        <f t="shared" si="14"/>
        <v>delivered</v>
      </c>
      <c r="K501" s="1" t="str">
        <f>_xlfn.XLOOKUP(C501, 'Product Catalog'!$A:$A, 'Product Catalog'!$B:$B, "Unknown Product")</f>
        <v>T-Shirt Model S70</v>
      </c>
      <c r="L501" s="1" t="str">
        <f>_xlfn.XLOOKUP(C501, 'Product Catalog'!$A:$A, 'Product Catalog'!$C:$C, "Unknown Category")</f>
        <v>Apparel</v>
      </c>
      <c r="M501" s="1">
        <f>_xlfn.XLOOKUP(C501, 'Product Catalog'!$A:$A, 'Product Catalog'!$D:$D, 0)</f>
        <v>75.45</v>
      </c>
      <c r="N501" s="1">
        <f t="shared" si="15"/>
        <v>75.45</v>
      </c>
    </row>
    <row r="502" spans="1:14" x14ac:dyDescent="0.3">
      <c r="A502" s="1" t="s">
        <v>925</v>
      </c>
      <c r="B502" s="1" t="s">
        <v>461</v>
      </c>
      <c r="C502" s="1" t="s">
        <v>512</v>
      </c>
      <c r="D502" s="1">
        <v>4</v>
      </c>
      <c r="E502" s="12">
        <v>45785.207638888889</v>
      </c>
      <c r="F502" s="1" t="s">
        <v>39</v>
      </c>
      <c r="G502" s="1" t="s">
        <v>40</v>
      </c>
      <c r="H502" s="1" t="s">
        <v>51</v>
      </c>
      <c r="I502" s="1" t="s">
        <v>102</v>
      </c>
      <c r="J502" s="1" t="str">
        <f t="shared" si="14"/>
        <v>disputed</v>
      </c>
      <c r="K502" s="1" t="str">
        <f>_xlfn.XLOOKUP(C502, 'Product Catalog'!$A:$A, 'Product Catalog'!$B:$B, "Unknown Product")</f>
        <v>Designer Watch Model M116</v>
      </c>
      <c r="L502" s="1" t="str">
        <f>_xlfn.XLOOKUP(C502, 'Product Catalog'!$A:$A, 'Product Catalog'!$C:$C, "Unknown Category")</f>
        <v>Luxury Goods</v>
      </c>
      <c r="M502" s="1">
        <f>_xlfn.XLOOKUP(C502, 'Product Catalog'!$A:$A, 'Product Catalog'!$D:$D, 0)</f>
        <v>968.52</v>
      </c>
      <c r="N502" s="1">
        <f t="shared" si="15"/>
        <v>3874.08</v>
      </c>
    </row>
    <row r="503" spans="1:14" x14ac:dyDescent="0.3">
      <c r="A503" s="1" t="s">
        <v>926</v>
      </c>
      <c r="B503" s="1" t="s">
        <v>127</v>
      </c>
      <c r="C503" s="1" t="s">
        <v>253</v>
      </c>
      <c r="D503" s="1">
        <v>1</v>
      </c>
      <c r="E503" s="12">
        <v>45822.351388888892</v>
      </c>
      <c r="F503" s="1" t="s">
        <v>39</v>
      </c>
      <c r="G503" s="1" t="s">
        <v>40</v>
      </c>
      <c r="H503" s="1" t="s">
        <v>41</v>
      </c>
      <c r="I503" s="1" t="s">
        <v>81</v>
      </c>
      <c r="J503" s="1" t="str">
        <f t="shared" si="14"/>
        <v>REFUNDED</v>
      </c>
      <c r="K503" s="1" t="str">
        <f>_xlfn.XLOOKUP(C503, 'Product Catalog'!$A:$A, 'Product Catalog'!$B:$B, "Unknown Product")</f>
        <v>Hoodie Model B79</v>
      </c>
      <c r="L503" s="1" t="str">
        <f>_xlfn.XLOOKUP(C503, 'Product Catalog'!$A:$A, 'Product Catalog'!$C:$C, "Unknown Category")</f>
        <v>Apparel</v>
      </c>
      <c r="M503" s="1">
        <f>_xlfn.XLOOKUP(C503, 'Product Catalog'!$A:$A, 'Product Catalog'!$D:$D, 0)</f>
        <v>106.9</v>
      </c>
      <c r="N503" s="1">
        <f t="shared" si="15"/>
        <v>106.9</v>
      </c>
    </row>
    <row r="504" spans="1:14" x14ac:dyDescent="0.3">
      <c r="A504" s="1" t="s">
        <v>927</v>
      </c>
      <c r="B504" s="1" t="s">
        <v>456</v>
      </c>
      <c r="C504" s="1" t="s">
        <v>415</v>
      </c>
      <c r="D504" s="1">
        <v>1</v>
      </c>
      <c r="E504" s="12">
        <v>46004.558333333334</v>
      </c>
      <c r="F504" s="1" t="s">
        <v>12</v>
      </c>
      <c r="G504" s="1" t="s">
        <v>31</v>
      </c>
      <c r="H504" s="1" t="s">
        <v>41</v>
      </c>
      <c r="I504" s="1" t="s">
        <v>56</v>
      </c>
      <c r="J504" s="1" t="str">
        <f t="shared" si="14"/>
        <v>cancelled</v>
      </c>
      <c r="K504" s="1" t="str">
        <f>_xlfn.XLOOKUP(C504, 'Product Catalog'!$A:$A, 'Product Catalog'!$B:$B, "Unknown Product")</f>
        <v>Premium Stream 1M Model S148</v>
      </c>
      <c r="L504" s="1" t="str">
        <f>_xlfn.XLOOKUP(C504, 'Product Catalog'!$A:$A, 'Product Catalog'!$C:$C, "Unknown Category")</f>
        <v>Digital Services</v>
      </c>
      <c r="M504" s="1">
        <f>_xlfn.XLOOKUP(C504, 'Product Catalog'!$A:$A, 'Product Catalog'!$D:$D, 0)</f>
        <v>9.73</v>
      </c>
      <c r="N504" s="1">
        <f t="shared" si="15"/>
        <v>9.73</v>
      </c>
    </row>
    <row r="505" spans="1:14" x14ac:dyDescent="0.3">
      <c r="A505" s="1" t="s">
        <v>928</v>
      </c>
      <c r="B505" s="1" t="s">
        <v>911</v>
      </c>
      <c r="C505" s="1" t="s">
        <v>644</v>
      </c>
      <c r="D505" s="1">
        <v>4</v>
      </c>
      <c r="E505" s="12">
        <v>45908.20208333333</v>
      </c>
      <c r="F505" s="1" t="s">
        <v>170</v>
      </c>
      <c r="G505" s="1" t="s">
        <v>50</v>
      </c>
      <c r="H505" s="1" t="s">
        <v>41</v>
      </c>
      <c r="I505" s="1" t="s">
        <v>102</v>
      </c>
      <c r="J505" s="1" t="str">
        <f t="shared" si="14"/>
        <v>disputed</v>
      </c>
      <c r="K505" s="1" t="str">
        <f>_xlfn.XLOOKUP(C505, 'Product Catalog'!$A:$A, 'Product Catalog'!$B:$B, "Unknown Product")</f>
        <v>Socks Model T71</v>
      </c>
      <c r="L505" s="1" t="str">
        <f>_xlfn.XLOOKUP(C505, 'Product Catalog'!$A:$A, 'Product Catalog'!$C:$C, "Unknown Category")</f>
        <v>Apparel</v>
      </c>
      <c r="M505" s="1">
        <f>_xlfn.XLOOKUP(C505, 'Product Catalog'!$A:$A, 'Product Catalog'!$D:$D, 0)</f>
        <v>23.19</v>
      </c>
      <c r="N505" s="1">
        <f t="shared" si="15"/>
        <v>92.76</v>
      </c>
    </row>
    <row r="506" spans="1:14" x14ac:dyDescent="0.3">
      <c r="A506" s="1" t="s">
        <v>929</v>
      </c>
      <c r="B506" s="1" t="s">
        <v>570</v>
      </c>
      <c r="C506" s="1" t="s">
        <v>337</v>
      </c>
      <c r="D506" s="1">
        <v>3</v>
      </c>
      <c r="E506" s="12">
        <v>45953.899305555555</v>
      </c>
      <c r="F506" s="1" t="s">
        <v>19</v>
      </c>
      <c r="G506" s="1" t="s">
        <v>13</v>
      </c>
      <c r="H506" s="1" t="s">
        <v>24</v>
      </c>
      <c r="I506" s="1" t="s">
        <v>15</v>
      </c>
      <c r="J506" s="1" t="str">
        <f t="shared" si="14"/>
        <v>delivered</v>
      </c>
      <c r="K506" s="1" t="str">
        <f>_xlfn.XLOOKUP(C506, 'Product Catalog'!$A:$A, 'Product Catalog'!$B:$B, "Unknown Product")</f>
        <v>Webcam Model Z103</v>
      </c>
      <c r="L506" s="1" t="str">
        <f>_xlfn.XLOOKUP(C506, 'Product Catalog'!$A:$A, 'Product Catalog'!$C:$C, "Unknown Category")</f>
        <v>Electronics</v>
      </c>
      <c r="M506" s="1">
        <f>_xlfn.XLOOKUP(C506, 'Product Catalog'!$A:$A, 'Product Catalog'!$D:$D, 0)</f>
        <v>60.39</v>
      </c>
      <c r="N506" s="1">
        <f t="shared" si="15"/>
        <v>181.17000000000002</v>
      </c>
    </row>
    <row r="507" spans="1:14" x14ac:dyDescent="0.3">
      <c r="A507" s="1" t="s">
        <v>930</v>
      </c>
      <c r="B507" s="1" t="s">
        <v>869</v>
      </c>
      <c r="C507" s="1" t="s">
        <v>782</v>
      </c>
      <c r="D507" s="1">
        <v>1</v>
      </c>
      <c r="E507" s="12">
        <v>45795.892361111109</v>
      </c>
      <c r="F507" s="1" t="s">
        <v>19</v>
      </c>
      <c r="G507" s="1" t="s">
        <v>40</v>
      </c>
      <c r="H507" s="1" t="s">
        <v>51</v>
      </c>
      <c r="I507" s="1" t="s">
        <v>56</v>
      </c>
      <c r="J507" s="1" t="str">
        <f t="shared" si="14"/>
        <v>cancelled</v>
      </c>
      <c r="K507" s="1" t="str">
        <f>_xlfn.XLOOKUP(C507, 'Product Catalog'!$A:$A, 'Product Catalog'!$B:$B, "Unknown Product")</f>
        <v>Headphones Model V47</v>
      </c>
      <c r="L507" s="1" t="str">
        <f>_xlfn.XLOOKUP(C507, 'Product Catalog'!$A:$A, 'Product Catalog'!$C:$C, "Unknown Category")</f>
        <v>Electronics</v>
      </c>
      <c r="M507" s="1">
        <f>_xlfn.XLOOKUP(C507, 'Product Catalog'!$A:$A, 'Product Catalog'!$D:$D, 0)</f>
        <v>19.940000000000001</v>
      </c>
      <c r="N507" s="1">
        <f t="shared" si="15"/>
        <v>19.940000000000001</v>
      </c>
    </row>
    <row r="508" spans="1:14" x14ac:dyDescent="0.3">
      <c r="A508" s="1" t="s">
        <v>931</v>
      </c>
      <c r="B508" s="1" t="s">
        <v>388</v>
      </c>
      <c r="C508" s="1" t="s">
        <v>633</v>
      </c>
      <c r="D508" s="1">
        <v>1</v>
      </c>
      <c r="E508" s="12">
        <v>45870.533333333333</v>
      </c>
      <c r="F508" s="1" t="s">
        <v>170</v>
      </c>
      <c r="G508" s="1" t="s">
        <v>50</v>
      </c>
      <c r="H508" s="1" t="s">
        <v>55</v>
      </c>
      <c r="I508" s="1" t="s">
        <v>102</v>
      </c>
      <c r="J508" s="1" t="str">
        <f t="shared" si="14"/>
        <v>disputed</v>
      </c>
      <c r="K508" s="1" t="str">
        <f>_xlfn.XLOOKUP(C508, 'Product Catalog'!$A:$A, 'Product Catalog'!$B:$B, "Unknown Product")</f>
        <v>Keyboard Model X49</v>
      </c>
      <c r="L508" s="1" t="str">
        <f>_xlfn.XLOOKUP(C508, 'Product Catalog'!$A:$A, 'Product Catalog'!$C:$C, "Unknown Category")</f>
        <v>Electronics</v>
      </c>
      <c r="M508" s="1">
        <f>_xlfn.XLOOKUP(C508, 'Product Catalog'!$A:$A, 'Product Catalog'!$D:$D, 0)</f>
        <v>30.84</v>
      </c>
      <c r="N508" s="1">
        <f t="shared" si="15"/>
        <v>30.84</v>
      </c>
    </row>
    <row r="509" spans="1:14" x14ac:dyDescent="0.3">
      <c r="A509" s="1" t="s">
        <v>932</v>
      </c>
      <c r="B509" s="1" t="s">
        <v>484</v>
      </c>
      <c r="C509" s="1" t="s">
        <v>117</v>
      </c>
      <c r="D509" s="1">
        <v>1</v>
      </c>
      <c r="E509" s="12">
        <v>45889.106944444444</v>
      </c>
      <c r="F509" s="1" t="s">
        <v>19</v>
      </c>
      <c r="G509" s="1" t="s">
        <v>109</v>
      </c>
      <c r="H509" s="1" t="s">
        <v>14</v>
      </c>
      <c r="I509" s="1" t="s">
        <v>15</v>
      </c>
      <c r="J509" s="1" t="str">
        <f t="shared" si="14"/>
        <v>delivered</v>
      </c>
      <c r="K509" s="1" t="str">
        <f>_xlfn.XLOOKUP(C509, 'Product Catalog'!$A:$A, 'Product Catalog'!$B:$B, "Unknown Product")</f>
        <v>Organizer Model R95</v>
      </c>
      <c r="L509" s="1" t="str">
        <f>_xlfn.XLOOKUP(C509, 'Product Catalog'!$A:$A, 'Product Catalog'!$C:$C, "Unknown Category")</f>
        <v>Home Goods</v>
      </c>
      <c r="M509" s="1">
        <f>_xlfn.XLOOKUP(C509, 'Product Catalog'!$A:$A, 'Product Catalog'!$D:$D, 0)</f>
        <v>109.58</v>
      </c>
      <c r="N509" s="1">
        <f t="shared" si="15"/>
        <v>109.58</v>
      </c>
    </row>
    <row r="510" spans="1:14" x14ac:dyDescent="0.3">
      <c r="A510" s="1" t="s">
        <v>933</v>
      </c>
      <c r="B510" s="1" t="s">
        <v>354</v>
      </c>
      <c r="C510" s="1" t="s">
        <v>108</v>
      </c>
      <c r="D510" s="1">
        <v>1</v>
      </c>
      <c r="E510" s="12">
        <v>45982.131944444445</v>
      </c>
      <c r="F510" s="1" t="s">
        <v>19</v>
      </c>
      <c r="G510" s="1" t="s">
        <v>50</v>
      </c>
      <c r="H510" s="1" t="s">
        <v>55</v>
      </c>
      <c r="I510" s="1" t="s">
        <v>56</v>
      </c>
      <c r="J510" s="1" t="str">
        <f t="shared" si="14"/>
        <v>cancelled</v>
      </c>
      <c r="K510" s="1" t="str">
        <f>_xlfn.XLOOKUP(C510, 'Product Catalog'!$A:$A, 'Product Catalog'!$B:$B, "Unknown Product")</f>
        <v>Smartwatch Model H7</v>
      </c>
      <c r="L510" s="1" t="str">
        <f>_xlfn.XLOOKUP(C510, 'Product Catalog'!$A:$A, 'Product Catalog'!$C:$C, "Unknown Category")</f>
        <v>Electronics</v>
      </c>
      <c r="M510" s="1">
        <f>_xlfn.XLOOKUP(C510, 'Product Catalog'!$A:$A, 'Product Catalog'!$D:$D, 0)</f>
        <v>204.37</v>
      </c>
      <c r="N510" s="1">
        <f t="shared" si="15"/>
        <v>204.37</v>
      </c>
    </row>
    <row r="511" spans="1:14" x14ac:dyDescent="0.3">
      <c r="A511" s="1" t="s">
        <v>934</v>
      </c>
      <c r="B511" s="1" t="s">
        <v>546</v>
      </c>
      <c r="C511" s="1" t="s">
        <v>935</v>
      </c>
      <c r="D511" s="1">
        <v>4</v>
      </c>
      <c r="E511" s="12">
        <v>45864.732638888891</v>
      </c>
      <c r="F511" s="1" t="s">
        <v>170</v>
      </c>
      <c r="G511" s="1" t="s">
        <v>40</v>
      </c>
      <c r="H511" s="1" t="s">
        <v>41</v>
      </c>
      <c r="I511" s="1" t="s">
        <v>81</v>
      </c>
      <c r="J511" s="1" t="str">
        <f t="shared" si="14"/>
        <v>REFUNDED</v>
      </c>
      <c r="K511" s="1" t="str">
        <f>_xlfn.XLOOKUP(C511, 'Product Catalog'!$A:$A, 'Product Catalog'!$B:$B, "Unknown Product")</f>
        <v>Cloud Storage Basic Model L141</v>
      </c>
      <c r="L511" s="1" t="str">
        <f>_xlfn.XLOOKUP(C511, 'Product Catalog'!$A:$A, 'Product Catalog'!$C:$C, "Unknown Category")</f>
        <v>Digital Services</v>
      </c>
      <c r="M511" s="1">
        <f>_xlfn.XLOOKUP(C511, 'Product Catalog'!$A:$A, 'Product Catalog'!$D:$D, 0)</f>
        <v>93.62</v>
      </c>
      <c r="N511" s="1">
        <f t="shared" si="15"/>
        <v>374.48</v>
      </c>
    </row>
    <row r="512" spans="1:14" x14ac:dyDescent="0.3">
      <c r="A512" s="1" t="s">
        <v>936</v>
      </c>
      <c r="B512" s="1" t="s">
        <v>336</v>
      </c>
      <c r="C512" s="1" t="s">
        <v>253</v>
      </c>
      <c r="D512" s="1">
        <v>1</v>
      </c>
      <c r="E512" s="12">
        <v>45800.987500000003</v>
      </c>
      <c r="F512" s="1" t="s">
        <v>12</v>
      </c>
      <c r="G512" s="1" t="s">
        <v>109</v>
      </c>
      <c r="H512" s="1" t="s">
        <v>14</v>
      </c>
      <c r="I512" s="1" t="s">
        <v>15</v>
      </c>
      <c r="J512" s="1" t="str">
        <f t="shared" si="14"/>
        <v>delivered</v>
      </c>
      <c r="K512" s="1" t="str">
        <f>_xlfn.XLOOKUP(C512, 'Product Catalog'!$A:$A, 'Product Catalog'!$B:$B, "Unknown Product")</f>
        <v>Hoodie Model B79</v>
      </c>
      <c r="L512" s="1" t="str">
        <f>_xlfn.XLOOKUP(C512, 'Product Catalog'!$A:$A, 'Product Catalog'!$C:$C, "Unknown Category")</f>
        <v>Apparel</v>
      </c>
      <c r="M512" s="1">
        <f>_xlfn.XLOOKUP(C512, 'Product Catalog'!$A:$A, 'Product Catalog'!$D:$D, 0)</f>
        <v>106.9</v>
      </c>
      <c r="N512" s="1">
        <f t="shared" si="15"/>
        <v>106.9</v>
      </c>
    </row>
    <row r="513" spans="1:14" x14ac:dyDescent="0.3">
      <c r="A513" s="1" t="s">
        <v>937</v>
      </c>
      <c r="B513" s="1" t="s">
        <v>97</v>
      </c>
      <c r="C513" s="1" t="s">
        <v>542</v>
      </c>
      <c r="D513" s="1">
        <v>1</v>
      </c>
      <c r="E513" s="12">
        <v>45846.646527777775</v>
      </c>
      <c r="F513" s="1" t="s">
        <v>170</v>
      </c>
      <c r="G513" s="1" t="s">
        <v>40</v>
      </c>
      <c r="H513" s="1" t="s">
        <v>51</v>
      </c>
      <c r="I513" s="1" t="s">
        <v>102</v>
      </c>
      <c r="J513" s="1" t="str">
        <f t="shared" si="14"/>
        <v>disputed</v>
      </c>
      <c r="K513" s="1" t="str">
        <f>_xlfn.XLOOKUP(C513, 'Product Catalog'!$A:$A, 'Product Catalog'!$B:$B, "Unknown Product")</f>
        <v>Cable Model M38</v>
      </c>
      <c r="L513" s="1" t="str">
        <f>_xlfn.XLOOKUP(C513, 'Product Catalog'!$A:$A, 'Product Catalog'!$C:$C, "Unknown Category")</f>
        <v>Electronics</v>
      </c>
      <c r="M513" s="1">
        <f>_xlfn.XLOOKUP(C513, 'Product Catalog'!$A:$A, 'Product Catalog'!$D:$D, 0)</f>
        <v>91.18</v>
      </c>
      <c r="N513" s="1">
        <f t="shared" si="15"/>
        <v>91.18</v>
      </c>
    </row>
    <row r="514" spans="1:14" x14ac:dyDescent="0.3">
      <c r="A514" s="1" t="s">
        <v>938</v>
      </c>
      <c r="B514" s="1" t="s">
        <v>939</v>
      </c>
      <c r="C514" s="1" t="s">
        <v>527</v>
      </c>
      <c r="D514" s="1">
        <v>4</v>
      </c>
      <c r="E514" s="12">
        <v>45907.465277777781</v>
      </c>
      <c r="F514" s="1" t="s">
        <v>39</v>
      </c>
      <c r="G514" s="1" t="s">
        <v>31</v>
      </c>
      <c r="H514" s="1" t="s">
        <v>41</v>
      </c>
      <c r="I514" s="1" t="s">
        <v>81</v>
      </c>
      <c r="J514" s="1" t="str">
        <f t="shared" ref="J514:J577" si="16">TRIM(I514)</f>
        <v>REFUNDED</v>
      </c>
      <c r="K514" s="1" t="str">
        <f>_xlfn.XLOOKUP(C514, 'Product Catalog'!$A:$A, 'Product Catalog'!$B:$B, "Unknown Product")</f>
        <v>Leather Handbag Model S96</v>
      </c>
      <c r="L514" s="1" t="str">
        <f>_xlfn.XLOOKUP(C514, 'Product Catalog'!$A:$A, 'Product Catalog'!$C:$C, "Unknown Category")</f>
        <v>Luxury Goods</v>
      </c>
      <c r="M514" s="1">
        <f>_xlfn.XLOOKUP(C514, 'Product Catalog'!$A:$A, 'Product Catalog'!$D:$D, 0)</f>
        <v>2336.6799999999998</v>
      </c>
      <c r="N514" s="1">
        <f t="shared" ref="N514:N577" si="17">D514 * M514</f>
        <v>9346.7199999999993</v>
      </c>
    </row>
    <row r="515" spans="1:14" x14ac:dyDescent="0.3">
      <c r="A515" s="1" t="s">
        <v>940</v>
      </c>
      <c r="B515" s="1" t="s">
        <v>591</v>
      </c>
      <c r="C515" s="1" t="s">
        <v>482</v>
      </c>
      <c r="D515" s="1">
        <v>1</v>
      </c>
      <c r="E515" s="12">
        <v>45955.003472222219</v>
      </c>
      <c r="F515" s="1" t="s">
        <v>12</v>
      </c>
      <c r="G515" s="1" t="s">
        <v>46</v>
      </c>
      <c r="H515" s="1" t="s">
        <v>14</v>
      </c>
      <c r="I515" s="1" t="s">
        <v>15</v>
      </c>
      <c r="J515" s="1" t="str">
        <f t="shared" si="16"/>
        <v>delivered</v>
      </c>
      <c r="K515" s="1" t="str">
        <f>_xlfn.XLOOKUP(C515, 'Product Catalog'!$A:$A, 'Product Catalog'!$B:$B, "Unknown Product")</f>
        <v>VPN 6-Month Pass Model E30</v>
      </c>
      <c r="L515" s="1" t="str">
        <f>_xlfn.XLOOKUP(C515, 'Product Catalog'!$A:$A, 'Product Catalog'!$C:$C, "Unknown Category")</f>
        <v>Digital Services</v>
      </c>
      <c r="M515" s="1">
        <f>_xlfn.XLOOKUP(C515, 'Product Catalog'!$A:$A, 'Product Catalog'!$D:$D, 0)</f>
        <v>28.63</v>
      </c>
      <c r="N515" s="1">
        <f t="shared" si="17"/>
        <v>28.63</v>
      </c>
    </row>
    <row r="516" spans="1:14" x14ac:dyDescent="0.3">
      <c r="A516" s="1" t="s">
        <v>941</v>
      </c>
      <c r="B516" s="1" t="s">
        <v>745</v>
      </c>
      <c r="C516" s="1" t="s">
        <v>721</v>
      </c>
      <c r="D516" s="1">
        <v>1</v>
      </c>
      <c r="E516" s="12">
        <v>45705.651388888888</v>
      </c>
      <c r="F516" s="1" t="s">
        <v>185</v>
      </c>
      <c r="G516" s="1" t="s">
        <v>31</v>
      </c>
      <c r="H516" s="1" t="s">
        <v>41</v>
      </c>
      <c r="I516" s="1" t="s">
        <v>15</v>
      </c>
      <c r="J516" s="1" t="str">
        <f t="shared" si="16"/>
        <v>delivered</v>
      </c>
      <c r="K516" s="1" t="str">
        <f>_xlfn.XLOOKUP(C516, 'Product Catalog'!$A:$A, 'Product Catalog'!$B:$B, "Unknown Product")</f>
        <v>Hoodie Model E134</v>
      </c>
      <c r="L516" s="1" t="str">
        <f>_xlfn.XLOOKUP(C516, 'Product Catalog'!$A:$A, 'Product Catalog'!$C:$C, "Unknown Category")</f>
        <v>Apparel</v>
      </c>
      <c r="M516" s="1">
        <f>_xlfn.XLOOKUP(C516, 'Product Catalog'!$A:$A, 'Product Catalog'!$D:$D, 0)</f>
        <v>58.39</v>
      </c>
      <c r="N516" s="1">
        <f t="shared" si="17"/>
        <v>58.39</v>
      </c>
    </row>
    <row r="517" spans="1:14" x14ac:dyDescent="0.3">
      <c r="A517" s="1" t="s">
        <v>942</v>
      </c>
      <c r="B517" s="1" t="s">
        <v>943</v>
      </c>
      <c r="C517" s="1" t="s">
        <v>749</v>
      </c>
      <c r="D517" s="1">
        <v>3</v>
      </c>
      <c r="E517" s="12">
        <v>45983.944444444445</v>
      </c>
      <c r="F517" s="1" t="s">
        <v>19</v>
      </c>
      <c r="G517" s="1" t="s">
        <v>20</v>
      </c>
      <c r="H517" s="1" t="s">
        <v>41</v>
      </c>
      <c r="I517" s="1" t="s">
        <v>15</v>
      </c>
      <c r="J517" s="1" t="str">
        <f t="shared" si="16"/>
        <v>delivered</v>
      </c>
      <c r="K517" s="1" t="str">
        <f>_xlfn.XLOOKUP(C517, 'Product Catalog'!$A:$A, 'Product Catalog'!$B:$B, "Unknown Product")</f>
        <v>VPN 6-Month Pass Model A130</v>
      </c>
      <c r="L517" s="1" t="str">
        <f>_xlfn.XLOOKUP(C517, 'Product Catalog'!$A:$A, 'Product Catalog'!$C:$C, "Unknown Category")</f>
        <v>Digital Services</v>
      </c>
      <c r="M517" s="1">
        <f>_xlfn.XLOOKUP(C517, 'Product Catalog'!$A:$A, 'Product Catalog'!$D:$D, 0)</f>
        <v>81.61</v>
      </c>
      <c r="N517" s="1">
        <f t="shared" si="17"/>
        <v>244.82999999999998</v>
      </c>
    </row>
    <row r="518" spans="1:14" x14ac:dyDescent="0.3">
      <c r="A518" s="1" t="s">
        <v>944</v>
      </c>
      <c r="B518" s="1" t="s">
        <v>111</v>
      </c>
      <c r="C518" s="1" t="s">
        <v>374</v>
      </c>
      <c r="D518" s="1">
        <v>1</v>
      </c>
      <c r="E518" s="12">
        <v>46015.509027777778</v>
      </c>
      <c r="F518" s="1" t="s">
        <v>12</v>
      </c>
      <c r="G518" s="1" t="s">
        <v>13</v>
      </c>
      <c r="H518" s="1" t="s">
        <v>14</v>
      </c>
      <c r="I518" s="1" t="s">
        <v>32</v>
      </c>
      <c r="J518" s="1" t="str">
        <f t="shared" si="16"/>
        <v>SHIPPED</v>
      </c>
      <c r="K518" s="1" t="str">
        <f>_xlfn.XLOOKUP(C518, 'Product Catalog'!$A:$A, 'Product Catalog'!$B:$B, "Unknown Product")</f>
        <v>Mug Model H33</v>
      </c>
      <c r="L518" s="1" t="str">
        <f>_xlfn.XLOOKUP(C518, 'Product Catalog'!$A:$A, 'Product Catalog'!$C:$C, "Unknown Category")</f>
        <v>Home Goods</v>
      </c>
      <c r="M518" s="1">
        <f>_xlfn.XLOOKUP(C518, 'Product Catalog'!$A:$A, 'Product Catalog'!$D:$D, 0)</f>
        <v>45.31</v>
      </c>
      <c r="N518" s="1">
        <f t="shared" si="17"/>
        <v>45.31</v>
      </c>
    </row>
    <row r="519" spans="1:14" x14ac:dyDescent="0.3">
      <c r="A519" s="1" t="s">
        <v>945</v>
      </c>
      <c r="B519" s="1" t="s">
        <v>517</v>
      </c>
      <c r="C519" s="1" t="s">
        <v>203</v>
      </c>
      <c r="D519" s="1">
        <v>4</v>
      </c>
      <c r="E519" s="12">
        <v>45690.759722222225</v>
      </c>
      <c r="F519" s="1" t="s">
        <v>39</v>
      </c>
      <c r="G519" s="1" t="s">
        <v>40</v>
      </c>
      <c r="H519" s="1" t="s">
        <v>55</v>
      </c>
      <c r="I519" s="1" t="s">
        <v>102</v>
      </c>
      <c r="J519" s="1" t="str">
        <f t="shared" si="16"/>
        <v>disputed</v>
      </c>
      <c r="K519" s="1" t="str">
        <f>_xlfn.XLOOKUP(C519, 'Product Catalog'!$A:$A, 'Product Catalog'!$B:$B, "Unknown Product")</f>
        <v>Pillow Model R17</v>
      </c>
      <c r="L519" s="1" t="str">
        <f>_xlfn.XLOOKUP(C519, 'Product Catalog'!$A:$A, 'Product Catalog'!$C:$C, "Unknown Category")</f>
        <v>Home Goods</v>
      </c>
      <c r="M519" s="1">
        <f>_xlfn.XLOOKUP(C519, 'Product Catalog'!$A:$A, 'Product Catalog'!$D:$D, 0)</f>
        <v>169.86</v>
      </c>
      <c r="N519" s="1">
        <f t="shared" si="17"/>
        <v>679.44</v>
      </c>
    </row>
    <row r="520" spans="1:14" x14ac:dyDescent="0.3">
      <c r="A520" s="1" t="s">
        <v>946</v>
      </c>
      <c r="B520" s="1" t="s">
        <v>689</v>
      </c>
      <c r="C520" s="1" t="s">
        <v>117</v>
      </c>
      <c r="D520" s="1">
        <v>4</v>
      </c>
      <c r="E520" s="12">
        <v>45861.30972222222</v>
      </c>
      <c r="F520" s="1" t="s">
        <v>12</v>
      </c>
      <c r="G520" s="1" t="s">
        <v>40</v>
      </c>
      <c r="H520" s="1" t="s">
        <v>55</v>
      </c>
      <c r="I520" s="1" t="s">
        <v>81</v>
      </c>
      <c r="J520" s="1" t="str">
        <f t="shared" si="16"/>
        <v>REFUNDED</v>
      </c>
      <c r="K520" s="1" t="str">
        <f>_xlfn.XLOOKUP(C520, 'Product Catalog'!$A:$A, 'Product Catalog'!$B:$B, "Unknown Product")</f>
        <v>Organizer Model R95</v>
      </c>
      <c r="L520" s="1" t="str">
        <f>_xlfn.XLOOKUP(C520, 'Product Catalog'!$A:$A, 'Product Catalog'!$C:$C, "Unknown Category")</f>
        <v>Home Goods</v>
      </c>
      <c r="M520" s="1">
        <f>_xlfn.XLOOKUP(C520, 'Product Catalog'!$A:$A, 'Product Catalog'!$D:$D, 0)</f>
        <v>109.58</v>
      </c>
      <c r="N520" s="1">
        <f t="shared" si="17"/>
        <v>438.32</v>
      </c>
    </row>
    <row r="521" spans="1:14" x14ac:dyDescent="0.3">
      <c r="A521" s="1" t="s">
        <v>947</v>
      </c>
      <c r="B521" s="1" t="s">
        <v>948</v>
      </c>
      <c r="C521" s="1" t="s">
        <v>633</v>
      </c>
      <c r="D521" s="1">
        <v>1</v>
      </c>
      <c r="E521" s="12">
        <v>45877.300694444442</v>
      </c>
      <c r="F521" s="1" t="s">
        <v>19</v>
      </c>
      <c r="G521" s="1" t="s">
        <v>31</v>
      </c>
      <c r="H521" s="1" t="s">
        <v>14</v>
      </c>
      <c r="I521" s="1" t="s">
        <v>15</v>
      </c>
      <c r="J521" s="1" t="str">
        <f t="shared" si="16"/>
        <v>delivered</v>
      </c>
      <c r="K521" s="1" t="str">
        <f>_xlfn.XLOOKUP(C521, 'Product Catalog'!$A:$A, 'Product Catalog'!$B:$B, "Unknown Product")</f>
        <v>Keyboard Model X49</v>
      </c>
      <c r="L521" s="1" t="str">
        <f>_xlfn.XLOOKUP(C521, 'Product Catalog'!$A:$A, 'Product Catalog'!$C:$C, "Unknown Category")</f>
        <v>Electronics</v>
      </c>
      <c r="M521" s="1">
        <f>_xlfn.XLOOKUP(C521, 'Product Catalog'!$A:$A, 'Product Catalog'!$D:$D, 0)</f>
        <v>30.84</v>
      </c>
      <c r="N521" s="1">
        <f t="shared" si="17"/>
        <v>30.84</v>
      </c>
    </row>
    <row r="522" spans="1:14" x14ac:dyDescent="0.3">
      <c r="A522" s="1" t="s">
        <v>949</v>
      </c>
      <c r="B522" s="1" t="s">
        <v>950</v>
      </c>
      <c r="C522" s="1" t="s">
        <v>164</v>
      </c>
      <c r="D522" s="1">
        <v>1</v>
      </c>
      <c r="E522" s="12">
        <v>45911.381249999999</v>
      </c>
      <c r="F522" s="1" t="s">
        <v>12</v>
      </c>
      <c r="G522" s="1" t="s">
        <v>40</v>
      </c>
      <c r="H522" s="1" t="s">
        <v>55</v>
      </c>
      <c r="I522" s="1" t="s">
        <v>102</v>
      </c>
      <c r="J522" s="1" t="str">
        <f t="shared" si="16"/>
        <v>disputed</v>
      </c>
      <c r="K522" s="1" t="str">
        <f>_xlfn.XLOOKUP(C522, 'Product Catalog'!$A:$A, 'Product Catalog'!$B:$B, "Unknown Product")</f>
        <v>Gold Bracelet Model A26</v>
      </c>
      <c r="L522" s="1" t="str">
        <f>_xlfn.XLOOKUP(C522, 'Product Catalog'!$A:$A, 'Product Catalog'!$C:$C, "Unknown Category")</f>
        <v>Luxury Goods</v>
      </c>
      <c r="M522" s="1">
        <f>_xlfn.XLOOKUP(C522, 'Product Catalog'!$A:$A, 'Product Catalog'!$D:$D, 0)</f>
        <v>1096.3900000000001</v>
      </c>
      <c r="N522" s="1">
        <f t="shared" si="17"/>
        <v>1096.3900000000001</v>
      </c>
    </row>
    <row r="523" spans="1:14" x14ac:dyDescent="0.3">
      <c r="A523" s="1" t="s">
        <v>951</v>
      </c>
      <c r="B523" s="1" t="s">
        <v>902</v>
      </c>
      <c r="C523" s="1" t="s">
        <v>334</v>
      </c>
      <c r="D523" s="1">
        <v>5</v>
      </c>
      <c r="E523" s="12">
        <v>45823.402777777781</v>
      </c>
      <c r="F523" s="1" t="s">
        <v>170</v>
      </c>
      <c r="G523" s="1" t="s">
        <v>50</v>
      </c>
      <c r="H523" s="1" t="s">
        <v>51</v>
      </c>
      <c r="I523" s="1" t="s">
        <v>56</v>
      </c>
      <c r="J523" s="1" t="str">
        <f t="shared" si="16"/>
        <v>cancelled</v>
      </c>
      <c r="K523" s="1" t="str">
        <f>_xlfn.XLOOKUP(C523, 'Product Catalog'!$A:$A, 'Product Catalog'!$B:$B, "Unknown Product")</f>
        <v>Jeans Model Q42</v>
      </c>
      <c r="L523" s="1" t="str">
        <f>_xlfn.XLOOKUP(C523, 'Product Catalog'!$A:$A, 'Product Catalog'!$C:$C, "Unknown Category")</f>
        <v>Apparel</v>
      </c>
      <c r="M523" s="1">
        <f>_xlfn.XLOOKUP(C523, 'Product Catalog'!$A:$A, 'Product Catalog'!$D:$D, 0)</f>
        <v>82.57</v>
      </c>
      <c r="N523" s="1">
        <f t="shared" si="17"/>
        <v>412.84999999999997</v>
      </c>
    </row>
    <row r="524" spans="1:14" x14ac:dyDescent="0.3">
      <c r="A524" s="1" t="s">
        <v>952</v>
      </c>
      <c r="B524" s="1" t="s">
        <v>305</v>
      </c>
      <c r="C524" s="1" t="s">
        <v>80</v>
      </c>
      <c r="D524" s="1">
        <v>1</v>
      </c>
      <c r="E524" s="12">
        <v>45830.777777777781</v>
      </c>
      <c r="F524" s="1" t="s">
        <v>39</v>
      </c>
      <c r="G524" s="1" t="s">
        <v>31</v>
      </c>
      <c r="H524" s="1" t="s">
        <v>51</v>
      </c>
      <c r="I524" s="1" t="s">
        <v>56</v>
      </c>
      <c r="J524" s="1" t="str">
        <f t="shared" si="16"/>
        <v>cancelled</v>
      </c>
      <c r="K524" s="1" t="str">
        <f>_xlfn.XLOOKUP(C524, 'Product Catalog'!$A:$A, 'Product Catalog'!$B:$B, "Unknown Product")</f>
        <v>Leather Handbag Model S18</v>
      </c>
      <c r="L524" s="1" t="str">
        <f>_xlfn.XLOOKUP(C524, 'Product Catalog'!$A:$A, 'Product Catalog'!$C:$C, "Unknown Category")</f>
        <v>Luxury Goods</v>
      </c>
      <c r="M524" s="1">
        <f>_xlfn.XLOOKUP(C524, 'Product Catalog'!$A:$A, 'Product Catalog'!$D:$D, 0)</f>
        <v>1475.11</v>
      </c>
      <c r="N524" s="1">
        <f t="shared" si="17"/>
        <v>1475.11</v>
      </c>
    </row>
    <row r="525" spans="1:14" x14ac:dyDescent="0.3">
      <c r="A525" s="1" t="s">
        <v>953</v>
      </c>
      <c r="B525" s="1" t="s">
        <v>954</v>
      </c>
      <c r="C525" s="1" t="s">
        <v>268</v>
      </c>
      <c r="D525" s="1">
        <v>1</v>
      </c>
      <c r="E525" s="12">
        <v>45953.185416666667</v>
      </c>
      <c r="F525" s="1" t="s">
        <v>185</v>
      </c>
      <c r="G525" s="1" t="s">
        <v>109</v>
      </c>
      <c r="H525" s="1" t="s">
        <v>24</v>
      </c>
      <c r="I525" s="1" t="s">
        <v>15</v>
      </c>
      <c r="J525" s="1" t="str">
        <f t="shared" si="16"/>
        <v>delivered</v>
      </c>
      <c r="K525" s="1" t="str">
        <f>_xlfn.XLOOKUP(C525, 'Product Catalog'!$A:$A, 'Product Catalog'!$B:$B, "Unknown Product")</f>
        <v>Sneakers Model P119</v>
      </c>
      <c r="L525" s="1" t="str">
        <f>_xlfn.XLOOKUP(C525, 'Product Catalog'!$A:$A, 'Product Catalog'!$C:$C, "Unknown Category")</f>
        <v>Apparel</v>
      </c>
      <c r="M525" s="1">
        <f>_xlfn.XLOOKUP(C525, 'Product Catalog'!$A:$A, 'Product Catalog'!$D:$D, 0)</f>
        <v>19.329999999999998</v>
      </c>
      <c r="N525" s="1">
        <f t="shared" si="17"/>
        <v>19.329999999999998</v>
      </c>
    </row>
    <row r="526" spans="1:14" x14ac:dyDescent="0.3">
      <c r="A526" s="1" t="s">
        <v>955</v>
      </c>
      <c r="B526" s="1" t="s">
        <v>232</v>
      </c>
      <c r="C526" s="1" t="s">
        <v>309</v>
      </c>
      <c r="D526" s="1">
        <v>4</v>
      </c>
      <c r="E526" s="12">
        <v>45947.689583333333</v>
      </c>
      <c r="F526" s="1" t="s">
        <v>19</v>
      </c>
      <c r="G526" s="1" t="s">
        <v>40</v>
      </c>
      <c r="H526" s="1" t="s">
        <v>51</v>
      </c>
      <c r="I526" s="1" t="s">
        <v>56</v>
      </c>
      <c r="J526" s="1" t="str">
        <f t="shared" si="16"/>
        <v>cancelled</v>
      </c>
      <c r="K526" s="1" t="str">
        <f>_xlfn.XLOOKUP(C526, 'Product Catalog'!$A:$A, 'Product Catalog'!$B:$B, "Unknown Product")</f>
        <v>Sneakers Model C2</v>
      </c>
      <c r="L526" s="1" t="str">
        <f>_xlfn.XLOOKUP(C526, 'Product Catalog'!$A:$A, 'Product Catalog'!$C:$C, "Unknown Category")</f>
        <v>Apparel</v>
      </c>
      <c r="M526" s="1">
        <f>_xlfn.XLOOKUP(C526, 'Product Catalog'!$A:$A, 'Product Catalog'!$D:$D, 0)</f>
        <v>21.27</v>
      </c>
      <c r="N526" s="1">
        <f t="shared" si="17"/>
        <v>85.08</v>
      </c>
    </row>
    <row r="527" spans="1:14" x14ac:dyDescent="0.3">
      <c r="A527" s="1" t="s">
        <v>956</v>
      </c>
      <c r="B527" s="1" t="s">
        <v>142</v>
      </c>
      <c r="C527" s="1" t="s">
        <v>108</v>
      </c>
      <c r="D527" s="1">
        <v>1</v>
      </c>
      <c r="E527" s="12">
        <v>45833.970138888886</v>
      </c>
      <c r="F527" s="1" t="s">
        <v>12</v>
      </c>
      <c r="G527" s="1" t="s">
        <v>109</v>
      </c>
      <c r="H527" s="1" t="s">
        <v>14</v>
      </c>
      <c r="I527" s="1" t="s">
        <v>42</v>
      </c>
      <c r="J527" s="1" t="str">
        <f t="shared" si="16"/>
        <v>PENDING_REVIEW</v>
      </c>
      <c r="K527" s="1" t="str">
        <f>_xlfn.XLOOKUP(C527, 'Product Catalog'!$A:$A, 'Product Catalog'!$B:$B, "Unknown Product")</f>
        <v>Smartwatch Model H7</v>
      </c>
      <c r="L527" s="1" t="str">
        <f>_xlfn.XLOOKUP(C527, 'Product Catalog'!$A:$A, 'Product Catalog'!$C:$C, "Unknown Category")</f>
        <v>Electronics</v>
      </c>
      <c r="M527" s="1">
        <f>_xlfn.XLOOKUP(C527, 'Product Catalog'!$A:$A, 'Product Catalog'!$D:$D, 0)</f>
        <v>204.37</v>
      </c>
      <c r="N527" s="1">
        <f t="shared" si="17"/>
        <v>204.37</v>
      </c>
    </row>
    <row r="528" spans="1:14" x14ac:dyDescent="0.3">
      <c r="A528" s="1" t="s">
        <v>957</v>
      </c>
      <c r="B528" s="1" t="s">
        <v>502</v>
      </c>
      <c r="C528" s="1" t="s">
        <v>229</v>
      </c>
      <c r="D528" s="1">
        <v>1</v>
      </c>
      <c r="E528" s="12">
        <v>45682.06527777778</v>
      </c>
      <c r="F528" s="1" t="s">
        <v>19</v>
      </c>
      <c r="G528" s="1" t="s">
        <v>13</v>
      </c>
      <c r="H528" s="1" t="s">
        <v>41</v>
      </c>
      <c r="I528" s="1" t="s">
        <v>15</v>
      </c>
      <c r="J528" s="1" t="str">
        <f t="shared" si="16"/>
        <v>delivered</v>
      </c>
      <c r="K528" s="1" t="str">
        <f>_xlfn.XLOOKUP(C528, 'Product Catalog'!$A:$A, 'Product Catalog'!$B:$B, "Unknown Product")</f>
        <v>Premium Stream 1M Model O118</v>
      </c>
      <c r="L528" s="1" t="str">
        <f>_xlfn.XLOOKUP(C528, 'Product Catalog'!$A:$A, 'Product Catalog'!$C:$C, "Unknown Category")</f>
        <v>Digital Services</v>
      </c>
      <c r="M528" s="1">
        <f>_xlfn.XLOOKUP(C528, 'Product Catalog'!$A:$A, 'Product Catalog'!$D:$D, 0)</f>
        <v>53.05</v>
      </c>
      <c r="N528" s="1">
        <f t="shared" si="17"/>
        <v>53.05</v>
      </c>
    </row>
    <row r="529" spans="1:14" x14ac:dyDescent="0.3">
      <c r="A529" s="1" t="s">
        <v>958</v>
      </c>
      <c r="B529" s="1" t="s">
        <v>627</v>
      </c>
      <c r="C529" s="1" t="s">
        <v>95</v>
      </c>
      <c r="D529" s="1">
        <v>1</v>
      </c>
      <c r="E529" s="12">
        <v>45708.890277777777</v>
      </c>
      <c r="F529" s="1" t="s">
        <v>12</v>
      </c>
      <c r="G529" s="1" t="s">
        <v>46</v>
      </c>
      <c r="H529" s="1" t="s">
        <v>41</v>
      </c>
      <c r="I529" s="1" t="s">
        <v>15</v>
      </c>
      <c r="J529" s="1" t="str">
        <f t="shared" si="16"/>
        <v>delivered</v>
      </c>
      <c r="K529" s="1" t="str">
        <f>_xlfn.XLOOKUP(C529, 'Product Catalog'!$A:$A, 'Product Catalog'!$B:$B, "Unknown Product")</f>
        <v>Jacket Model U72</v>
      </c>
      <c r="L529" s="1" t="str">
        <f>_xlfn.XLOOKUP(C529, 'Product Catalog'!$A:$A, 'Product Catalog'!$C:$C, "Unknown Category")</f>
        <v>Apparel</v>
      </c>
      <c r="M529" s="1">
        <f>_xlfn.XLOOKUP(C529, 'Product Catalog'!$A:$A, 'Product Catalog'!$D:$D, 0)</f>
        <v>75.400000000000006</v>
      </c>
      <c r="N529" s="1">
        <f t="shared" si="17"/>
        <v>75.400000000000006</v>
      </c>
    </row>
    <row r="530" spans="1:14" x14ac:dyDescent="0.3">
      <c r="A530" s="1" t="s">
        <v>959</v>
      </c>
      <c r="B530" s="1" t="s">
        <v>960</v>
      </c>
      <c r="C530" s="1" t="s">
        <v>137</v>
      </c>
      <c r="D530" s="1">
        <v>5</v>
      </c>
      <c r="E530" s="12">
        <v>45893.022916666669</v>
      </c>
      <c r="F530" s="1" t="s">
        <v>12</v>
      </c>
      <c r="G530" s="1" t="s">
        <v>50</v>
      </c>
      <c r="H530" s="1" t="s">
        <v>41</v>
      </c>
      <c r="I530" s="1" t="s">
        <v>42</v>
      </c>
      <c r="J530" s="1" t="str">
        <f t="shared" si="16"/>
        <v>PENDING_REVIEW</v>
      </c>
      <c r="K530" s="1" t="str">
        <f>_xlfn.XLOOKUP(C530, 'Product Catalog'!$A:$A, 'Product Catalog'!$B:$B, "Unknown Product")</f>
        <v>VPN 6-Month Pass Model M90</v>
      </c>
      <c r="L530" s="1" t="str">
        <f>_xlfn.XLOOKUP(C530, 'Product Catalog'!$A:$A, 'Product Catalog'!$C:$C, "Unknown Category")</f>
        <v>Digital Services</v>
      </c>
      <c r="M530" s="1">
        <f>_xlfn.XLOOKUP(C530, 'Product Catalog'!$A:$A, 'Product Catalog'!$D:$D, 0)</f>
        <v>5.91</v>
      </c>
      <c r="N530" s="1">
        <f t="shared" si="17"/>
        <v>29.55</v>
      </c>
    </row>
    <row r="531" spans="1:14" x14ac:dyDescent="0.3">
      <c r="A531" s="1" t="s">
        <v>961</v>
      </c>
      <c r="B531" s="1" t="s">
        <v>398</v>
      </c>
      <c r="C531" s="1" t="s">
        <v>256</v>
      </c>
      <c r="D531" s="1">
        <v>1</v>
      </c>
      <c r="E531" s="12">
        <v>45721.224305555559</v>
      </c>
      <c r="F531" s="1" t="s">
        <v>12</v>
      </c>
      <c r="G531" s="1" t="s">
        <v>31</v>
      </c>
      <c r="H531" s="1" t="s">
        <v>41</v>
      </c>
      <c r="I531" s="1" t="s">
        <v>32</v>
      </c>
      <c r="J531" s="1" t="str">
        <f t="shared" si="16"/>
        <v>SHIPPED</v>
      </c>
      <c r="K531" s="1" t="str">
        <f>_xlfn.XLOOKUP(C531, 'Product Catalog'!$A:$A, 'Product Catalog'!$B:$B, "Unknown Product")</f>
        <v>Charger Model E56</v>
      </c>
      <c r="L531" s="1" t="str">
        <f>_xlfn.XLOOKUP(C531, 'Product Catalog'!$A:$A, 'Product Catalog'!$C:$C, "Unknown Category")</f>
        <v>Electronics</v>
      </c>
      <c r="M531" s="1">
        <f>_xlfn.XLOOKUP(C531, 'Product Catalog'!$A:$A, 'Product Catalog'!$D:$D, 0)</f>
        <v>186.13</v>
      </c>
      <c r="N531" s="1">
        <f t="shared" si="17"/>
        <v>186.13</v>
      </c>
    </row>
    <row r="532" spans="1:14" x14ac:dyDescent="0.3">
      <c r="A532" s="1" t="s">
        <v>962</v>
      </c>
      <c r="B532" s="1" t="s">
        <v>963</v>
      </c>
      <c r="C532" s="1" t="s">
        <v>396</v>
      </c>
      <c r="D532" s="1">
        <v>2</v>
      </c>
      <c r="E532" s="12">
        <v>45883.648611111108</v>
      </c>
      <c r="F532" s="1" t="s">
        <v>19</v>
      </c>
      <c r="G532" s="1" t="s">
        <v>20</v>
      </c>
      <c r="H532" s="1" t="s">
        <v>41</v>
      </c>
      <c r="I532" s="1" t="s">
        <v>15</v>
      </c>
      <c r="J532" s="1" t="str">
        <f t="shared" si="16"/>
        <v>delivered</v>
      </c>
      <c r="K532" s="1" t="str">
        <f>_xlfn.XLOOKUP(C532, 'Product Catalog'!$A:$A, 'Product Catalog'!$B:$B, "Unknown Product")</f>
        <v>Cap Model O14</v>
      </c>
      <c r="L532" s="1" t="str">
        <f>_xlfn.XLOOKUP(C532, 'Product Catalog'!$A:$A, 'Product Catalog'!$C:$C, "Unknown Category")</f>
        <v>Apparel</v>
      </c>
      <c r="M532" s="1">
        <f>_xlfn.XLOOKUP(C532, 'Product Catalog'!$A:$A, 'Product Catalog'!$D:$D, 0)</f>
        <v>41.83</v>
      </c>
      <c r="N532" s="1">
        <f t="shared" si="17"/>
        <v>83.66</v>
      </c>
    </row>
    <row r="533" spans="1:14" x14ac:dyDescent="0.3">
      <c r="A533" s="1" t="s">
        <v>964</v>
      </c>
      <c r="B533" s="1" t="s">
        <v>448</v>
      </c>
      <c r="C533" s="1" t="s">
        <v>320</v>
      </c>
      <c r="D533" s="1">
        <v>1</v>
      </c>
      <c r="E533" s="12">
        <v>45658.60833333333</v>
      </c>
      <c r="F533" s="1" t="s">
        <v>19</v>
      </c>
      <c r="G533" s="1" t="s">
        <v>109</v>
      </c>
      <c r="H533" s="1" t="s">
        <v>14</v>
      </c>
      <c r="I533" s="1" t="s">
        <v>15</v>
      </c>
      <c r="J533" s="1" t="str">
        <f t="shared" si="16"/>
        <v>delivered</v>
      </c>
      <c r="K533" s="1" t="str">
        <f>_xlfn.XLOOKUP(C533, 'Product Catalog'!$A:$A, 'Product Catalog'!$B:$B, "Unknown Product")</f>
        <v>Premium Stream 1M Model Y24</v>
      </c>
      <c r="L533" s="1" t="str">
        <f>_xlfn.XLOOKUP(C533, 'Product Catalog'!$A:$A, 'Product Catalog'!$C:$C, "Unknown Category")</f>
        <v>Digital Services</v>
      </c>
      <c r="M533" s="1">
        <f>_xlfn.XLOOKUP(C533, 'Product Catalog'!$A:$A, 'Product Catalog'!$D:$D, 0)</f>
        <v>29.9</v>
      </c>
      <c r="N533" s="1">
        <f t="shared" si="17"/>
        <v>29.9</v>
      </c>
    </row>
    <row r="534" spans="1:14" x14ac:dyDescent="0.3">
      <c r="A534" s="1" t="s">
        <v>965</v>
      </c>
      <c r="B534" s="1" t="s">
        <v>559</v>
      </c>
      <c r="C534" s="1" t="s">
        <v>396</v>
      </c>
      <c r="D534" s="1">
        <v>1</v>
      </c>
      <c r="E534" s="12">
        <v>45761.979166666664</v>
      </c>
      <c r="F534" s="1" t="s">
        <v>12</v>
      </c>
      <c r="G534" s="1" t="s">
        <v>13</v>
      </c>
      <c r="H534" s="1" t="s">
        <v>14</v>
      </c>
      <c r="I534" s="1" t="s">
        <v>15</v>
      </c>
      <c r="J534" s="1" t="str">
        <f t="shared" si="16"/>
        <v>delivered</v>
      </c>
      <c r="K534" s="1" t="str">
        <f>_xlfn.XLOOKUP(C534, 'Product Catalog'!$A:$A, 'Product Catalog'!$B:$B, "Unknown Product")</f>
        <v>Cap Model O14</v>
      </c>
      <c r="L534" s="1" t="str">
        <f>_xlfn.XLOOKUP(C534, 'Product Catalog'!$A:$A, 'Product Catalog'!$C:$C, "Unknown Category")</f>
        <v>Apparel</v>
      </c>
      <c r="M534" s="1">
        <f>_xlfn.XLOOKUP(C534, 'Product Catalog'!$A:$A, 'Product Catalog'!$D:$D, 0)</f>
        <v>41.83</v>
      </c>
      <c r="N534" s="1">
        <f t="shared" si="17"/>
        <v>41.83</v>
      </c>
    </row>
    <row r="535" spans="1:14" x14ac:dyDescent="0.3">
      <c r="A535" s="1" t="s">
        <v>966</v>
      </c>
      <c r="B535" s="1" t="s">
        <v>627</v>
      </c>
      <c r="C535" s="1" t="s">
        <v>224</v>
      </c>
      <c r="D535" s="1">
        <v>1</v>
      </c>
      <c r="E535" s="12">
        <v>45725.924305555556</v>
      </c>
      <c r="F535" s="1" t="s">
        <v>19</v>
      </c>
      <c r="G535" s="1" t="s">
        <v>31</v>
      </c>
      <c r="H535" s="1" t="s">
        <v>41</v>
      </c>
      <c r="I535" s="1" t="s">
        <v>32</v>
      </c>
      <c r="J535" s="1" t="str">
        <f t="shared" si="16"/>
        <v>SHIPPED</v>
      </c>
      <c r="K535" s="1" t="str">
        <f>_xlfn.XLOOKUP(C535, 'Product Catalog'!$A:$A, 'Product Catalog'!$B:$B, "Unknown Product")</f>
        <v>Organizer Model P93</v>
      </c>
      <c r="L535" s="1" t="str">
        <f>_xlfn.XLOOKUP(C535, 'Product Catalog'!$A:$A, 'Product Catalog'!$C:$C, "Unknown Category")</f>
        <v>Home Goods</v>
      </c>
      <c r="M535" s="1">
        <f>_xlfn.XLOOKUP(C535, 'Product Catalog'!$A:$A, 'Product Catalog'!$D:$D, 0)</f>
        <v>175.55</v>
      </c>
      <c r="N535" s="1">
        <f t="shared" si="17"/>
        <v>175.55</v>
      </c>
    </row>
    <row r="536" spans="1:14" x14ac:dyDescent="0.3">
      <c r="A536" s="1" t="s">
        <v>967</v>
      </c>
      <c r="B536" s="1" t="s">
        <v>888</v>
      </c>
      <c r="C536" s="1" t="s">
        <v>485</v>
      </c>
      <c r="D536" s="1">
        <v>5</v>
      </c>
      <c r="E536" s="12">
        <v>45812.225694444445</v>
      </c>
      <c r="F536" s="1" t="s">
        <v>170</v>
      </c>
      <c r="G536" s="1" t="s">
        <v>50</v>
      </c>
      <c r="H536" s="1" t="s">
        <v>41</v>
      </c>
      <c r="I536" s="1" t="s">
        <v>42</v>
      </c>
      <c r="J536" s="1" t="str">
        <f t="shared" si="16"/>
        <v>PENDING_REVIEW</v>
      </c>
      <c r="K536" s="1" t="str">
        <f>_xlfn.XLOOKUP(C536, 'Product Catalog'!$A:$A, 'Product Catalog'!$B:$B, "Unknown Product")</f>
        <v>Smartwatch Model K140</v>
      </c>
      <c r="L536" s="1" t="str">
        <f>_xlfn.XLOOKUP(C536, 'Product Catalog'!$A:$A, 'Product Catalog'!$C:$C, "Unknown Category")</f>
        <v>Electronics</v>
      </c>
      <c r="M536" s="1">
        <f>_xlfn.XLOOKUP(C536, 'Product Catalog'!$A:$A, 'Product Catalog'!$D:$D, 0)</f>
        <v>221.95</v>
      </c>
      <c r="N536" s="1">
        <f t="shared" si="17"/>
        <v>1109.75</v>
      </c>
    </row>
    <row r="537" spans="1:14" x14ac:dyDescent="0.3">
      <c r="A537" s="1" t="s">
        <v>968</v>
      </c>
      <c r="B537" s="1" t="s">
        <v>787</v>
      </c>
      <c r="C537" s="1" t="s">
        <v>452</v>
      </c>
      <c r="D537" s="1">
        <v>1</v>
      </c>
      <c r="E537" s="12">
        <v>45798.132638888892</v>
      </c>
      <c r="F537" s="1" t="s">
        <v>170</v>
      </c>
      <c r="G537" s="1" t="s">
        <v>50</v>
      </c>
      <c r="H537" s="1" t="s">
        <v>55</v>
      </c>
      <c r="I537" s="1" t="s">
        <v>42</v>
      </c>
      <c r="J537" s="1" t="str">
        <f t="shared" si="16"/>
        <v>PENDING_REVIEW</v>
      </c>
      <c r="K537" s="1" t="str">
        <f>_xlfn.XLOOKUP(C537, 'Product Catalog'!$A:$A, 'Product Catalog'!$B:$B, "Unknown Product")</f>
        <v>E-Book Access Model U150</v>
      </c>
      <c r="L537" s="1" t="str">
        <f>_xlfn.XLOOKUP(C537, 'Product Catalog'!$A:$A, 'Product Catalog'!$C:$C, "Unknown Category")</f>
        <v>Digital Services</v>
      </c>
      <c r="M537" s="1">
        <f>_xlfn.XLOOKUP(C537, 'Product Catalog'!$A:$A, 'Product Catalog'!$D:$D, 0)</f>
        <v>75.69</v>
      </c>
      <c r="N537" s="1">
        <f t="shared" si="17"/>
        <v>75.69</v>
      </c>
    </row>
    <row r="538" spans="1:14" x14ac:dyDescent="0.3">
      <c r="A538" s="1" t="s">
        <v>969</v>
      </c>
      <c r="B538" s="1" t="s">
        <v>205</v>
      </c>
      <c r="C538" s="1" t="s">
        <v>592</v>
      </c>
      <c r="D538" s="1">
        <v>1</v>
      </c>
      <c r="E538" s="12">
        <v>45993.512499999997</v>
      </c>
      <c r="F538" s="1" t="s">
        <v>19</v>
      </c>
      <c r="G538" s="1" t="s">
        <v>109</v>
      </c>
      <c r="H538" s="1" t="s">
        <v>41</v>
      </c>
      <c r="I538" s="1" t="s">
        <v>15</v>
      </c>
      <c r="J538" s="1" t="str">
        <f t="shared" si="16"/>
        <v>delivered</v>
      </c>
      <c r="K538" s="1" t="str">
        <f>_xlfn.XLOOKUP(C538, 'Product Catalog'!$A:$A, 'Product Catalog'!$B:$B, "Unknown Product")</f>
        <v>Blender Model Q94</v>
      </c>
      <c r="L538" s="1" t="str">
        <f>_xlfn.XLOOKUP(C538, 'Product Catalog'!$A:$A, 'Product Catalog'!$C:$C, "Unknown Category")</f>
        <v>Home Goods</v>
      </c>
      <c r="M538" s="1">
        <f>_xlfn.XLOOKUP(C538, 'Product Catalog'!$A:$A, 'Product Catalog'!$D:$D, 0)</f>
        <v>129.13</v>
      </c>
      <c r="N538" s="1">
        <f t="shared" si="17"/>
        <v>129.13</v>
      </c>
    </row>
    <row r="539" spans="1:14" x14ac:dyDescent="0.3">
      <c r="A539" s="1" t="s">
        <v>970</v>
      </c>
      <c r="B539" s="1" t="s">
        <v>702</v>
      </c>
      <c r="C539" s="1" t="s">
        <v>125</v>
      </c>
      <c r="D539" s="1">
        <v>1</v>
      </c>
      <c r="E539" s="12">
        <v>45786.116666666669</v>
      </c>
      <c r="F539" s="1" t="s">
        <v>12</v>
      </c>
      <c r="G539" s="1" t="s">
        <v>13</v>
      </c>
      <c r="H539" s="1" t="s">
        <v>14</v>
      </c>
      <c r="I539" s="1" t="s">
        <v>15</v>
      </c>
      <c r="J539" s="1" t="str">
        <f t="shared" si="16"/>
        <v>delivered</v>
      </c>
      <c r="K539" s="1" t="str">
        <f>_xlfn.XLOOKUP(C539, 'Product Catalog'!$A:$A, 'Product Catalog'!$B:$B, "Unknown Product")</f>
        <v>Coffee Maker Model J9</v>
      </c>
      <c r="L539" s="1" t="str">
        <f>_xlfn.XLOOKUP(C539, 'Product Catalog'!$A:$A, 'Product Catalog'!$C:$C, "Unknown Category")</f>
        <v>Home Goods</v>
      </c>
      <c r="M539" s="1">
        <f>_xlfn.XLOOKUP(C539, 'Product Catalog'!$A:$A, 'Product Catalog'!$D:$D, 0)</f>
        <v>34.840000000000003</v>
      </c>
      <c r="N539" s="1">
        <f t="shared" si="17"/>
        <v>34.840000000000003</v>
      </c>
    </row>
    <row r="540" spans="1:14" x14ac:dyDescent="0.3">
      <c r="A540" s="1" t="s">
        <v>971</v>
      </c>
      <c r="B540" s="1" t="s">
        <v>972</v>
      </c>
      <c r="C540" s="1" t="s">
        <v>65</v>
      </c>
      <c r="D540" s="1">
        <v>1</v>
      </c>
      <c r="E540" s="12">
        <v>45848.944444444445</v>
      </c>
      <c r="F540" s="1" t="s">
        <v>19</v>
      </c>
      <c r="G540" s="1" t="s">
        <v>13</v>
      </c>
      <c r="H540" s="1" t="s">
        <v>41</v>
      </c>
      <c r="I540" s="1" t="s">
        <v>15</v>
      </c>
      <c r="J540" s="1" t="str">
        <f t="shared" si="16"/>
        <v>delivered</v>
      </c>
      <c r="K540" s="1" t="str">
        <f>_xlfn.XLOOKUP(C540, 'Product Catalog'!$A:$A, 'Product Catalog'!$B:$B, "Unknown Product")</f>
        <v>Cap Model T97</v>
      </c>
      <c r="L540" s="1" t="str">
        <f>_xlfn.XLOOKUP(C540, 'Product Catalog'!$A:$A, 'Product Catalog'!$C:$C, "Unknown Category")</f>
        <v>Apparel</v>
      </c>
      <c r="M540" s="1">
        <f>_xlfn.XLOOKUP(C540, 'Product Catalog'!$A:$A, 'Product Catalog'!$D:$D, 0)</f>
        <v>99.18</v>
      </c>
      <c r="N540" s="1">
        <f t="shared" si="17"/>
        <v>99.18</v>
      </c>
    </row>
    <row r="541" spans="1:14" x14ac:dyDescent="0.3">
      <c r="A541" s="1" t="s">
        <v>973</v>
      </c>
      <c r="B541" s="1" t="s">
        <v>336</v>
      </c>
      <c r="C541" s="1" t="s">
        <v>357</v>
      </c>
      <c r="D541" s="1">
        <v>2</v>
      </c>
      <c r="E541" s="12">
        <v>45990.234722222223</v>
      </c>
      <c r="F541" s="1" t="s">
        <v>19</v>
      </c>
      <c r="G541" s="1" t="s">
        <v>31</v>
      </c>
      <c r="H541" s="1" t="s">
        <v>41</v>
      </c>
      <c r="I541" s="1" t="s">
        <v>15</v>
      </c>
      <c r="J541" s="1" t="str">
        <f t="shared" si="16"/>
        <v>delivered</v>
      </c>
      <c r="K541" s="1" t="str">
        <f>_xlfn.XLOOKUP(C541, 'Product Catalog'!$A:$A, 'Product Catalog'!$B:$B, "Unknown Product")</f>
        <v>Blender Model C106</v>
      </c>
      <c r="L541" s="1" t="str">
        <f>_xlfn.XLOOKUP(C541, 'Product Catalog'!$A:$A, 'Product Catalog'!$C:$C, "Unknown Category")</f>
        <v>Home Goods</v>
      </c>
      <c r="M541" s="1">
        <f>_xlfn.XLOOKUP(C541, 'Product Catalog'!$A:$A, 'Product Catalog'!$D:$D, 0)</f>
        <v>112.89</v>
      </c>
      <c r="N541" s="1">
        <f t="shared" si="17"/>
        <v>225.78</v>
      </c>
    </row>
    <row r="542" spans="1:14" x14ac:dyDescent="0.3">
      <c r="A542" s="1" t="s">
        <v>974</v>
      </c>
      <c r="B542" s="1" t="s">
        <v>162</v>
      </c>
      <c r="C542" s="1" t="s">
        <v>268</v>
      </c>
      <c r="D542" s="1">
        <v>3</v>
      </c>
      <c r="E542" s="12">
        <v>45684.563194444447</v>
      </c>
      <c r="F542" s="1" t="s">
        <v>12</v>
      </c>
      <c r="G542" s="1" t="s">
        <v>31</v>
      </c>
      <c r="H542" s="1" t="s">
        <v>14</v>
      </c>
      <c r="I542" s="1" t="s">
        <v>15</v>
      </c>
      <c r="J542" s="1" t="str">
        <f t="shared" si="16"/>
        <v>delivered</v>
      </c>
      <c r="K542" s="1" t="str">
        <f>_xlfn.XLOOKUP(C542, 'Product Catalog'!$A:$A, 'Product Catalog'!$B:$B, "Unknown Product")</f>
        <v>Sneakers Model P119</v>
      </c>
      <c r="L542" s="1" t="str">
        <f>_xlfn.XLOOKUP(C542, 'Product Catalog'!$A:$A, 'Product Catalog'!$C:$C, "Unknown Category")</f>
        <v>Apparel</v>
      </c>
      <c r="M542" s="1">
        <f>_xlfn.XLOOKUP(C542, 'Product Catalog'!$A:$A, 'Product Catalog'!$D:$D, 0)</f>
        <v>19.329999999999998</v>
      </c>
      <c r="N542" s="1">
        <f t="shared" si="17"/>
        <v>57.989999999999995</v>
      </c>
    </row>
    <row r="543" spans="1:14" x14ac:dyDescent="0.3">
      <c r="A543" s="1" t="s">
        <v>975</v>
      </c>
      <c r="B543" s="1" t="s">
        <v>29</v>
      </c>
      <c r="C543" s="1" t="s">
        <v>706</v>
      </c>
      <c r="D543" s="1">
        <v>1</v>
      </c>
      <c r="E543" s="12">
        <v>45978.434027777781</v>
      </c>
      <c r="F543" s="1" t="s">
        <v>12</v>
      </c>
      <c r="G543" s="1" t="s">
        <v>20</v>
      </c>
      <c r="H543" s="1" t="s">
        <v>24</v>
      </c>
      <c r="I543" s="1" t="s">
        <v>15</v>
      </c>
      <c r="J543" s="1" t="str">
        <f t="shared" si="16"/>
        <v>delivered</v>
      </c>
      <c r="K543" s="1" t="str">
        <f>_xlfn.XLOOKUP(C543, 'Product Catalog'!$A:$A, 'Product Catalog'!$B:$B, "Unknown Product")</f>
        <v>Software License Tier A Model T19</v>
      </c>
      <c r="L543" s="1" t="str">
        <f>_xlfn.XLOOKUP(C543, 'Product Catalog'!$A:$A, 'Product Catalog'!$C:$C, "Unknown Category")</f>
        <v>Digital Services</v>
      </c>
      <c r="M543" s="1">
        <f>_xlfn.XLOOKUP(C543, 'Product Catalog'!$A:$A, 'Product Catalog'!$D:$D, 0)</f>
        <v>30.38</v>
      </c>
      <c r="N543" s="1">
        <f t="shared" si="17"/>
        <v>30.38</v>
      </c>
    </row>
    <row r="544" spans="1:14" x14ac:dyDescent="0.3">
      <c r="A544" s="1" t="s">
        <v>976</v>
      </c>
      <c r="B544" s="1" t="s">
        <v>977</v>
      </c>
      <c r="C544" s="1" t="s">
        <v>84</v>
      </c>
      <c r="D544" s="1">
        <v>1</v>
      </c>
      <c r="E544" s="12">
        <v>46016.332638888889</v>
      </c>
      <c r="F544" s="1" t="s">
        <v>12</v>
      </c>
      <c r="G544" s="1" t="s">
        <v>40</v>
      </c>
      <c r="H544" s="1" t="s">
        <v>41</v>
      </c>
      <c r="I544" s="1" t="s">
        <v>56</v>
      </c>
      <c r="J544" s="1" t="str">
        <f t="shared" si="16"/>
        <v>cancelled</v>
      </c>
      <c r="K544" s="1" t="str">
        <f>_xlfn.XLOOKUP(C544, 'Product Catalog'!$A:$A, 'Product Catalog'!$B:$B, "Unknown Product")</f>
        <v>Smartwatch Model J35</v>
      </c>
      <c r="L544" s="1" t="str">
        <f>_xlfn.XLOOKUP(C544, 'Product Catalog'!$A:$A, 'Product Catalog'!$C:$C, "Unknown Category")</f>
        <v>Electronics</v>
      </c>
      <c r="M544" s="1">
        <f>_xlfn.XLOOKUP(C544, 'Product Catalog'!$A:$A, 'Product Catalog'!$D:$D, 0)</f>
        <v>161.94999999999999</v>
      </c>
      <c r="N544" s="1">
        <f t="shared" si="17"/>
        <v>161.94999999999999</v>
      </c>
    </row>
    <row r="545" spans="1:14" x14ac:dyDescent="0.3">
      <c r="A545" s="1" t="s">
        <v>978</v>
      </c>
      <c r="B545" s="1" t="s">
        <v>575</v>
      </c>
      <c r="C545" s="1" t="s">
        <v>415</v>
      </c>
      <c r="D545" s="1">
        <v>5</v>
      </c>
      <c r="E545" s="12">
        <v>45877.931944444441</v>
      </c>
      <c r="F545" s="1" t="s">
        <v>12</v>
      </c>
      <c r="G545" s="1" t="s">
        <v>50</v>
      </c>
      <c r="H545" s="1" t="s">
        <v>41</v>
      </c>
      <c r="I545" s="1" t="s">
        <v>102</v>
      </c>
      <c r="J545" s="1" t="str">
        <f t="shared" si="16"/>
        <v>disputed</v>
      </c>
      <c r="K545" s="1" t="str">
        <f>_xlfn.XLOOKUP(C545, 'Product Catalog'!$A:$A, 'Product Catalog'!$B:$B, "Unknown Product")</f>
        <v>Premium Stream 1M Model S148</v>
      </c>
      <c r="L545" s="1" t="str">
        <f>_xlfn.XLOOKUP(C545, 'Product Catalog'!$A:$A, 'Product Catalog'!$C:$C, "Unknown Category")</f>
        <v>Digital Services</v>
      </c>
      <c r="M545" s="1">
        <f>_xlfn.XLOOKUP(C545, 'Product Catalog'!$A:$A, 'Product Catalog'!$D:$D, 0)</f>
        <v>9.73</v>
      </c>
      <c r="N545" s="1">
        <f t="shared" si="17"/>
        <v>48.650000000000006</v>
      </c>
    </row>
    <row r="546" spans="1:14" x14ac:dyDescent="0.3">
      <c r="A546" s="1" t="s">
        <v>979</v>
      </c>
      <c r="B546" s="1" t="s">
        <v>768</v>
      </c>
      <c r="C546" s="1" t="s">
        <v>268</v>
      </c>
      <c r="D546" s="1">
        <v>1</v>
      </c>
      <c r="E546" s="12">
        <v>45704.134722222225</v>
      </c>
      <c r="F546" s="1" t="s">
        <v>19</v>
      </c>
      <c r="G546" s="1" t="s">
        <v>13</v>
      </c>
      <c r="H546" s="1" t="s">
        <v>14</v>
      </c>
      <c r="I546" s="1" t="s">
        <v>15</v>
      </c>
      <c r="J546" s="1" t="str">
        <f t="shared" si="16"/>
        <v>delivered</v>
      </c>
      <c r="K546" s="1" t="str">
        <f>_xlfn.XLOOKUP(C546, 'Product Catalog'!$A:$A, 'Product Catalog'!$B:$B, "Unknown Product")</f>
        <v>Sneakers Model P119</v>
      </c>
      <c r="L546" s="1" t="str">
        <f>_xlfn.XLOOKUP(C546, 'Product Catalog'!$A:$A, 'Product Catalog'!$C:$C, "Unknown Category")</f>
        <v>Apparel</v>
      </c>
      <c r="M546" s="1">
        <f>_xlfn.XLOOKUP(C546, 'Product Catalog'!$A:$A, 'Product Catalog'!$D:$D, 0)</f>
        <v>19.329999999999998</v>
      </c>
      <c r="N546" s="1">
        <f t="shared" si="17"/>
        <v>19.329999999999998</v>
      </c>
    </row>
    <row r="547" spans="1:14" x14ac:dyDescent="0.3">
      <c r="A547" s="1" t="s">
        <v>980</v>
      </c>
      <c r="B547" s="1" t="s">
        <v>686</v>
      </c>
      <c r="C547" s="1" t="s">
        <v>339</v>
      </c>
      <c r="D547" s="1">
        <v>1</v>
      </c>
      <c r="E547" s="12">
        <v>45658.303472222222</v>
      </c>
      <c r="F547" s="1" t="s">
        <v>19</v>
      </c>
      <c r="G547" s="1" t="s">
        <v>46</v>
      </c>
      <c r="H547" s="1" t="s">
        <v>14</v>
      </c>
      <c r="I547" s="1" t="s">
        <v>15</v>
      </c>
      <c r="J547" s="1" t="str">
        <f t="shared" si="16"/>
        <v>delivered</v>
      </c>
      <c r="K547" s="1" t="str">
        <f>_xlfn.XLOOKUP(C547, 'Product Catalog'!$A:$A, 'Product Catalog'!$B:$B, "Unknown Product")</f>
        <v>E-Book Access Model K114</v>
      </c>
      <c r="L547" s="1" t="str">
        <f>_xlfn.XLOOKUP(C547, 'Product Catalog'!$A:$A, 'Product Catalog'!$C:$C, "Unknown Category")</f>
        <v>Digital Services</v>
      </c>
      <c r="M547" s="1">
        <f>_xlfn.XLOOKUP(C547, 'Product Catalog'!$A:$A, 'Product Catalog'!$D:$D, 0)</f>
        <v>57.11</v>
      </c>
      <c r="N547" s="1">
        <f t="shared" si="17"/>
        <v>57.11</v>
      </c>
    </row>
    <row r="548" spans="1:14" x14ac:dyDescent="0.3">
      <c r="A548" s="1" t="s">
        <v>981</v>
      </c>
      <c r="B548" s="1" t="s">
        <v>478</v>
      </c>
      <c r="C548" s="1" t="s">
        <v>265</v>
      </c>
      <c r="D548" s="1">
        <v>1</v>
      </c>
      <c r="E548" s="12">
        <v>45902.11041666667</v>
      </c>
      <c r="F548" s="1" t="s">
        <v>19</v>
      </c>
      <c r="G548" s="1" t="s">
        <v>40</v>
      </c>
      <c r="H548" s="1" t="s">
        <v>51</v>
      </c>
      <c r="I548" s="1" t="s">
        <v>42</v>
      </c>
      <c r="J548" s="1" t="str">
        <f t="shared" si="16"/>
        <v>PENDING_REVIEW</v>
      </c>
      <c r="K548" s="1" t="str">
        <f>_xlfn.XLOOKUP(C548, 'Product Catalog'!$A:$A, 'Product Catalog'!$B:$B, "Unknown Product")</f>
        <v>Sneakers Model R121</v>
      </c>
      <c r="L548" s="1" t="str">
        <f>_xlfn.XLOOKUP(C548, 'Product Catalog'!$A:$A, 'Product Catalog'!$C:$C, "Unknown Category")</f>
        <v>Apparel</v>
      </c>
      <c r="M548" s="1">
        <f>_xlfn.XLOOKUP(C548, 'Product Catalog'!$A:$A, 'Product Catalog'!$D:$D, 0)</f>
        <v>44.15</v>
      </c>
      <c r="N548" s="1">
        <f t="shared" si="17"/>
        <v>44.15</v>
      </c>
    </row>
    <row r="549" spans="1:14" x14ac:dyDescent="0.3">
      <c r="A549" s="1" t="s">
        <v>982</v>
      </c>
      <c r="B549" s="1" t="s">
        <v>178</v>
      </c>
      <c r="C549" s="1" t="s">
        <v>404</v>
      </c>
      <c r="D549" s="1">
        <v>1</v>
      </c>
      <c r="E549" s="12">
        <v>45725.84375</v>
      </c>
      <c r="F549" s="1" t="s">
        <v>39</v>
      </c>
      <c r="G549" s="1" t="s">
        <v>109</v>
      </c>
      <c r="H549" s="1" t="s">
        <v>55</v>
      </c>
      <c r="I549" s="1" t="s">
        <v>42</v>
      </c>
      <c r="J549" s="1" t="str">
        <f t="shared" si="16"/>
        <v>PENDING_REVIEW</v>
      </c>
      <c r="K549" s="1" t="str">
        <f>_xlfn.XLOOKUP(C549, 'Product Catalog'!$A:$A, 'Product Catalog'!$B:$B, "Unknown Product")</f>
        <v>Gold Bracelet Model O66</v>
      </c>
      <c r="L549" s="1" t="str">
        <f>_xlfn.XLOOKUP(C549, 'Product Catalog'!$A:$A, 'Product Catalog'!$C:$C, "Unknown Category")</f>
        <v>Luxury Goods</v>
      </c>
      <c r="M549" s="1">
        <f>_xlfn.XLOOKUP(C549, 'Product Catalog'!$A:$A, 'Product Catalog'!$D:$D, 0)</f>
        <v>640.54999999999995</v>
      </c>
      <c r="N549" s="1">
        <f t="shared" si="17"/>
        <v>640.54999999999995</v>
      </c>
    </row>
    <row r="550" spans="1:14" x14ac:dyDescent="0.3">
      <c r="A550" s="1" t="s">
        <v>983</v>
      </c>
      <c r="B550" s="1" t="s">
        <v>285</v>
      </c>
      <c r="C550" s="1" t="s">
        <v>71</v>
      </c>
      <c r="D550" s="1">
        <v>2</v>
      </c>
      <c r="E550" s="12">
        <v>45773.738194444442</v>
      </c>
      <c r="F550" s="1" t="s">
        <v>19</v>
      </c>
      <c r="G550" s="1" t="s">
        <v>13</v>
      </c>
      <c r="H550" s="1" t="s">
        <v>14</v>
      </c>
      <c r="I550" s="1" t="s">
        <v>15</v>
      </c>
      <c r="J550" s="1" t="str">
        <f t="shared" si="16"/>
        <v>delivered</v>
      </c>
      <c r="K550" s="1" t="str">
        <f>_xlfn.XLOOKUP(C550, 'Product Catalog'!$A:$A, 'Product Catalog'!$B:$B, "Unknown Product")</f>
        <v>VPN 6-Month Pass Model D29</v>
      </c>
      <c r="L550" s="1" t="str">
        <f>_xlfn.XLOOKUP(C550, 'Product Catalog'!$A:$A, 'Product Catalog'!$C:$C, "Unknown Category")</f>
        <v>Digital Services</v>
      </c>
      <c r="M550" s="1">
        <f>_xlfn.XLOOKUP(C550, 'Product Catalog'!$A:$A, 'Product Catalog'!$D:$D, 0)</f>
        <v>10.97</v>
      </c>
      <c r="N550" s="1">
        <f t="shared" si="17"/>
        <v>21.94</v>
      </c>
    </row>
    <row r="551" spans="1:14" x14ac:dyDescent="0.3">
      <c r="A551" s="1" t="s">
        <v>984</v>
      </c>
      <c r="B551" s="1" t="s">
        <v>264</v>
      </c>
      <c r="C551" s="1" t="s">
        <v>314</v>
      </c>
      <c r="D551" s="1">
        <v>1</v>
      </c>
      <c r="E551" s="12">
        <v>46006.632638888892</v>
      </c>
      <c r="F551" s="1" t="s">
        <v>19</v>
      </c>
      <c r="G551" s="1" t="s">
        <v>46</v>
      </c>
      <c r="H551" s="1" t="s">
        <v>24</v>
      </c>
      <c r="I551" s="1" t="s">
        <v>15</v>
      </c>
      <c r="J551" s="1" t="str">
        <f t="shared" si="16"/>
        <v>delivered</v>
      </c>
      <c r="K551" s="1" t="str">
        <f>_xlfn.XLOOKUP(C551, 'Product Catalog'!$A:$A, 'Product Catalog'!$B:$B, "Unknown Product")</f>
        <v>Smartwatch Model A104</v>
      </c>
      <c r="L551" s="1" t="str">
        <f>_xlfn.XLOOKUP(C551, 'Product Catalog'!$A:$A, 'Product Catalog'!$C:$C, "Unknown Category")</f>
        <v>Electronics</v>
      </c>
      <c r="M551" s="1">
        <f>_xlfn.XLOOKUP(C551, 'Product Catalog'!$A:$A, 'Product Catalog'!$D:$D, 0)</f>
        <v>80.59</v>
      </c>
      <c r="N551" s="1">
        <f t="shared" si="17"/>
        <v>80.59</v>
      </c>
    </row>
    <row r="552" spans="1:14" x14ac:dyDescent="0.3">
      <c r="A552" s="1" t="s">
        <v>985</v>
      </c>
      <c r="B552" s="1" t="s">
        <v>507</v>
      </c>
      <c r="C552" s="1" t="s">
        <v>556</v>
      </c>
      <c r="D552" s="1">
        <v>1</v>
      </c>
      <c r="E552" s="12">
        <v>45662.011111111111</v>
      </c>
      <c r="F552" s="1" t="s">
        <v>12</v>
      </c>
      <c r="G552" s="1" t="s">
        <v>20</v>
      </c>
      <c r="H552" s="1" t="s">
        <v>41</v>
      </c>
      <c r="I552" s="1" t="s">
        <v>15</v>
      </c>
      <c r="J552" s="1" t="str">
        <f t="shared" si="16"/>
        <v>delivered</v>
      </c>
      <c r="K552" s="1" t="str">
        <f>_xlfn.XLOOKUP(C552, 'Product Catalog'!$A:$A, 'Product Catalog'!$B:$B, "Unknown Product")</f>
        <v>Mug Model C54</v>
      </c>
      <c r="L552" s="1" t="str">
        <f>_xlfn.XLOOKUP(C552, 'Product Catalog'!$A:$A, 'Product Catalog'!$C:$C, "Unknown Category")</f>
        <v>Home Goods</v>
      </c>
      <c r="M552" s="1">
        <f>_xlfn.XLOOKUP(C552, 'Product Catalog'!$A:$A, 'Product Catalog'!$D:$D, 0)</f>
        <v>85.78</v>
      </c>
      <c r="N552" s="1">
        <f t="shared" si="17"/>
        <v>85.78</v>
      </c>
    </row>
    <row r="553" spans="1:14" x14ac:dyDescent="0.3">
      <c r="A553" s="1" t="s">
        <v>986</v>
      </c>
      <c r="B553" s="1" t="s">
        <v>162</v>
      </c>
      <c r="C553" s="1" t="s">
        <v>54</v>
      </c>
      <c r="D553" s="1">
        <v>2</v>
      </c>
      <c r="E553" s="12">
        <v>46014.488194444442</v>
      </c>
      <c r="F553" s="1" t="s">
        <v>19</v>
      </c>
      <c r="G553" s="1" t="s">
        <v>31</v>
      </c>
      <c r="H553" s="1" t="s">
        <v>41</v>
      </c>
      <c r="I553" s="1" t="s">
        <v>15</v>
      </c>
      <c r="J553" s="1" t="str">
        <f t="shared" si="16"/>
        <v>delivered</v>
      </c>
      <c r="K553" s="1" t="str">
        <f>_xlfn.XLOOKUP(C553, 'Product Catalog'!$A:$A, 'Product Catalog'!$B:$B, "Unknown Product")</f>
        <v>Keyboard Model V21</v>
      </c>
      <c r="L553" s="1" t="str">
        <f>_xlfn.XLOOKUP(C553, 'Product Catalog'!$A:$A, 'Product Catalog'!$C:$C, "Unknown Category")</f>
        <v>Electronics</v>
      </c>
      <c r="M553" s="1">
        <f>_xlfn.XLOOKUP(C553, 'Product Catalog'!$A:$A, 'Product Catalog'!$D:$D, 0)</f>
        <v>208.12</v>
      </c>
      <c r="N553" s="1">
        <f t="shared" si="17"/>
        <v>416.24</v>
      </c>
    </row>
    <row r="554" spans="1:14" x14ac:dyDescent="0.3">
      <c r="A554" s="1" t="s">
        <v>987</v>
      </c>
      <c r="B554" s="1" t="s">
        <v>89</v>
      </c>
      <c r="C554" s="1" t="s">
        <v>244</v>
      </c>
      <c r="D554" s="1">
        <v>1</v>
      </c>
      <c r="E554" s="12">
        <v>45719.6</v>
      </c>
      <c r="F554" s="1" t="s">
        <v>19</v>
      </c>
      <c r="G554" s="1" t="s">
        <v>20</v>
      </c>
      <c r="H554" s="1" t="s">
        <v>14</v>
      </c>
      <c r="I554" s="1" t="s">
        <v>15</v>
      </c>
      <c r="J554" s="1" t="str">
        <f t="shared" si="16"/>
        <v>delivered</v>
      </c>
      <c r="K554" s="1" t="str">
        <f>_xlfn.XLOOKUP(C554, 'Product Catalog'!$A:$A, 'Product Catalog'!$B:$B, "Unknown Product")</f>
        <v>Hoodie Model F135</v>
      </c>
      <c r="L554" s="1" t="str">
        <f>_xlfn.XLOOKUP(C554, 'Product Catalog'!$A:$A, 'Product Catalog'!$C:$C, "Unknown Category")</f>
        <v>Apparel</v>
      </c>
      <c r="M554" s="1">
        <f>_xlfn.XLOOKUP(C554, 'Product Catalog'!$A:$A, 'Product Catalog'!$D:$D, 0)</f>
        <v>46.94</v>
      </c>
      <c r="N554" s="1">
        <f t="shared" si="17"/>
        <v>46.94</v>
      </c>
    </row>
    <row r="555" spans="1:14" x14ac:dyDescent="0.3">
      <c r="A555" s="1" t="s">
        <v>988</v>
      </c>
      <c r="B555" s="1" t="s">
        <v>795</v>
      </c>
      <c r="C555" s="1" t="s">
        <v>38</v>
      </c>
      <c r="D555" s="1">
        <v>1</v>
      </c>
      <c r="E555" s="12">
        <v>46013.1875</v>
      </c>
      <c r="F555" s="1" t="s">
        <v>170</v>
      </c>
      <c r="G555" s="1" t="s">
        <v>40</v>
      </c>
      <c r="H555" s="1" t="s">
        <v>41</v>
      </c>
      <c r="I555" s="1" t="s">
        <v>81</v>
      </c>
      <c r="J555" s="1" t="str">
        <f t="shared" si="16"/>
        <v>REFUNDED</v>
      </c>
      <c r="K555" s="1" t="str">
        <f>_xlfn.XLOOKUP(C555, 'Product Catalog'!$A:$A, 'Product Catalog'!$B:$B, "Unknown Product")</f>
        <v>VPN 6-Month Pass Model V73</v>
      </c>
      <c r="L555" s="1" t="str">
        <f>_xlfn.XLOOKUP(C555, 'Product Catalog'!$A:$A, 'Product Catalog'!$C:$C, "Unknown Category")</f>
        <v>Digital Services</v>
      </c>
      <c r="M555" s="1">
        <f>_xlfn.XLOOKUP(C555, 'Product Catalog'!$A:$A, 'Product Catalog'!$D:$D, 0)</f>
        <v>58.13</v>
      </c>
      <c r="N555" s="1">
        <f t="shared" si="17"/>
        <v>58.13</v>
      </c>
    </row>
    <row r="556" spans="1:14" x14ac:dyDescent="0.3">
      <c r="A556" s="1" t="s">
        <v>989</v>
      </c>
      <c r="B556" s="1" t="s">
        <v>795</v>
      </c>
      <c r="C556" s="1" t="s">
        <v>404</v>
      </c>
      <c r="D556" s="1">
        <v>5</v>
      </c>
      <c r="E556" s="12">
        <v>45902.100694444445</v>
      </c>
      <c r="F556" s="1" t="s">
        <v>170</v>
      </c>
      <c r="G556" s="1" t="s">
        <v>31</v>
      </c>
      <c r="H556" s="1" t="s">
        <v>55</v>
      </c>
      <c r="I556" s="1" t="s">
        <v>102</v>
      </c>
      <c r="J556" s="1" t="str">
        <f t="shared" si="16"/>
        <v>disputed</v>
      </c>
      <c r="K556" s="1" t="str">
        <f>_xlfn.XLOOKUP(C556, 'Product Catalog'!$A:$A, 'Product Catalog'!$B:$B, "Unknown Product")</f>
        <v>Gold Bracelet Model O66</v>
      </c>
      <c r="L556" s="1" t="str">
        <f>_xlfn.XLOOKUP(C556, 'Product Catalog'!$A:$A, 'Product Catalog'!$C:$C, "Unknown Category")</f>
        <v>Luxury Goods</v>
      </c>
      <c r="M556" s="1">
        <f>_xlfn.XLOOKUP(C556, 'Product Catalog'!$A:$A, 'Product Catalog'!$D:$D, 0)</f>
        <v>640.54999999999995</v>
      </c>
      <c r="N556" s="1">
        <f t="shared" si="17"/>
        <v>3202.75</v>
      </c>
    </row>
    <row r="557" spans="1:14" x14ac:dyDescent="0.3">
      <c r="A557" s="1" t="s">
        <v>990</v>
      </c>
      <c r="B557" s="1" t="s">
        <v>787</v>
      </c>
      <c r="C557" s="1" t="s">
        <v>496</v>
      </c>
      <c r="D557" s="1">
        <v>1</v>
      </c>
      <c r="E557" s="12">
        <v>45775.544444444444</v>
      </c>
      <c r="F557" s="1" t="s">
        <v>12</v>
      </c>
      <c r="G557" s="1" t="s">
        <v>50</v>
      </c>
      <c r="H557" s="1" t="s">
        <v>41</v>
      </c>
      <c r="I557" s="1" t="s">
        <v>42</v>
      </c>
      <c r="J557" s="1" t="str">
        <f t="shared" si="16"/>
        <v>PENDING_REVIEW</v>
      </c>
      <c r="K557" s="1" t="str">
        <f>_xlfn.XLOOKUP(C557, 'Product Catalog'!$A:$A, 'Product Catalog'!$B:$B, "Unknown Product")</f>
        <v>Mug Model T45</v>
      </c>
      <c r="L557" s="1" t="str">
        <f>_xlfn.XLOOKUP(C557, 'Product Catalog'!$A:$A, 'Product Catalog'!$C:$C, "Unknown Category")</f>
        <v>Home Goods</v>
      </c>
      <c r="M557" s="1">
        <f>_xlfn.XLOOKUP(C557, 'Product Catalog'!$A:$A, 'Product Catalog'!$D:$D, 0)</f>
        <v>179.22</v>
      </c>
      <c r="N557" s="1">
        <f t="shared" si="17"/>
        <v>179.22</v>
      </c>
    </row>
    <row r="558" spans="1:14" x14ac:dyDescent="0.3">
      <c r="A558" s="1" t="s">
        <v>991</v>
      </c>
      <c r="B558" s="1" t="s">
        <v>187</v>
      </c>
      <c r="C558" s="1" t="s">
        <v>281</v>
      </c>
      <c r="D558" s="1">
        <v>1</v>
      </c>
      <c r="E558" s="12">
        <v>45703.145138888889</v>
      </c>
      <c r="F558" s="1" t="s">
        <v>19</v>
      </c>
      <c r="G558" s="1" t="s">
        <v>46</v>
      </c>
      <c r="H558" s="1" t="s">
        <v>14</v>
      </c>
      <c r="I558" s="1" t="s">
        <v>56</v>
      </c>
      <c r="J558" s="1" t="str">
        <f t="shared" si="16"/>
        <v>cancelled</v>
      </c>
      <c r="K558" s="1" t="str">
        <f>_xlfn.XLOOKUP(C558, 'Product Catalog'!$A:$A, 'Product Catalog'!$B:$B, "Unknown Product")</f>
        <v>VPN 6-Month Pass Model B105</v>
      </c>
      <c r="L558" s="1" t="str">
        <f>_xlfn.XLOOKUP(C558, 'Product Catalog'!$A:$A, 'Product Catalog'!$C:$C, "Unknown Category")</f>
        <v>Digital Services</v>
      </c>
      <c r="M558" s="1">
        <f>_xlfn.XLOOKUP(C558, 'Product Catalog'!$A:$A, 'Product Catalog'!$D:$D, 0)</f>
        <v>36.130000000000003</v>
      </c>
      <c r="N558" s="1">
        <f t="shared" si="17"/>
        <v>36.130000000000003</v>
      </c>
    </row>
    <row r="559" spans="1:14" x14ac:dyDescent="0.3">
      <c r="A559" s="1" t="s">
        <v>992</v>
      </c>
      <c r="B559" s="1" t="s">
        <v>478</v>
      </c>
      <c r="C559" s="1" t="s">
        <v>71</v>
      </c>
      <c r="D559" s="1">
        <v>1</v>
      </c>
      <c r="E559" s="12">
        <v>45710.445138888892</v>
      </c>
      <c r="F559" s="1" t="s">
        <v>12</v>
      </c>
      <c r="G559" s="1" t="s">
        <v>13</v>
      </c>
      <c r="H559" s="1" t="s">
        <v>24</v>
      </c>
      <c r="I559" s="1" t="s">
        <v>32</v>
      </c>
      <c r="J559" s="1" t="str">
        <f t="shared" si="16"/>
        <v>SHIPPED</v>
      </c>
      <c r="K559" s="1" t="str">
        <f>_xlfn.XLOOKUP(C559, 'Product Catalog'!$A:$A, 'Product Catalog'!$B:$B, "Unknown Product")</f>
        <v>VPN 6-Month Pass Model D29</v>
      </c>
      <c r="L559" s="1" t="str">
        <f>_xlfn.XLOOKUP(C559, 'Product Catalog'!$A:$A, 'Product Catalog'!$C:$C, "Unknown Category")</f>
        <v>Digital Services</v>
      </c>
      <c r="M559" s="1">
        <f>_xlfn.XLOOKUP(C559, 'Product Catalog'!$A:$A, 'Product Catalog'!$D:$D, 0)</f>
        <v>10.97</v>
      </c>
      <c r="N559" s="1">
        <f t="shared" si="17"/>
        <v>10.97</v>
      </c>
    </row>
    <row r="560" spans="1:14" x14ac:dyDescent="0.3">
      <c r="A560" s="1" t="s">
        <v>993</v>
      </c>
      <c r="B560" s="1" t="s">
        <v>97</v>
      </c>
      <c r="C560" s="1" t="s">
        <v>131</v>
      </c>
      <c r="D560" s="1">
        <v>5</v>
      </c>
      <c r="E560" s="12">
        <v>45846.425000000003</v>
      </c>
      <c r="F560" s="1" t="s">
        <v>39</v>
      </c>
      <c r="G560" s="1" t="s">
        <v>40</v>
      </c>
      <c r="H560" s="1" t="s">
        <v>55</v>
      </c>
      <c r="I560" s="1" t="s">
        <v>102</v>
      </c>
      <c r="J560" s="1" t="str">
        <f t="shared" si="16"/>
        <v>disputed</v>
      </c>
      <c r="K560" s="1" t="str">
        <f>_xlfn.XLOOKUP(C560, 'Product Catalog'!$A:$A, 'Product Catalog'!$B:$B, "Unknown Product")</f>
        <v>Keyboard Model C28</v>
      </c>
      <c r="L560" s="1" t="str">
        <f>_xlfn.XLOOKUP(C560, 'Product Catalog'!$A:$A, 'Product Catalog'!$C:$C, "Unknown Category")</f>
        <v>Electronics</v>
      </c>
      <c r="M560" s="1">
        <f>_xlfn.XLOOKUP(C560, 'Product Catalog'!$A:$A, 'Product Catalog'!$D:$D, 0)</f>
        <v>162.44999999999999</v>
      </c>
      <c r="N560" s="1">
        <f t="shared" si="17"/>
        <v>812.25</v>
      </c>
    </row>
    <row r="561" spans="1:14" x14ac:dyDescent="0.3">
      <c r="A561" s="1" t="s">
        <v>994</v>
      </c>
      <c r="B561" s="1" t="s">
        <v>525</v>
      </c>
      <c r="C561" s="1" t="s">
        <v>27</v>
      </c>
      <c r="D561" s="1">
        <v>3</v>
      </c>
      <c r="E561" s="12">
        <v>45728.543749999997</v>
      </c>
      <c r="F561" s="1" t="s">
        <v>19</v>
      </c>
      <c r="G561" s="1" t="s">
        <v>46</v>
      </c>
      <c r="H561" s="1" t="s">
        <v>24</v>
      </c>
      <c r="I561" s="1" t="s">
        <v>15</v>
      </c>
      <c r="J561" s="1" t="str">
        <f t="shared" si="16"/>
        <v>delivered</v>
      </c>
      <c r="K561" s="1" t="str">
        <f>_xlfn.XLOOKUP(C561, 'Product Catalog'!$A:$A, 'Product Catalog'!$B:$B, "Unknown Product")</f>
        <v>Premium Stream 1M Model B53</v>
      </c>
      <c r="L561" s="1" t="str">
        <f>_xlfn.XLOOKUP(C561, 'Product Catalog'!$A:$A, 'Product Catalog'!$C:$C, "Unknown Category")</f>
        <v>Digital Services</v>
      </c>
      <c r="M561" s="1">
        <f>_xlfn.XLOOKUP(C561, 'Product Catalog'!$A:$A, 'Product Catalog'!$D:$D, 0)</f>
        <v>13.87</v>
      </c>
      <c r="N561" s="1">
        <f t="shared" si="17"/>
        <v>41.61</v>
      </c>
    </row>
    <row r="562" spans="1:14" x14ac:dyDescent="0.3">
      <c r="A562" s="1" t="s">
        <v>995</v>
      </c>
      <c r="B562" s="1" t="s">
        <v>807</v>
      </c>
      <c r="C562" s="1" t="s">
        <v>758</v>
      </c>
      <c r="D562" s="1">
        <v>1</v>
      </c>
      <c r="E562" s="12">
        <v>45726.911805555559</v>
      </c>
      <c r="F562" s="1" t="s">
        <v>12</v>
      </c>
      <c r="G562" s="1" t="s">
        <v>13</v>
      </c>
      <c r="H562" s="1" t="s">
        <v>14</v>
      </c>
      <c r="I562" s="1" t="s">
        <v>15</v>
      </c>
      <c r="J562" s="1" t="str">
        <f t="shared" si="16"/>
        <v>delivered</v>
      </c>
      <c r="K562" s="1" t="str">
        <f>_xlfn.XLOOKUP(C562, 'Product Catalog'!$A:$A, 'Product Catalog'!$B:$B, "Unknown Product")</f>
        <v>Cloud Storage Basic Model G110</v>
      </c>
      <c r="L562" s="1" t="str">
        <f>_xlfn.XLOOKUP(C562, 'Product Catalog'!$A:$A, 'Product Catalog'!$C:$C, "Unknown Category")</f>
        <v>Digital Services</v>
      </c>
      <c r="M562" s="1">
        <f>_xlfn.XLOOKUP(C562, 'Product Catalog'!$A:$A, 'Product Catalog'!$D:$D, 0)</f>
        <v>53.87</v>
      </c>
      <c r="N562" s="1">
        <f t="shared" si="17"/>
        <v>53.87</v>
      </c>
    </row>
    <row r="563" spans="1:14" x14ac:dyDescent="0.3">
      <c r="A563" s="1" t="s">
        <v>996</v>
      </c>
      <c r="B563" s="1" t="s">
        <v>997</v>
      </c>
      <c r="C563" s="1" t="s">
        <v>334</v>
      </c>
      <c r="D563" s="1">
        <v>1</v>
      </c>
      <c r="E563" s="12">
        <v>46004.202777777777</v>
      </c>
      <c r="F563" s="1" t="s">
        <v>12</v>
      </c>
      <c r="G563" s="1" t="s">
        <v>46</v>
      </c>
      <c r="H563" s="1" t="s">
        <v>24</v>
      </c>
      <c r="I563" s="1" t="s">
        <v>15</v>
      </c>
      <c r="J563" s="1" t="str">
        <f t="shared" si="16"/>
        <v>delivered</v>
      </c>
      <c r="K563" s="1" t="str">
        <f>_xlfn.XLOOKUP(C563, 'Product Catalog'!$A:$A, 'Product Catalog'!$B:$B, "Unknown Product")</f>
        <v>Jeans Model Q42</v>
      </c>
      <c r="L563" s="1" t="str">
        <f>_xlfn.XLOOKUP(C563, 'Product Catalog'!$A:$A, 'Product Catalog'!$C:$C, "Unknown Category")</f>
        <v>Apparel</v>
      </c>
      <c r="M563" s="1">
        <f>_xlfn.XLOOKUP(C563, 'Product Catalog'!$A:$A, 'Product Catalog'!$D:$D, 0)</f>
        <v>82.57</v>
      </c>
      <c r="N563" s="1">
        <f t="shared" si="17"/>
        <v>82.57</v>
      </c>
    </row>
    <row r="564" spans="1:14" x14ac:dyDescent="0.3">
      <c r="A564" s="1" t="s">
        <v>998</v>
      </c>
      <c r="B564" s="1" t="s">
        <v>127</v>
      </c>
      <c r="C564" s="1" t="s">
        <v>167</v>
      </c>
      <c r="D564" s="1">
        <v>1</v>
      </c>
      <c r="E564" s="12">
        <v>45693.754166666666</v>
      </c>
      <c r="F564" s="1" t="s">
        <v>12</v>
      </c>
      <c r="G564" s="1" t="s">
        <v>31</v>
      </c>
      <c r="H564" s="1" t="s">
        <v>41</v>
      </c>
      <c r="I564" s="1" t="s">
        <v>102</v>
      </c>
      <c r="J564" s="1" t="str">
        <f t="shared" si="16"/>
        <v>disputed</v>
      </c>
      <c r="K564" s="1" t="str">
        <f>_xlfn.XLOOKUP(C564, 'Product Catalog'!$A:$A, 'Product Catalog'!$B:$B, "Unknown Product")</f>
        <v>Premium Stream 1M Model V125</v>
      </c>
      <c r="L564" s="1" t="str">
        <f>_xlfn.XLOOKUP(C564, 'Product Catalog'!$A:$A, 'Product Catalog'!$C:$C, "Unknown Category")</f>
        <v>Digital Services</v>
      </c>
      <c r="M564" s="1">
        <f>_xlfn.XLOOKUP(C564, 'Product Catalog'!$A:$A, 'Product Catalog'!$D:$D, 0)</f>
        <v>18.87</v>
      </c>
      <c r="N564" s="1">
        <f t="shared" si="17"/>
        <v>18.87</v>
      </c>
    </row>
    <row r="565" spans="1:14" x14ac:dyDescent="0.3">
      <c r="A565" s="1" t="s">
        <v>999</v>
      </c>
      <c r="B565" s="1" t="s">
        <v>267</v>
      </c>
      <c r="C565" s="1" t="s">
        <v>473</v>
      </c>
      <c r="D565" s="1">
        <v>1</v>
      </c>
      <c r="E565" s="12">
        <v>45946.011805555558</v>
      </c>
      <c r="F565" s="1" t="s">
        <v>185</v>
      </c>
      <c r="G565" s="1" t="s">
        <v>13</v>
      </c>
      <c r="H565" s="1" t="s">
        <v>14</v>
      </c>
      <c r="I565" s="1" t="s">
        <v>102</v>
      </c>
      <c r="J565" s="1" t="str">
        <f t="shared" si="16"/>
        <v>disputed</v>
      </c>
      <c r="K565" s="1" t="str">
        <f>_xlfn.XLOOKUP(C565, 'Product Catalog'!$A:$A, 'Product Catalog'!$B:$B, "Unknown Product")</f>
        <v>Desk Lamp Model I138</v>
      </c>
      <c r="L565" s="1" t="str">
        <f>_xlfn.XLOOKUP(C565, 'Product Catalog'!$A:$A, 'Product Catalog'!$C:$C, "Unknown Category")</f>
        <v>Home Goods</v>
      </c>
      <c r="M565" s="1">
        <f>_xlfn.XLOOKUP(C565, 'Product Catalog'!$A:$A, 'Product Catalog'!$D:$D, 0)</f>
        <v>94.55</v>
      </c>
      <c r="N565" s="1">
        <f t="shared" si="17"/>
        <v>94.55</v>
      </c>
    </row>
    <row r="566" spans="1:14" x14ac:dyDescent="0.3">
      <c r="A566" s="1" t="s">
        <v>1000</v>
      </c>
      <c r="B566" s="1" t="s">
        <v>277</v>
      </c>
      <c r="C566" s="1" t="s">
        <v>348</v>
      </c>
      <c r="D566" s="1">
        <v>1</v>
      </c>
      <c r="E566" s="12">
        <v>45970.924305555556</v>
      </c>
      <c r="F566" s="1" t="s">
        <v>170</v>
      </c>
      <c r="G566" s="1" t="s">
        <v>46</v>
      </c>
      <c r="H566" s="1" t="s">
        <v>51</v>
      </c>
      <c r="I566" s="1" t="s">
        <v>56</v>
      </c>
      <c r="J566" s="1" t="str">
        <f t="shared" si="16"/>
        <v>cancelled</v>
      </c>
      <c r="K566" s="1" t="str">
        <f>_xlfn.XLOOKUP(C566, 'Product Catalog'!$A:$A, 'Product Catalog'!$B:$B, "Unknown Product")</f>
        <v>Leather Handbag Model G84</v>
      </c>
      <c r="L566" s="1" t="str">
        <f>_xlfn.XLOOKUP(C566, 'Product Catalog'!$A:$A, 'Product Catalog'!$C:$C, "Unknown Category")</f>
        <v>Luxury Goods</v>
      </c>
      <c r="M566" s="1">
        <f>_xlfn.XLOOKUP(C566, 'Product Catalog'!$A:$A, 'Product Catalog'!$D:$D, 0)</f>
        <v>899.17</v>
      </c>
      <c r="N566" s="1">
        <f t="shared" si="17"/>
        <v>899.17</v>
      </c>
    </row>
    <row r="567" spans="1:14" x14ac:dyDescent="0.3">
      <c r="A567" s="1" t="s">
        <v>1001</v>
      </c>
      <c r="B567" s="1" t="s">
        <v>662</v>
      </c>
      <c r="C567" s="1" t="s">
        <v>466</v>
      </c>
      <c r="D567" s="1">
        <v>5</v>
      </c>
      <c r="E567" s="12">
        <v>45742.625694444447</v>
      </c>
      <c r="F567" s="1" t="s">
        <v>170</v>
      </c>
      <c r="G567" s="1" t="s">
        <v>50</v>
      </c>
      <c r="H567" s="1" t="s">
        <v>41</v>
      </c>
      <c r="I567" s="1" t="s">
        <v>42</v>
      </c>
      <c r="J567" s="1" t="str">
        <f t="shared" si="16"/>
        <v>PENDING_REVIEW</v>
      </c>
      <c r="K567" s="1" t="str">
        <f>_xlfn.XLOOKUP(C567, 'Product Catalog'!$A:$A, 'Product Catalog'!$B:$B, "Unknown Product")</f>
        <v>VPN 6-Month Pass Model L11</v>
      </c>
      <c r="L567" s="1" t="str">
        <f>_xlfn.XLOOKUP(C567, 'Product Catalog'!$A:$A, 'Product Catalog'!$C:$C, "Unknown Category")</f>
        <v>Digital Services</v>
      </c>
      <c r="M567" s="1">
        <f>_xlfn.XLOOKUP(C567, 'Product Catalog'!$A:$A, 'Product Catalog'!$D:$D, 0)</f>
        <v>16.73</v>
      </c>
      <c r="N567" s="1">
        <f t="shared" si="17"/>
        <v>83.65</v>
      </c>
    </row>
    <row r="568" spans="1:14" x14ac:dyDescent="0.3">
      <c r="A568" s="1" t="s">
        <v>1002</v>
      </c>
      <c r="B568" s="1" t="s">
        <v>336</v>
      </c>
      <c r="C568" s="1" t="s">
        <v>320</v>
      </c>
      <c r="D568" s="1">
        <v>1</v>
      </c>
      <c r="E568" s="12">
        <v>45837.302777777775</v>
      </c>
      <c r="F568" s="1" t="s">
        <v>19</v>
      </c>
      <c r="G568" s="1" t="s">
        <v>20</v>
      </c>
      <c r="H568" s="1" t="s">
        <v>41</v>
      </c>
      <c r="I568" s="1" t="s">
        <v>15</v>
      </c>
      <c r="J568" s="1" t="str">
        <f t="shared" si="16"/>
        <v>delivered</v>
      </c>
      <c r="K568" s="1" t="str">
        <f>_xlfn.XLOOKUP(C568, 'Product Catalog'!$A:$A, 'Product Catalog'!$B:$B, "Unknown Product")</f>
        <v>Premium Stream 1M Model Y24</v>
      </c>
      <c r="L568" s="1" t="str">
        <f>_xlfn.XLOOKUP(C568, 'Product Catalog'!$A:$A, 'Product Catalog'!$C:$C, "Unknown Category")</f>
        <v>Digital Services</v>
      </c>
      <c r="M568" s="1">
        <f>_xlfn.XLOOKUP(C568, 'Product Catalog'!$A:$A, 'Product Catalog'!$D:$D, 0)</f>
        <v>29.9</v>
      </c>
      <c r="N568" s="1">
        <f t="shared" si="17"/>
        <v>29.9</v>
      </c>
    </row>
    <row r="569" spans="1:14" x14ac:dyDescent="0.3">
      <c r="A569" s="1" t="s">
        <v>1003</v>
      </c>
      <c r="B569" s="1" t="s">
        <v>570</v>
      </c>
      <c r="C569" s="1" t="s">
        <v>496</v>
      </c>
      <c r="D569" s="1">
        <v>1</v>
      </c>
      <c r="E569" s="12">
        <v>45979.215277777781</v>
      </c>
      <c r="F569" s="1" t="s">
        <v>19</v>
      </c>
      <c r="G569" s="1" t="s">
        <v>31</v>
      </c>
      <c r="H569" s="1" t="s">
        <v>41</v>
      </c>
      <c r="I569" s="1" t="s">
        <v>15</v>
      </c>
      <c r="J569" s="1" t="str">
        <f t="shared" si="16"/>
        <v>delivered</v>
      </c>
      <c r="K569" s="1" t="str">
        <f>_xlfn.XLOOKUP(C569, 'Product Catalog'!$A:$A, 'Product Catalog'!$B:$B, "Unknown Product")</f>
        <v>Mug Model T45</v>
      </c>
      <c r="L569" s="1" t="str">
        <f>_xlfn.XLOOKUP(C569, 'Product Catalog'!$A:$A, 'Product Catalog'!$C:$C, "Unknown Category")</f>
        <v>Home Goods</v>
      </c>
      <c r="M569" s="1">
        <f>_xlfn.XLOOKUP(C569, 'Product Catalog'!$A:$A, 'Product Catalog'!$D:$D, 0)</f>
        <v>179.22</v>
      </c>
      <c r="N569" s="1">
        <f t="shared" si="17"/>
        <v>179.22</v>
      </c>
    </row>
    <row r="570" spans="1:14" x14ac:dyDescent="0.3">
      <c r="A570" s="1" t="s">
        <v>1004</v>
      </c>
      <c r="B570" s="1" t="s">
        <v>255</v>
      </c>
      <c r="C570" s="1" t="s">
        <v>184</v>
      </c>
      <c r="D570" s="1">
        <v>1</v>
      </c>
      <c r="E570" s="12">
        <v>45868.875694444447</v>
      </c>
      <c r="F570" s="1" t="s">
        <v>185</v>
      </c>
      <c r="G570" s="1" t="s">
        <v>109</v>
      </c>
      <c r="H570" s="1" t="s">
        <v>24</v>
      </c>
      <c r="I570" s="1" t="s">
        <v>32</v>
      </c>
      <c r="J570" s="1" t="str">
        <f t="shared" si="16"/>
        <v>SHIPPED</v>
      </c>
      <c r="K570" s="1" t="str">
        <f>_xlfn.XLOOKUP(C570, 'Product Catalog'!$A:$A, 'Product Catalog'!$B:$B, "Unknown Product")</f>
        <v>Jacket Model O40</v>
      </c>
      <c r="L570" s="1" t="str">
        <f>_xlfn.XLOOKUP(C570, 'Product Catalog'!$A:$A, 'Product Catalog'!$C:$C, "Unknown Category")</f>
        <v>Apparel</v>
      </c>
      <c r="M570" s="1">
        <f>_xlfn.XLOOKUP(C570, 'Product Catalog'!$A:$A, 'Product Catalog'!$D:$D, 0)</f>
        <v>114.16</v>
      </c>
      <c r="N570" s="1">
        <f t="shared" si="17"/>
        <v>114.16</v>
      </c>
    </row>
    <row r="571" spans="1:14" x14ac:dyDescent="0.3">
      <c r="A571" s="1" t="s">
        <v>1005</v>
      </c>
      <c r="B571" s="1" t="s">
        <v>67</v>
      </c>
      <c r="C571" s="1" t="s">
        <v>256</v>
      </c>
      <c r="D571" s="1">
        <v>4</v>
      </c>
      <c r="E571" s="12">
        <v>46009.629166666666</v>
      </c>
      <c r="F571" s="1" t="s">
        <v>39</v>
      </c>
      <c r="G571" s="1" t="s">
        <v>40</v>
      </c>
      <c r="H571" s="1" t="s">
        <v>51</v>
      </c>
      <c r="I571" s="1" t="s">
        <v>81</v>
      </c>
      <c r="J571" s="1" t="str">
        <f t="shared" si="16"/>
        <v>REFUNDED</v>
      </c>
      <c r="K571" s="1" t="str">
        <f>_xlfn.XLOOKUP(C571, 'Product Catalog'!$A:$A, 'Product Catalog'!$B:$B, "Unknown Product")</f>
        <v>Charger Model E56</v>
      </c>
      <c r="L571" s="1" t="str">
        <f>_xlfn.XLOOKUP(C571, 'Product Catalog'!$A:$A, 'Product Catalog'!$C:$C, "Unknown Category")</f>
        <v>Electronics</v>
      </c>
      <c r="M571" s="1">
        <f>_xlfn.XLOOKUP(C571, 'Product Catalog'!$A:$A, 'Product Catalog'!$D:$D, 0)</f>
        <v>186.13</v>
      </c>
      <c r="N571" s="1">
        <f t="shared" si="17"/>
        <v>744.52</v>
      </c>
    </row>
    <row r="572" spans="1:14" x14ac:dyDescent="0.3">
      <c r="A572" s="1" t="s">
        <v>1006</v>
      </c>
      <c r="B572" s="1" t="s">
        <v>874</v>
      </c>
      <c r="C572" s="1" t="s">
        <v>393</v>
      </c>
      <c r="D572" s="1">
        <v>1</v>
      </c>
      <c r="E572" s="12">
        <v>45769.122916666667</v>
      </c>
      <c r="F572" s="1" t="s">
        <v>12</v>
      </c>
      <c r="G572" s="1" t="s">
        <v>31</v>
      </c>
      <c r="H572" s="1" t="s">
        <v>14</v>
      </c>
      <c r="I572" s="1" t="s">
        <v>32</v>
      </c>
      <c r="J572" s="1" t="str">
        <f t="shared" si="16"/>
        <v>SHIPPED</v>
      </c>
      <c r="K572" s="1" t="str">
        <f>_xlfn.XLOOKUP(C572, 'Product Catalog'!$A:$A, 'Product Catalog'!$B:$B, "Unknown Product")</f>
        <v>Mouse Model B1</v>
      </c>
      <c r="L572" s="1" t="str">
        <f>_xlfn.XLOOKUP(C572, 'Product Catalog'!$A:$A, 'Product Catalog'!$C:$C, "Unknown Category")</f>
        <v>Electronics</v>
      </c>
      <c r="M572" s="1">
        <f>_xlfn.XLOOKUP(C572, 'Product Catalog'!$A:$A, 'Product Catalog'!$D:$D, 0)</f>
        <v>189.26</v>
      </c>
      <c r="N572" s="1">
        <f t="shared" si="17"/>
        <v>189.26</v>
      </c>
    </row>
    <row r="573" spans="1:14" x14ac:dyDescent="0.3">
      <c r="A573" s="1" t="s">
        <v>1007</v>
      </c>
      <c r="B573" s="1" t="s">
        <v>601</v>
      </c>
      <c r="C573" s="1" t="s">
        <v>527</v>
      </c>
      <c r="D573" s="1">
        <v>5</v>
      </c>
      <c r="E573" s="12">
        <v>45709.198611111111</v>
      </c>
      <c r="F573" s="1" t="s">
        <v>39</v>
      </c>
      <c r="G573" s="1" t="s">
        <v>20</v>
      </c>
      <c r="H573" s="1" t="s">
        <v>41</v>
      </c>
      <c r="I573" s="1" t="s">
        <v>56</v>
      </c>
      <c r="J573" s="1" t="str">
        <f t="shared" si="16"/>
        <v>cancelled</v>
      </c>
      <c r="K573" s="1" t="str">
        <f>_xlfn.XLOOKUP(C573, 'Product Catalog'!$A:$A, 'Product Catalog'!$B:$B, "Unknown Product")</f>
        <v>Leather Handbag Model S96</v>
      </c>
      <c r="L573" s="1" t="str">
        <f>_xlfn.XLOOKUP(C573, 'Product Catalog'!$A:$A, 'Product Catalog'!$C:$C, "Unknown Category")</f>
        <v>Luxury Goods</v>
      </c>
      <c r="M573" s="1">
        <f>_xlfn.XLOOKUP(C573, 'Product Catalog'!$A:$A, 'Product Catalog'!$D:$D, 0)</f>
        <v>2336.6799999999998</v>
      </c>
      <c r="N573" s="1">
        <f t="shared" si="17"/>
        <v>11683.4</v>
      </c>
    </row>
    <row r="574" spans="1:14" x14ac:dyDescent="0.3">
      <c r="A574" s="1" t="s">
        <v>1008</v>
      </c>
      <c r="B574" s="1" t="s">
        <v>136</v>
      </c>
      <c r="C574" s="1" t="s">
        <v>11</v>
      </c>
      <c r="D574" s="1">
        <v>1</v>
      </c>
      <c r="E574" s="12">
        <v>45721.838194444441</v>
      </c>
      <c r="F574" s="1" t="s">
        <v>12</v>
      </c>
      <c r="G574" s="1" t="s">
        <v>20</v>
      </c>
      <c r="H574" s="1" t="s">
        <v>41</v>
      </c>
      <c r="I574" s="1" t="s">
        <v>15</v>
      </c>
      <c r="J574" s="1" t="str">
        <f t="shared" si="16"/>
        <v>delivered</v>
      </c>
      <c r="K574" s="1" t="str">
        <f>_xlfn.XLOOKUP(C574, 'Product Catalog'!$A:$A, 'Product Catalog'!$B:$B, "Unknown Product")</f>
        <v>Keyboard Model F57</v>
      </c>
      <c r="L574" s="1" t="str">
        <f>_xlfn.XLOOKUP(C574, 'Product Catalog'!$A:$A, 'Product Catalog'!$C:$C, "Unknown Category")</f>
        <v>Electronics</v>
      </c>
      <c r="M574" s="1">
        <f>_xlfn.XLOOKUP(C574, 'Product Catalog'!$A:$A, 'Product Catalog'!$D:$D, 0)</f>
        <v>60.02</v>
      </c>
      <c r="N574" s="1">
        <f t="shared" si="17"/>
        <v>60.02</v>
      </c>
    </row>
    <row r="575" spans="1:14" x14ac:dyDescent="0.3">
      <c r="A575" s="1" t="s">
        <v>1009</v>
      </c>
      <c r="B575" s="1" t="s">
        <v>76</v>
      </c>
      <c r="C575" s="1" t="s">
        <v>131</v>
      </c>
      <c r="D575" s="1">
        <v>1</v>
      </c>
      <c r="E575" s="12">
        <v>45854.499305555553</v>
      </c>
      <c r="F575" s="1" t="s">
        <v>19</v>
      </c>
      <c r="G575" s="1" t="s">
        <v>109</v>
      </c>
      <c r="H575" s="1" t="s">
        <v>24</v>
      </c>
      <c r="I575" s="1" t="s">
        <v>102</v>
      </c>
      <c r="J575" s="1" t="str">
        <f t="shared" si="16"/>
        <v>disputed</v>
      </c>
      <c r="K575" s="1" t="str">
        <f>_xlfn.XLOOKUP(C575, 'Product Catalog'!$A:$A, 'Product Catalog'!$B:$B, "Unknown Product")</f>
        <v>Keyboard Model C28</v>
      </c>
      <c r="L575" s="1" t="str">
        <f>_xlfn.XLOOKUP(C575, 'Product Catalog'!$A:$A, 'Product Catalog'!$C:$C, "Unknown Category")</f>
        <v>Electronics</v>
      </c>
      <c r="M575" s="1">
        <f>_xlfn.XLOOKUP(C575, 'Product Catalog'!$A:$A, 'Product Catalog'!$D:$D, 0)</f>
        <v>162.44999999999999</v>
      </c>
      <c r="N575" s="1">
        <f t="shared" si="17"/>
        <v>162.44999999999999</v>
      </c>
    </row>
    <row r="576" spans="1:14" x14ac:dyDescent="0.3">
      <c r="A576" s="1" t="s">
        <v>1010</v>
      </c>
      <c r="B576" s="1" t="s">
        <v>147</v>
      </c>
      <c r="C576" s="1" t="s">
        <v>143</v>
      </c>
      <c r="D576" s="1">
        <v>1</v>
      </c>
      <c r="E576" s="12">
        <v>45877.447222222225</v>
      </c>
      <c r="F576" s="1" t="s">
        <v>170</v>
      </c>
      <c r="G576" s="1" t="s">
        <v>40</v>
      </c>
      <c r="H576" s="1" t="s">
        <v>55</v>
      </c>
      <c r="I576" s="1" t="s">
        <v>102</v>
      </c>
      <c r="J576" s="1" t="str">
        <f t="shared" si="16"/>
        <v>disputed</v>
      </c>
      <c r="K576" s="1" t="str">
        <f>_xlfn.XLOOKUP(C576, 'Product Catalog'!$A:$A, 'Product Catalog'!$B:$B, "Unknown Product")</f>
        <v>Designer Watch Model D3</v>
      </c>
      <c r="L576" s="1" t="str">
        <f>_xlfn.XLOOKUP(C576, 'Product Catalog'!$A:$A, 'Product Catalog'!$C:$C, "Unknown Category")</f>
        <v>Luxury Goods</v>
      </c>
      <c r="M576" s="1">
        <f>_xlfn.XLOOKUP(C576, 'Product Catalog'!$A:$A, 'Product Catalog'!$D:$D, 0)</f>
        <v>1599.08</v>
      </c>
      <c r="N576" s="1">
        <f t="shared" si="17"/>
        <v>1599.08</v>
      </c>
    </row>
    <row r="577" spans="1:14" x14ac:dyDescent="0.3">
      <c r="A577" s="1" t="s">
        <v>1011</v>
      </c>
      <c r="B577" s="1" t="s">
        <v>1012</v>
      </c>
      <c r="C577" s="1" t="s">
        <v>209</v>
      </c>
      <c r="D577" s="1">
        <v>5</v>
      </c>
      <c r="E577" s="12">
        <v>45729.352083333331</v>
      </c>
      <c r="F577" s="1" t="s">
        <v>170</v>
      </c>
      <c r="G577" s="1" t="s">
        <v>109</v>
      </c>
      <c r="H577" s="1" t="s">
        <v>51</v>
      </c>
      <c r="I577" s="1" t="s">
        <v>42</v>
      </c>
      <c r="J577" s="1" t="str">
        <f t="shared" si="16"/>
        <v>PENDING_REVIEW</v>
      </c>
      <c r="K577" s="1" t="str">
        <f>_xlfn.XLOOKUP(C577, 'Product Catalog'!$A:$A, 'Product Catalog'!$B:$B, "Unknown Product")</f>
        <v>Silk Scarf Model Z129</v>
      </c>
      <c r="L577" s="1" t="str">
        <f>_xlfn.XLOOKUP(C577, 'Product Catalog'!$A:$A, 'Product Catalog'!$C:$C, "Unknown Category")</f>
        <v>Luxury Goods</v>
      </c>
      <c r="M577" s="1">
        <f>_xlfn.XLOOKUP(C577, 'Product Catalog'!$A:$A, 'Product Catalog'!$D:$D, 0)</f>
        <v>1610</v>
      </c>
      <c r="N577" s="1">
        <f t="shared" si="17"/>
        <v>8050</v>
      </c>
    </row>
    <row r="578" spans="1:14" x14ac:dyDescent="0.3">
      <c r="A578" s="1" t="s">
        <v>1013</v>
      </c>
      <c r="B578" s="1" t="s">
        <v>48</v>
      </c>
      <c r="C578" s="1" t="s">
        <v>247</v>
      </c>
      <c r="D578" s="1">
        <v>4</v>
      </c>
      <c r="E578" s="12">
        <v>45799.916666666664</v>
      </c>
      <c r="F578" s="1" t="s">
        <v>12</v>
      </c>
      <c r="G578" s="1" t="s">
        <v>109</v>
      </c>
      <c r="H578" s="1" t="s">
        <v>51</v>
      </c>
      <c r="I578" s="1" t="s">
        <v>81</v>
      </c>
      <c r="J578" s="1" t="str">
        <f t="shared" ref="J578:J641" si="18">TRIM(I578)</f>
        <v>REFUNDED</v>
      </c>
      <c r="K578" s="1" t="str">
        <f>_xlfn.XLOOKUP(C578, 'Product Catalog'!$A:$A, 'Product Catalog'!$B:$B, "Unknown Product")</f>
        <v>Silk Scarf Model N117</v>
      </c>
      <c r="L578" s="1" t="str">
        <f>_xlfn.XLOOKUP(C578, 'Product Catalog'!$A:$A, 'Product Catalog'!$C:$C, "Unknown Category")</f>
        <v>Luxury Goods</v>
      </c>
      <c r="M578" s="1">
        <f>_xlfn.XLOOKUP(C578, 'Product Catalog'!$A:$A, 'Product Catalog'!$D:$D, 0)</f>
        <v>1740.35</v>
      </c>
      <c r="N578" s="1">
        <f t="shared" ref="N578:N641" si="19">D578 * M578</f>
        <v>6961.4</v>
      </c>
    </row>
    <row r="579" spans="1:14" x14ac:dyDescent="0.3">
      <c r="A579" s="1" t="s">
        <v>1014</v>
      </c>
      <c r="B579" s="1" t="s">
        <v>319</v>
      </c>
      <c r="C579" s="1" t="s">
        <v>446</v>
      </c>
      <c r="D579" s="1">
        <v>1</v>
      </c>
      <c r="E579" s="12">
        <v>45701.352777777778</v>
      </c>
      <c r="F579" s="1" t="s">
        <v>39</v>
      </c>
      <c r="G579" s="1" t="s">
        <v>13</v>
      </c>
      <c r="H579" s="1" t="s">
        <v>41</v>
      </c>
      <c r="I579" s="1" t="s">
        <v>81</v>
      </c>
      <c r="J579" s="1" t="str">
        <f t="shared" si="18"/>
        <v>REFUNDED</v>
      </c>
      <c r="K579" s="1" t="str">
        <f>_xlfn.XLOOKUP(C579, 'Product Catalog'!$A:$A, 'Product Catalog'!$B:$B, "Unknown Product")</f>
        <v>Silk Scarf Model K36</v>
      </c>
      <c r="L579" s="1" t="str">
        <f>_xlfn.XLOOKUP(C579, 'Product Catalog'!$A:$A, 'Product Catalog'!$C:$C, "Unknown Category")</f>
        <v>Luxury Goods</v>
      </c>
      <c r="M579" s="1">
        <f>_xlfn.XLOOKUP(C579, 'Product Catalog'!$A:$A, 'Product Catalog'!$D:$D, 0)</f>
        <v>737.6</v>
      </c>
      <c r="N579" s="1">
        <f t="shared" si="19"/>
        <v>737.6</v>
      </c>
    </row>
    <row r="580" spans="1:14" x14ac:dyDescent="0.3">
      <c r="A580" s="1" t="s">
        <v>1015</v>
      </c>
      <c r="B580" s="1" t="s">
        <v>480</v>
      </c>
      <c r="C580" s="1" t="s">
        <v>90</v>
      </c>
      <c r="D580" s="1">
        <v>5</v>
      </c>
      <c r="E580" s="12">
        <v>45941.854166666664</v>
      </c>
      <c r="F580" s="1" t="s">
        <v>170</v>
      </c>
      <c r="G580" s="1" t="s">
        <v>40</v>
      </c>
      <c r="H580" s="1" t="s">
        <v>41</v>
      </c>
      <c r="I580" s="1" t="s">
        <v>81</v>
      </c>
      <c r="J580" s="1" t="str">
        <f t="shared" si="18"/>
        <v>REFUNDED</v>
      </c>
      <c r="K580" s="1" t="str">
        <f>_xlfn.XLOOKUP(C580, 'Product Catalog'!$A:$A, 'Product Catalog'!$B:$B, "Unknown Product")</f>
        <v>VPN 6-Month Pass Model F109</v>
      </c>
      <c r="L580" s="1" t="str">
        <f>_xlfn.XLOOKUP(C580, 'Product Catalog'!$A:$A, 'Product Catalog'!$C:$C, "Unknown Category")</f>
        <v>Digital Services</v>
      </c>
      <c r="M580" s="1">
        <f>_xlfn.XLOOKUP(C580, 'Product Catalog'!$A:$A, 'Product Catalog'!$D:$D, 0)</f>
        <v>22.87</v>
      </c>
      <c r="N580" s="1">
        <f t="shared" si="19"/>
        <v>114.35000000000001</v>
      </c>
    </row>
    <row r="581" spans="1:14" x14ac:dyDescent="0.3">
      <c r="A581" s="1" t="s">
        <v>1016</v>
      </c>
      <c r="B581" s="1" t="s">
        <v>575</v>
      </c>
      <c r="C581" s="1" t="s">
        <v>181</v>
      </c>
      <c r="D581" s="1">
        <v>1</v>
      </c>
      <c r="E581" s="12">
        <v>45965.863888888889</v>
      </c>
      <c r="F581" s="1" t="s">
        <v>19</v>
      </c>
      <c r="G581" s="1" t="s">
        <v>13</v>
      </c>
      <c r="H581" s="1" t="s">
        <v>14</v>
      </c>
      <c r="I581" s="1" t="s">
        <v>15</v>
      </c>
      <c r="J581" s="1" t="str">
        <f t="shared" si="18"/>
        <v>delivered</v>
      </c>
      <c r="K581" s="1" t="str">
        <f>_xlfn.XLOOKUP(C581, 'Product Catalog'!$A:$A, 'Product Catalog'!$B:$B, "Unknown Product")</f>
        <v>Premium Stream 1M Model V99</v>
      </c>
      <c r="L581" s="1" t="str">
        <f>_xlfn.XLOOKUP(C581, 'Product Catalog'!$A:$A, 'Product Catalog'!$C:$C, "Unknown Category")</f>
        <v>Digital Services</v>
      </c>
      <c r="M581" s="1">
        <f>_xlfn.XLOOKUP(C581, 'Product Catalog'!$A:$A, 'Product Catalog'!$D:$D, 0)</f>
        <v>30.08</v>
      </c>
      <c r="N581" s="1">
        <f t="shared" si="19"/>
        <v>30.08</v>
      </c>
    </row>
    <row r="582" spans="1:14" x14ac:dyDescent="0.3">
      <c r="A582" s="1" t="s">
        <v>1017</v>
      </c>
      <c r="B582" s="1" t="s">
        <v>361</v>
      </c>
      <c r="C582" s="1" t="s">
        <v>817</v>
      </c>
      <c r="D582" s="1">
        <v>1</v>
      </c>
      <c r="E582" s="12">
        <v>45803.981944444444</v>
      </c>
      <c r="F582" s="1" t="s">
        <v>170</v>
      </c>
      <c r="G582" s="1" t="s">
        <v>50</v>
      </c>
      <c r="H582" s="1" t="s">
        <v>41</v>
      </c>
      <c r="I582" s="1" t="s">
        <v>81</v>
      </c>
      <c r="J582" s="1" t="str">
        <f t="shared" si="18"/>
        <v>REFUNDED</v>
      </c>
      <c r="K582" s="1" t="str">
        <f>_xlfn.XLOOKUP(C582, 'Product Catalog'!$A:$A, 'Product Catalog'!$B:$B, "Unknown Product")</f>
        <v>Desk Lamp Model D81</v>
      </c>
      <c r="L582" s="1" t="str">
        <f>_xlfn.XLOOKUP(C582, 'Product Catalog'!$A:$A, 'Product Catalog'!$C:$C, "Unknown Category")</f>
        <v>Home Goods</v>
      </c>
      <c r="M582" s="1">
        <f>_xlfn.XLOOKUP(C582, 'Product Catalog'!$A:$A, 'Product Catalog'!$D:$D, 0)</f>
        <v>177.42</v>
      </c>
      <c r="N582" s="1">
        <f t="shared" si="19"/>
        <v>177.42</v>
      </c>
    </row>
    <row r="583" spans="1:14" x14ac:dyDescent="0.3">
      <c r="A583" s="1" t="s">
        <v>1018</v>
      </c>
      <c r="B583" s="1" t="s">
        <v>517</v>
      </c>
      <c r="C583" s="1" t="s">
        <v>851</v>
      </c>
      <c r="D583" s="1">
        <v>1</v>
      </c>
      <c r="E583" s="12">
        <v>45671.936111111114</v>
      </c>
      <c r="F583" s="1" t="s">
        <v>19</v>
      </c>
      <c r="G583" s="1" t="s">
        <v>20</v>
      </c>
      <c r="H583" s="1" t="s">
        <v>41</v>
      </c>
      <c r="I583" s="1" t="s">
        <v>102</v>
      </c>
      <c r="J583" s="1" t="str">
        <f t="shared" si="18"/>
        <v>disputed</v>
      </c>
      <c r="K583" s="1" t="str">
        <f>_xlfn.XLOOKUP(C583, 'Product Catalog'!$A:$A, 'Product Catalog'!$B:$B, "Unknown Product")</f>
        <v>Charger Model H59</v>
      </c>
      <c r="L583" s="1" t="str">
        <f>_xlfn.XLOOKUP(C583, 'Product Catalog'!$A:$A, 'Product Catalog'!$C:$C, "Unknown Category")</f>
        <v>Electronics</v>
      </c>
      <c r="M583" s="1">
        <f>_xlfn.XLOOKUP(C583, 'Product Catalog'!$A:$A, 'Product Catalog'!$D:$D, 0)</f>
        <v>204.89</v>
      </c>
      <c r="N583" s="1">
        <f t="shared" si="19"/>
        <v>204.89</v>
      </c>
    </row>
    <row r="584" spans="1:14" x14ac:dyDescent="0.3">
      <c r="A584" s="1" t="s">
        <v>1019</v>
      </c>
      <c r="B584" s="1" t="s">
        <v>609</v>
      </c>
      <c r="C584" s="1" t="s">
        <v>253</v>
      </c>
      <c r="D584" s="1">
        <v>1</v>
      </c>
      <c r="E584" s="12">
        <v>45812.291666666664</v>
      </c>
      <c r="F584" s="1" t="s">
        <v>12</v>
      </c>
      <c r="G584" s="1" t="s">
        <v>31</v>
      </c>
      <c r="H584" s="1" t="s">
        <v>14</v>
      </c>
      <c r="I584" s="1" t="s">
        <v>15</v>
      </c>
      <c r="J584" s="1" t="str">
        <f t="shared" si="18"/>
        <v>delivered</v>
      </c>
      <c r="K584" s="1" t="str">
        <f>_xlfn.XLOOKUP(C584, 'Product Catalog'!$A:$A, 'Product Catalog'!$B:$B, "Unknown Product")</f>
        <v>Hoodie Model B79</v>
      </c>
      <c r="L584" s="1" t="str">
        <f>_xlfn.XLOOKUP(C584, 'Product Catalog'!$A:$A, 'Product Catalog'!$C:$C, "Unknown Category")</f>
        <v>Apparel</v>
      </c>
      <c r="M584" s="1">
        <f>_xlfn.XLOOKUP(C584, 'Product Catalog'!$A:$A, 'Product Catalog'!$D:$D, 0)</f>
        <v>106.9</v>
      </c>
      <c r="N584" s="1">
        <f t="shared" si="19"/>
        <v>106.9</v>
      </c>
    </row>
    <row r="585" spans="1:14" x14ac:dyDescent="0.3">
      <c r="A585" s="1" t="s">
        <v>1020</v>
      </c>
      <c r="B585" s="1" t="s">
        <v>1021</v>
      </c>
      <c r="C585" s="1" t="s">
        <v>565</v>
      </c>
      <c r="D585" s="1">
        <v>1</v>
      </c>
      <c r="E585" s="12">
        <v>45923.862500000003</v>
      </c>
      <c r="F585" s="1" t="s">
        <v>39</v>
      </c>
      <c r="G585" s="1" t="s">
        <v>50</v>
      </c>
      <c r="H585" s="1" t="s">
        <v>41</v>
      </c>
      <c r="I585" s="1" t="s">
        <v>102</v>
      </c>
      <c r="J585" s="1" t="str">
        <f t="shared" si="18"/>
        <v>disputed</v>
      </c>
      <c r="K585" s="1" t="str">
        <f>_xlfn.XLOOKUP(C585, 'Product Catalog'!$A:$A, 'Product Catalog'!$B:$B, "Unknown Product")</f>
        <v>Mug Model X75</v>
      </c>
      <c r="L585" s="1" t="str">
        <f>_xlfn.XLOOKUP(C585, 'Product Catalog'!$A:$A, 'Product Catalog'!$C:$C, "Unknown Category")</f>
        <v>Home Goods</v>
      </c>
      <c r="M585" s="1">
        <f>_xlfn.XLOOKUP(C585, 'Product Catalog'!$A:$A, 'Product Catalog'!$D:$D, 0)</f>
        <v>40.94</v>
      </c>
      <c r="N585" s="1">
        <f t="shared" si="19"/>
        <v>40.94</v>
      </c>
    </row>
    <row r="586" spans="1:14" x14ac:dyDescent="0.3">
      <c r="A586" s="1" t="s">
        <v>1022</v>
      </c>
      <c r="B586" s="1" t="s">
        <v>500</v>
      </c>
      <c r="C586" s="1" t="s">
        <v>383</v>
      </c>
      <c r="D586" s="1">
        <v>1</v>
      </c>
      <c r="E586" s="12">
        <v>45918.268055555556</v>
      </c>
      <c r="F586" s="1" t="s">
        <v>19</v>
      </c>
      <c r="G586" s="1" t="s">
        <v>13</v>
      </c>
      <c r="H586" s="1" t="s">
        <v>41</v>
      </c>
      <c r="I586" s="1" t="s">
        <v>15</v>
      </c>
      <c r="J586" s="1" t="str">
        <f t="shared" si="18"/>
        <v>delivered</v>
      </c>
      <c r="K586" s="1" t="str">
        <f>_xlfn.XLOOKUP(C586, 'Product Catalog'!$A:$A, 'Product Catalog'!$B:$B, "Unknown Product")</f>
        <v>Keyboard Model F83</v>
      </c>
      <c r="L586" s="1" t="str">
        <f>_xlfn.XLOOKUP(C586, 'Product Catalog'!$A:$A, 'Product Catalog'!$C:$C, "Unknown Category")</f>
        <v>Electronics</v>
      </c>
      <c r="M586" s="1">
        <f>_xlfn.XLOOKUP(C586, 'Product Catalog'!$A:$A, 'Product Catalog'!$D:$D, 0)</f>
        <v>77.150000000000006</v>
      </c>
      <c r="N586" s="1">
        <f t="shared" si="19"/>
        <v>77.150000000000006</v>
      </c>
    </row>
    <row r="587" spans="1:14" x14ac:dyDescent="0.3">
      <c r="A587" s="1" t="s">
        <v>1023</v>
      </c>
      <c r="B587" s="1" t="s">
        <v>267</v>
      </c>
      <c r="C587" s="1" t="s">
        <v>636</v>
      </c>
      <c r="D587" s="1">
        <v>4</v>
      </c>
      <c r="E587" s="12">
        <v>45858.420138888891</v>
      </c>
      <c r="F587" s="1" t="s">
        <v>170</v>
      </c>
      <c r="G587" s="1" t="s">
        <v>40</v>
      </c>
      <c r="H587" s="1" t="s">
        <v>41</v>
      </c>
      <c r="I587" s="1" t="s">
        <v>81</v>
      </c>
      <c r="J587" s="1" t="str">
        <f t="shared" si="18"/>
        <v>REFUNDED</v>
      </c>
      <c r="K587" s="1" t="str">
        <f>_xlfn.XLOOKUP(C587, 'Product Catalog'!$A:$A, 'Product Catalog'!$B:$B, "Unknown Product")</f>
        <v>Leather Handbag Model O92</v>
      </c>
      <c r="L587" s="1" t="str">
        <f>_xlfn.XLOOKUP(C587, 'Product Catalog'!$A:$A, 'Product Catalog'!$C:$C, "Unknown Category")</f>
        <v>Luxury Goods</v>
      </c>
      <c r="M587" s="1">
        <f>_xlfn.XLOOKUP(C587, 'Product Catalog'!$A:$A, 'Product Catalog'!$D:$D, 0)</f>
        <v>1245.53</v>
      </c>
      <c r="N587" s="1">
        <f t="shared" si="19"/>
        <v>4982.12</v>
      </c>
    </row>
    <row r="588" spans="1:14" x14ac:dyDescent="0.3">
      <c r="A588" s="1" t="s">
        <v>1024</v>
      </c>
      <c r="B588" s="1" t="s">
        <v>696</v>
      </c>
      <c r="C588" s="1" t="s">
        <v>633</v>
      </c>
      <c r="D588" s="1">
        <v>4</v>
      </c>
      <c r="E588" s="12">
        <v>45988.07708333333</v>
      </c>
      <c r="F588" s="1" t="s">
        <v>39</v>
      </c>
      <c r="G588" s="1" t="s">
        <v>50</v>
      </c>
      <c r="H588" s="1" t="s">
        <v>51</v>
      </c>
      <c r="I588" s="1" t="s">
        <v>102</v>
      </c>
      <c r="J588" s="1" t="str">
        <f t="shared" si="18"/>
        <v>disputed</v>
      </c>
      <c r="K588" s="1" t="str">
        <f>_xlfn.XLOOKUP(C588, 'Product Catalog'!$A:$A, 'Product Catalog'!$B:$B, "Unknown Product")</f>
        <v>Keyboard Model X49</v>
      </c>
      <c r="L588" s="1" t="str">
        <f>_xlfn.XLOOKUP(C588, 'Product Catalog'!$A:$A, 'Product Catalog'!$C:$C, "Unknown Category")</f>
        <v>Electronics</v>
      </c>
      <c r="M588" s="1">
        <f>_xlfn.XLOOKUP(C588, 'Product Catalog'!$A:$A, 'Product Catalog'!$D:$D, 0)</f>
        <v>30.84</v>
      </c>
      <c r="N588" s="1">
        <f t="shared" si="19"/>
        <v>123.36</v>
      </c>
    </row>
    <row r="589" spans="1:14" x14ac:dyDescent="0.3">
      <c r="A589" s="1" t="s">
        <v>1025</v>
      </c>
      <c r="B589" s="1" t="s">
        <v>1026</v>
      </c>
      <c r="C589" s="1" t="s">
        <v>65</v>
      </c>
      <c r="D589" s="1">
        <v>2</v>
      </c>
      <c r="E589" s="12">
        <v>45780.703472222223</v>
      </c>
      <c r="F589" s="1" t="s">
        <v>185</v>
      </c>
      <c r="G589" s="1" t="s">
        <v>46</v>
      </c>
      <c r="H589" s="1" t="s">
        <v>14</v>
      </c>
      <c r="I589" s="1" t="s">
        <v>15</v>
      </c>
      <c r="J589" s="1" t="str">
        <f t="shared" si="18"/>
        <v>delivered</v>
      </c>
      <c r="K589" s="1" t="str">
        <f>_xlfn.XLOOKUP(C589, 'Product Catalog'!$A:$A, 'Product Catalog'!$B:$B, "Unknown Product")</f>
        <v>Cap Model T97</v>
      </c>
      <c r="L589" s="1" t="str">
        <f>_xlfn.XLOOKUP(C589, 'Product Catalog'!$A:$A, 'Product Catalog'!$C:$C, "Unknown Category")</f>
        <v>Apparel</v>
      </c>
      <c r="M589" s="1">
        <f>_xlfn.XLOOKUP(C589, 'Product Catalog'!$A:$A, 'Product Catalog'!$D:$D, 0)</f>
        <v>99.18</v>
      </c>
      <c r="N589" s="1">
        <f t="shared" si="19"/>
        <v>198.36</v>
      </c>
    </row>
    <row r="590" spans="1:14" x14ac:dyDescent="0.3">
      <c r="A590" s="1" t="s">
        <v>1027</v>
      </c>
      <c r="B590" s="1" t="s">
        <v>29</v>
      </c>
      <c r="C590" s="1" t="s">
        <v>203</v>
      </c>
      <c r="D590" s="1">
        <v>1</v>
      </c>
      <c r="E590" s="12">
        <v>45855.159722222219</v>
      </c>
      <c r="F590" s="1" t="s">
        <v>19</v>
      </c>
      <c r="G590" s="1" t="s">
        <v>109</v>
      </c>
      <c r="H590" s="1" t="s">
        <v>41</v>
      </c>
      <c r="I590" s="1" t="s">
        <v>15</v>
      </c>
      <c r="J590" s="1" t="str">
        <f t="shared" si="18"/>
        <v>delivered</v>
      </c>
      <c r="K590" s="1" t="str">
        <f>_xlfn.XLOOKUP(C590, 'Product Catalog'!$A:$A, 'Product Catalog'!$B:$B, "Unknown Product")</f>
        <v>Pillow Model R17</v>
      </c>
      <c r="L590" s="1" t="str">
        <f>_xlfn.XLOOKUP(C590, 'Product Catalog'!$A:$A, 'Product Catalog'!$C:$C, "Unknown Category")</f>
        <v>Home Goods</v>
      </c>
      <c r="M590" s="1">
        <f>_xlfn.XLOOKUP(C590, 'Product Catalog'!$A:$A, 'Product Catalog'!$D:$D, 0)</f>
        <v>169.86</v>
      </c>
      <c r="N590" s="1">
        <f t="shared" si="19"/>
        <v>169.86</v>
      </c>
    </row>
    <row r="591" spans="1:14" x14ac:dyDescent="0.3">
      <c r="A591" s="1" t="s">
        <v>1028</v>
      </c>
      <c r="B591" s="1" t="s">
        <v>342</v>
      </c>
      <c r="C591" s="1" t="s">
        <v>253</v>
      </c>
      <c r="D591" s="1">
        <v>1</v>
      </c>
      <c r="E591" s="12">
        <v>45781.710416666669</v>
      </c>
      <c r="F591" s="1" t="s">
        <v>12</v>
      </c>
      <c r="G591" s="1" t="s">
        <v>46</v>
      </c>
      <c r="H591" s="1" t="s">
        <v>24</v>
      </c>
      <c r="I591" s="1" t="s">
        <v>15</v>
      </c>
      <c r="J591" s="1" t="str">
        <f t="shared" si="18"/>
        <v>delivered</v>
      </c>
      <c r="K591" s="1" t="str">
        <f>_xlfn.XLOOKUP(C591, 'Product Catalog'!$A:$A, 'Product Catalog'!$B:$B, "Unknown Product")</f>
        <v>Hoodie Model B79</v>
      </c>
      <c r="L591" s="1" t="str">
        <f>_xlfn.XLOOKUP(C591, 'Product Catalog'!$A:$A, 'Product Catalog'!$C:$C, "Unknown Category")</f>
        <v>Apparel</v>
      </c>
      <c r="M591" s="1">
        <f>_xlfn.XLOOKUP(C591, 'Product Catalog'!$A:$A, 'Product Catalog'!$D:$D, 0)</f>
        <v>106.9</v>
      </c>
      <c r="N591" s="1">
        <f t="shared" si="19"/>
        <v>106.9</v>
      </c>
    </row>
    <row r="592" spans="1:14" x14ac:dyDescent="0.3">
      <c r="A592" s="1" t="s">
        <v>1029</v>
      </c>
      <c r="B592" s="1" t="s">
        <v>581</v>
      </c>
      <c r="C592" s="1" t="s">
        <v>466</v>
      </c>
      <c r="D592" s="1">
        <v>1</v>
      </c>
      <c r="E592" s="12">
        <v>45984.844444444447</v>
      </c>
      <c r="F592" s="1" t="s">
        <v>19</v>
      </c>
      <c r="G592" s="1" t="s">
        <v>46</v>
      </c>
      <c r="H592" s="1" t="s">
        <v>14</v>
      </c>
      <c r="I592" s="1" t="s">
        <v>15</v>
      </c>
      <c r="J592" s="1" t="str">
        <f t="shared" si="18"/>
        <v>delivered</v>
      </c>
      <c r="K592" s="1" t="str">
        <f>_xlfn.XLOOKUP(C592, 'Product Catalog'!$A:$A, 'Product Catalog'!$B:$B, "Unknown Product")</f>
        <v>VPN 6-Month Pass Model L11</v>
      </c>
      <c r="L592" s="1" t="str">
        <f>_xlfn.XLOOKUP(C592, 'Product Catalog'!$A:$A, 'Product Catalog'!$C:$C, "Unknown Category")</f>
        <v>Digital Services</v>
      </c>
      <c r="M592" s="1">
        <f>_xlfn.XLOOKUP(C592, 'Product Catalog'!$A:$A, 'Product Catalog'!$D:$D, 0)</f>
        <v>16.73</v>
      </c>
      <c r="N592" s="1">
        <f t="shared" si="19"/>
        <v>16.73</v>
      </c>
    </row>
    <row r="593" spans="1:14" x14ac:dyDescent="0.3">
      <c r="A593" s="1" t="s">
        <v>1030</v>
      </c>
      <c r="B593" s="1" t="s">
        <v>1031</v>
      </c>
      <c r="C593" s="1" t="s">
        <v>101</v>
      </c>
      <c r="D593" s="1">
        <v>2</v>
      </c>
      <c r="E593" s="12">
        <v>45694.750694444447</v>
      </c>
      <c r="F593" s="1" t="s">
        <v>19</v>
      </c>
      <c r="G593" s="1" t="s">
        <v>31</v>
      </c>
      <c r="H593" s="1" t="s">
        <v>14</v>
      </c>
      <c r="I593" s="1" t="s">
        <v>15</v>
      </c>
      <c r="J593" s="1" t="str">
        <f t="shared" si="18"/>
        <v>delivered</v>
      </c>
      <c r="K593" s="1" t="str">
        <f>_xlfn.XLOOKUP(C593, 'Product Catalog'!$A:$A, 'Product Catalog'!$B:$B, "Unknown Product")</f>
        <v>Smartwatch Model W126</v>
      </c>
      <c r="L593" s="1" t="str">
        <f>_xlfn.XLOOKUP(C593, 'Product Catalog'!$A:$A, 'Product Catalog'!$C:$C, "Unknown Category")</f>
        <v>Electronics</v>
      </c>
      <c r="M593" s="1">
        <f>_xlfn.XLOOKUP(C593, 'Product Catalog'!$A:$A, 'Product Catalog'!$D:$D, 0)</f>
        <v>114.91</v>
      </c>
      <c r="N593" s="1">
        <f t="shared" si="19"/>
        <v>229.82</v>
      </c>
    </row>
    <row r="594" spans="1:14" x14ac:dyDescent="0.3">
      <c r="A594" s="1" t="s">
        <v>1032</v>
      </c>
      <c r="B594" s="1" t="s">
        <v>116</v>
      </c>
      <c r="C594" s="1" t="s">
        <v>237</v>
      </c>
      <c r="D594" s="1">
        <v>4</v>
      </c>
      <c r="E594" s="12">
        <v>45664.513194444444</v>
      </c>
      <c r="F594" s="1" t="s">
        <v>12</v>
      </c>
      <c r="G594" s="1" t="s">
        <v>46</v>
      </c>
      <c r="H594" s="1" t="s">
        <v>41</v>
      </c>
      <c r="I594" s="1" t="s">
        <v>81</v>
      </c>
      <c r="J594" s="1" t="str">
        <f t="shared" si="18"/>
        <v>REFUNDED</v>
      </c>
      <c r="K594" s="1" t="str">
        <f>_xlfn.XLOOKUP(C594, 'Product Catalog'!$A:$A, 'Product Catalog'!$B:$B, "Unknown Product")</f>
        <v>Leather Handbag Model U20</v>
      </c>
      <c r="L594" s="1" t="str">
        <f>_xlfn.XLOOKUP(C594, 'Product Catalog'!$A:$A, 'Product Catalog'!$C:$C, "Unknown Category")</f>
        <v>Luxury Goods</v>
      </c>
      <c r="M594" s="1">
        <f>_xlfn.XLOOKUP(C594, 'Product Catalog'!$A:$A, 'Product Catalog'!$D:$D, 0)</f>
        <v>1806.15</v>
      </c>
      <c r="N594" s="1">
        <f t="shared" si="19"/>
        <v>7224.6</v>
      </c>
    </row>
    <row r="595" spans="1:14" x14ac:dyDescent="0.3">
      <c r="A595" s="1" t="s">
        <v>1033</v>
      </c>
      <c r="B595" s="1" t="s">
        <v>656</v>
      </c>
      <c r="C595" s="1" t="s">
        <v>293</v>
      </c>
      <c r="D595" s="1">
        <v>5</v>
      </c>
      <c r="E595" s="12">
        <v>45820.1875</v>
      </c>
      <c r="F595" s="1" t="s">
        <v>39</v>
      </c>
      <c r="G595" s="1" t="s">
        <v>50</v>
      </c>
      <c r="H595" s="1" t="s">
        <v>55</v>
      </c>
      <c r="I595" s="1" t="s">
        <v>81</v>
      </c>
      <c r="J595" s="1" t="str">
        <f t="shared" si="18"/>
        <v>REFUNDED</v>
      </c>
      <c r="K595" s="1" t="str">
        <f>_xlfn.XLOOKUP(C595, 'Product Catalog'!$A:$A, 'Product Catalog'!$B:$B, "Unknown Product")</f>
        <v>Software License Tier A Model C132</v>
      </c>
      <c r="L595" s="1" t="str">
        <f>_xlfn.XLOOKUP(C595, 'Product Catalog'!$A:$A, 'Product Catalog'!$C:$C, "Unknown Category")</f>
        <v>Digital Services</v>
      </c>
      <c r="M595" s="1">
        <f>_xlfn.XLOOKUP(C595, 'Product Catalog'!$A:$A, 'Product Catalog'!$D:$D, 0)</f>
        <v>29.36</v>
      </c>
      <c r="N595" s="1">
        <f t="shared" si="19"/>
        <v>146.80000000000001</v>
      </c>
    </row>
    <row r="596" spans="1:14" x14ac:dyDescent="0.3">
      <c r="A596" s="1" t="s">
        <v>1034</v>
      </c>
      <c r="B596" s="1" t="s">
        <v>388</v>
      </c>
      <c r="C596" s="1" t="s">
        <v>206</v>
      </c>
      <c r="D596" s="1">
        <v>1</v>
      </c>
      <c r="E596" s="12">
        <v>45856.808333333334</v>
      </c>
      <c r="F596" s="1" t="s">
        <v>12</v>
      </c>
      <c r="G596" s="1" t="s">
        <v>31</v>
      </c>
      <c r="H596" s="1" t="s">
        <v>41</v>
      </c>
      <c r="I596" s="1" t="s">
        <v>15</v>
      </c>
      <c r="J596" s="1" t="str">
        <f t="shared" si="18"/>
        <v>delivered</v>
      </c>
      <c r="K596" s="1" t="str">
        <f>_xlfn.XLOOKUP(C596, 'Product Catalog'!$A:$A, 'Product Catalog'!$B:$B, "Unknown Product")</f>
        <v>Webcam Model F31</v>
      </c>
      <c r="L596" s="1" t="str">
        <f>_xlfn.XLOOKUP(C596, 'Product Catalog'!$A:$A, 'Product Catalog'!$C:$C, "Unknown Category")</f>
        <v>Electronics</v>
      </c>
      <c r="M596" s="1">
        <f>_xlfn.XLOOKUP(C596, 'Product Catalog'!$A:$A, 'Product Catalog'!$D:$D, 0)</f>
        <v>184.37</v>
      </c>
      <c r="N596" s="1">
        <f t="shared" si="19"/>
        <v>184.37</v>
      </c>
    </row>
    <row r="597" spans="1:14" x14ac:dyDescent="0.3">
      <c r="A597" s="1" t="s">
        <v>1035</v>
      </c>
      <c r="B597" s="1" t="s">
        <v>807</v>
      </c>
      <c r="C597" s="1" t="s">
        <v>38</v>
      </c>
      <c r="D597" s="1">
        <v>2</v>
      </c>
      <c r="E597" s="12">
        <v>45873.519444444442</v>
      </c>
      <c r="F597" s="1" t="s">
        <v>19</v>
      </c>
      <c r="G597" s="1" t="s">
        <v>13</v>
      </c>
      <c r="H597" s="1" t="s">
        <v>41</v>
      </c>
      <c r="I597" s="1" t="s">
        <v>15</v>
      </c>
      <c r="J597" s="1" t="str">
        <f t="shared" si="18"/>
        <v>delivered</v>
      </c>
      <c r="K597" s="1" t="str">
        <f>_xlfn.XLOOKUP(C597, 'Product Catalog'!$A:$A, 'Product Catalog'!$B:$B, "Unknown Product")</f>
        <v>VPN 6-Month Pass Model V73</v>
      </c>
      <c r="L597" s="1" t="str">
        <f>_xlfn.XLOOKUP(C597, 'Product Catalog'!$A:$A, 'Product Catalog'!$C:$C, "Unknown Category")</f>
        <v>Digital Services</v>
      </c>
      <c r="M597" s="1">
        <f>_xlfn.XLOOKUP(C597, 'Product Catalog'!$A:$A, 'Product Catalog'!$D:$D, 0)</f>
        <v>58.13</v>
      </c>
      <c r="N597" s="1">
        <f t="shared" si="19"/>
        <v>116.26</v>
      </c>
    </row>
    <row r="598" spans="1:14" x14ac:dyDescent="0.3">
      <c r="A598" s="1" t="s">
        <v>1036</v>
      </c>
      <c r="B598" s="1" t="s">
        <v>859</v>
      </c>
      <c r="C598" s="1" t="s">
        <v>219</v>
      </c>
      <c r="D598" s="1">
        <v>1</v>
      </c>
      <c r="E598" s="12">
        <v>45937.970833333333</v>
      </c>
      <c r="F598" s="1" t="s">
        <v>19</v>
      </c>
      <c r="G598" s="1" t="s">
        <v>109</v>
      </c>
      <c r="H598" s="1" t="s">
        <v>24</v>
      </c>
      <c r="I598" s="1" t="s">
        <v>42</v>
      </c>
      <c r="J598" s="1" t="str">
        <f t="shared" si="18"/>
        <v>PENDING_REVIEW</v>
      </c>
      <c r="K598" s="1" t="str">
        <f>_xlfn.XLOOKUP(C598, 'Product Catalog'!$A:$A, 'Product Catalog'!$B:$B, "Unknown Product")</f>
        <v>Cap Model P15</v>
      </c>
      <c r="L598" s="1" t="str">
        <f>_xlfn.XLOOKUP(C598, 'Product Catalog'!$A:$A, 'Product Catalog'!$C:$C, "Unknown Category")</f>
        <v>Apparel</v>
      </c>
      <c r="M598" s="1">
        <f>_xlfn.XLOOKUP(C598, 'Product Catalog'!$A:$A, 'Product Catalog'!$D:$D, 0)</f>
        <v>21.11</v>
      </c>
      <c r="N598" s="1">
        <f t="shared" si="19"/>
        <v>21.11</v>
      </c>
    </row>
    <row r="599" spans="1:14" x14ac:dyDescent="0.3">
      <c r="A599" s="1" t="s">
        <v>1037</v>
      </c>
      <c r="B599" s="1" t="s">
        <v>218</v>
      </c>
      <c r="C599" s="1" t="s">
        <v>122</v>
      </c>
      <c r="D599" s="1">
        <v>5</v>
      </c>
      <c r="E599" s="12">
        <v>45746.669444444444</v>
      </c>
      <c r="F599" s="1" t="s">
        <v>19</v>
      </c>
      <c r="G599" s="1" t="s">
        <v>13</v>
      </c>
      <c r="H599" s="1" t="s">
        <v>51</v>
      </c>
      <c r="I599" s="1" t="s">
        <v>102</v>
      </c>
      <c r="J599" s="1" t="str">
        <f t="shared" si="18"/>
        <v>disputed</v>
      </c>
      <c r="K599" s="1" t="str">
        <f>_xlfn.XLOOKUP(C599, 'Product Catalog'!$A:$A, 'Product Catalog'!$B:$B, "Unknown Product")</f>
        <v>Gold Bracelet Model I86</v>
      </c>
      <c r="L599" s="1" t="str">
        <f>_xlfn.XLOOKUP(C599, 'Product Catalog'!$A:$A, 'Product Catalog'!$C:$C, "Unknown Category")</f>
        <v>Luxury Goods</v>
      </c>
      <c r="M599" s="1">
        <f>_xlfn.XLOOKUP(C599, 'Product Catalog'!$A:$A, 'Product Catalog'!$D:$D, 0)</f>
        <v>852.47</v>
      </c>
      <c r="N599" s="1">
        <f t="shared" si="19"/>
        <v>4262.3500000000004</v>
      </c>
    </row>
    <row r="600" spans="1:14" x14ac:dyDescent="0.3">
      <c r="A600" s="1" t="s">
        <v>1038</v>
      </c>
      <c r="B600" s="1" t="s">
        <v>298</v>
      </c>
      <c r="C600" s="1" t="s">
        <v>101</v>
      </c>
      <c r="D600" s="1">
        <v>2</v>
      </c>
      <c r="E600" s="12">
        <v>45695.023611111108</v>
      </c>
      <c r="F600" s="1" t="s">
        <v>12</v>
      </c>
      <c r="G600" s="1" t="s">
        <v>109</v>
      </c>
      <c r="H600" s="1" t="s">
        <v>14</v>
      </c>
      <c r="I600" s="1" t="s">
        <v>15</v>
      </c>
      <c r="J600" s="1" t="str">
        <f t="shared" si="18"/>
        <v>delivered</v>
      </c>
      <c r="K600" s="1" t="str">
        <f>_xlfn.XLOOKUP(C600, 'Product Catalog'!$A:$A, 'Product Catalog'!$B:$B, "Unknown Product")</f>
        <v>Smartwatch Model W126</v>
      </c>
      <c r="L600" s="1" t="str">
        <f>_xlfn.XLOOKUP(C600, 'Product Catalog'!$A:$A, 'Product Catalog'!$C:$C, "Unknown Category")</f>
        <v>Electronics</v>
      </c>
      <c r="M600" s="1">
        <f>_xlfn.XLOOKUP(C600, 'Product Catalog'!$A:$A, 'Product Catalog'!$D:$D, 0)</f>
        <v>114.91</v>
      </c>
      <c r="N600" s="1">
        <f t="shared" si="19"/>
        <v>229.82</v>
      </c>
    </row>
    <row r="601" spans="1:14" x14ac:dyDescent="0.3">
      <c r="A601" s="1" t="s">
        <v>1039</v>
      </c>
      <c r="B601" s="1" t="s">
        <v>581</v>
      </c>
      <c r="C601" s="1" t="s">
        <v>181</v>
      </c>
      <c r="D601" s="1">
        <v>5</v>
      </c>
      <c r="E601" s="12">
        <v>45958.095833333333</v>
      </c>
      <c r="F601" s="1" t="s">
        <v>12</v>
      </c>
      <c r="G601" s="1" t="s">
        <v>40</v>
      </c>
      <c r="H601" s="1" t="s">
        <v>41</v>
      </c>
      <c r="I601" s="1" t="s">
        <v>42</v>
      </c>
      <c r="J601" s="1" t="str">
        <f t="shared" si="18"/>
        <v>PENDING_REVIEW</v>
      </c>
      <c r="K601" s="1" t="str">
        <f>_xlfn.XLOOKUP(C601, 'Product Catalog'!$A:$A, 'Product Catalog'!$B:$B, "Unknown Product")</f>
        <v>Premium Stream 1M Model V99</v>
      </c>
      <c r="L601" s="1" t="str">
        <f>_xlfn.XLOOKUP(C601, 'Product Catalog'!$A:$A, 'Product Catalog'!$C:$C, "Unknown Category")</f>
        <v>Digital Services</v>
      </c>
      <c r="M601" s="1">
        <f>_xlfn.XLOOKUP(C601, 'Product Catalog'!$A:$A, 'Product Catalog'!$D:$D, 0)</f>
        <v>30.08</v>
      </c>
      <c r="N601" s="1">
        <f t="shared" si="19"/>
        <v>150.39999999999998</v>
      </c>
    </row>
    <row r="602" spans="1:14" x14ac:dyDescent="0.3">
      <c r="A602" s="1" t="s">
        <v>1040</v>
      </c>
      <c r="B602" s="1" t="s">
        <v>484</v>
      </c>
      <c r="C602" s="1" t="s">
        <v>253</v>
      </c>
      <c r="D602" s="1">
        <v>3</v>
      </c>
      <c r="E602" s="12">
        <v>45665.37222222222</v>
      </c>
      <c r="F602" s="1" t="s">
        <v>12</v>
      </c>
      <c r="G602" s="1" t="s">
        <v>31</v>
      </c>
      <c r="H602" s="1" t="s">
        <v>24</v>
      </c>
      <c r="I602" s="1" t="s">
        <v>15</v>
      </c>
      <c r="J602" s="1" t="str">
        <f t="shared" si="18"/>
        <v>delivered</v>
      </c>
      <c r="K602" s="1" t="str">
        <f>_xlfn.XLOOKUP(C602, 'Product Catalog'!$A:$A, 'Product Catalog'!$B:$B, "Unknown Product")</f>
        <v>Hoodie Model B79</v>
      </c>
      <c r="L602" s="1" t="str">
        <f>_xlfn.XLOOKUP(C602, 'Product Catalog'!$A:$A, 'Product Catalog'!$C:$C, "Unknown Category")</f>
        <v>Apparel</v>
      </c>
      <c r="M602" s="1">
        <f>_xlfn.XLOOKUP(C602, 'Product Catalog'!$A:$A, 'Product Catalog'!$D:$D, 0)</f>
        <v>106.9</v>
      </c>
      <c r="N602" s="1">
        <f t="shared" si="19"/>
        <v>320.70000000000005</v>
      </c>
    </row>
    <row r="603" spans="1:14" x14ac:dyDescent="0.3">
      <c r="A603" s="1" t="s">
        <v>1041</v>
      </c>
      <c r="B603" s="1" t="s">
        <v>34</v>
      </c>
      <c r="C603" s="1" t="s">
        <v>357</v>
      </c>
      <c r="D603" s="1">
        <v>1</v>
      </c>
      <c r="E603" s="12">
        <v>45768.056250000001</v>
      </c>
      <c r="F603" s="1" t="s">
        <v>19</v>
      </c>
      <c r="G603" s="1" t="s">
        <v>20</v>
      </c>
      <c r="H603" s="1" t="s">
        <v>41</v>
      </c>
      <c r="I603" s="1" t="s">
        <v>15</v>
      </c>
      <c r="J603" s="1" t="str">
        <f t="shared" si="18"/>
        <v>delivered</v>
      </c>
      <c r="K603" s="1" t="str">
        <f>_xlfn.XLOOKUP(C603, 'Product Catalog'!$A:$A, 'Product Catalog'!$B:$B, "Unknown Product")</f>
        <v>Blender Model C106</v>
      </c>
      <c r="L603" s="1" t="str">
        <f>_xlfn.XLOOKUP(C603, 'Product Catalog'!$A:$A, 'Product Catalog'!$C:$C, "Unknown Category")</f>
        <v>Home Goods</v>
      </c>
      <c r="M603" s="1">
        <f>_xlfn.XLOOKUP(C603, 'Product Catalog'!$A:$A, 'Product Catalog'!$D:$D, 0)</f>
        <v>112.89</v>
      </c>
      <c r="N603" s="1">
        <f t="shared" si="19"/>
        <v>112.89</v>
      </c>
    </row>
    <row r="604" spans="1:14" x14ac:dyDescent="0.3">
      <c r="A604" s="1" t="s">
        <v>1042</v>
      </c>
      <c r="B604" s="1" t="s">
        <v>76</v>
      </c>
      <c r="C604" s="1" t="s">
        <v>128</v>
      </c>
      <c r="D604" s="1">
        <v>1</v>
      </c>
      <c r="E604" s="12">
        <v>45688.565972222219</v>
      </c>
      <c r="F604" s="1" t="s">
        <v>12</v>
      </c>
      <c r="G604" s="1" t="s">
        <v>20</v>
      </c>
      <c r="H604" s="1" t="s">
        <v>14</v>
      </c>
      <c r="I604" s="1" t="s">
        <v>15</v>
      </c>
      <c r="J604" s="1" t="str">
        <f t="shared" si="18"/>
        <v>delivered</v>
      </c>
      <c r="K604" s="1" t="str">
        <f>_xlfn.XLOOKUP(C604, 'Product Catalog'!$A:$A, 'Product Catalog'!$B:$B, "Unknown Product")</f>
        <v>Organizer Model N39</v>
      </c>
      <c r="L604" s="1" t="str">
        <f>_xlfn.XLOOKUP(C604, 'Product Catalog'!$A:$A, 'Product Catalog'!$C:$C, "Unknown Category")</f>
        <v>Home Goods</v>
      </c>
      <c r="M604" s="1">
        <f>_xlfn.XLOOKUP(C604, 'Product Catalog'!$A:$A, 'Product Catalog'!$D:$D, 0)</f>
        <v>149.08000000000001</v>
      </c>
      <c r="N604" s="1">
        <f t="shared" si="19"/>
        <v>149.08000000000001</v>
      </c>
    </row>
    <row r="605" spans="1:14" x14ac:dyDescent="0.3">
      <c r="A605" s="1" t="s">
        <v>1043</v>
      </c>
      <c r="B605" s="1" t="s">
        <v>175</v>
      </c>
      <c r="C605" s="1" t="s">
        <v>74</v>
      </c>
      <c r="D605" s="1">
        <v>1</v>
      </c>
      <c r="E605" s="12">
        <v>45917.406944444447</v>
      </c>
      <c r="F605" s="1" t="s">
        <v>19</v>
      </c>
      <c r="G605" s="1" t="s">
        <v>20</v>
      </c>
      <c r="H605" s="1" t="s">
        <v>41</v>
      </c>
      <c r="I605" s="1" t="s">
        <v>15</v>
      </c>
      <c r="J605" s="1" t="str">
        <f t="shared" si="18"/>
        <v>delivered</v>
      </c>
      <c r="K605" s="1" t="str">
        <f>_xlfn.XLOOKUP(C605, 'Product Catalog'!$A:$A, 'Product Catalog'!$B:$B, "Unknown Product")</f>
        <v>Webcam Model D55</v>
      </c>
      <c r="L605" s="1" t="str">
        <f>_xlfn.XLOOKUP(C605, 'Product Catalog'!$A:$A, 'Product Catalog'!$C:$C, "Unknown Category")</f>
        <v>Electronics</v>
      </c>
      <c r="M605" s="1">
        <f>_xlfn.XLOOKUP(C605, 'Product Catalog'!$A:$A, 'Product Catalog'!$D:$D, 0)</f>
        <v>168.56</v>
      </c>
      <c r="N605" s="1">
        <f t="shared" si="19"/>
        <v>168.56</v>
      </c>
    </row>
    <row r="606" spans="1:14" x14ac:dyDescent="0.3">
      <c r="A606" s="1" t="s">
        <v>1044</v>
      </c>
      <c r="B606" s="1" t="s">
        <v>761</v>
      </c>
      <c r="C606" s="1" t="s">
        <v>45</v>
      </c>
      <c r="D606" s="1">
        <v>1</v>
      </c>
      <c r="E606" s="12">
        <v>45979.712500000001</v>
      </c>
      <c r="F606" s="1" t="s">
        <v>19</v>
      </c>
      <c r="G606" s="1" t="s">
        <v>40</v>
      </c>
      <c r="H606" s="1" t="s">
        <v>41</v>
      </c>
      <c r="I606" s="1" t="s">
        <v>42</v>
      </c>
      <c r="J606" s="1" t="str">
        <f t="shared" si="18"/>
        <v>PENDING_REVIEW</v>
      </c>
      <c r="K606" s="1" t="str">
        <f>_xlfn.XLOOKUP(C606, 'Product Catalog'!$A:$A, 'Product Catalog'!$B:$B, "Unknown Product")</f>
        <v>Jacket Model N91</v>
      </c>
      <c r="L606" s="1" t="str">
        <f>_xlfn.XLOOKUP(C606, 'Product Catalog'!$A:$A, 'Product Catalog'!$C:$C, "Unknown Category")</f>
        <v>Apparel</v>
      </c>
      <c r="M606" s="1">
        <f>_xlfn.XLOOKUP(C606, 'Product Catalog'!$A:$A, 'Product Catalog'!$D:$D, 0)</f>
        <v>13.96</v>
      </c>
      <c r="N606" s="1">
        <f t="shared" si="19"/>
        <v>13.96</v>
      </c>
    </row>
    <row r="607" spans="1:14" x14ac:dyDescent="0.3">
      <c r="A607" s="1" t="s">
        <v>1045</v>
      </c>
      <c r="B607" s="1" t="s">
        <v>83</v>
      </c>
      <c r="C607" s="1" t="s">
        <v>466</v>
      </c>
      <c r="D607" s="1">
        <v>1</v>
      </c>
      <c r="E607" s="12">
        <v>45870.602083333331</v>
      </c>
      <c r="F607" s="1" t="s">
        <v>19</v>
      </c>
      <c r="G607" s="1" t="s">
        <v>46</v>
      </c>
      <c r="H607" s="1" t="s">
        <v>14</v>
      </c>
      <c r="I607" s="1" t="s">
        <v>15</v>
      </c>
      <c r="J607" s="1" t="str">
        <f t="shared" si="18"/>
        <v>delivered</v>
      </c>
      <c r="K607" s="1" t="str">
        <f>_xlfn.XLOOKUP(C607, 'Product Catalog'!$A:$A, 'Product Catalog'!$B:$B, "Unknown Product")</f>
        <v>VPN 6-Month Pass Model L11</v>
      </c>
      <c r="L607" s="1" t="str">
        <f>_xlfn.XLOOKUP(C607, 'Product Catalog'!$A:$A, 'Product Catalog'!$C:$C, "Unknown Category")</f>
        <v>Digital Services</v>
      </c>
      <c r="M607" s="1">
        <f>_xlfn.XLOOKUP(C607, 'Product Catalog'!$A:$A, 'Product Catalog'!$D:$D, 0)</f>
        <v>16.73</v>
      </c>
      <c r="N607" s="1">
        <f t="shared" si="19"/>
        <v>16.73</v>
      </c>
    </row>
    <row r="608" spans="1:14" x14ac:dyDescent="0.3">
      <c r="A608" s="1" t="s">
        <v>1046</v>
      </c>
      <c r="B608" s="1" t="s">
        <v>954</v>
      </c>
      <c r="C608" s="1" t="s">
        <v>485</v>
      </c>
      <c r="D608" s="1">
        <v>4</v>
      </c>
      <c r="E608" s="12">
        <v>46017.571527777778</v>
      </c>
      <c r="F608" s="1" t="s">
        <v>12</v>
      </c>
      <c r="G608" s="1" t="s">
        <v>50</v>
      </c>
      <c r="H608" s="1" t="s">
        <v>41</v>
      </c>
      <c r="I608" s="1" t="s">
        <v>81</v>
      </c>
      <c r="J608" s="1" t="str">
        <f t="shared" si="18"/>
        <v>REFUNDED</v>
      </c>
      <c r="K608" s="1" t="str">
        <f>_xlfn.XLOOKUP(C608, 'Product Catalog'!$A:$A, 'Product Catalog'!$B:$B, "Unknown Product")</f>
        <v>Smartwatch Model K140</v>
      </c>
      <c r="L608" s="1" t="str">
        <f>_xlfn.XLOOKUP(C608, 'Product Catalog'!$A:$A, 'Product Catalog'!$C:$C, "Unknown Category")</f>
        <v>Electronics</v>
      </c>
      <c r="M608" s="1">
        <f>_xlfn.XLOOKUP(C608, 'Product Catalog'!$A:$A, 'Product Catalog'!$D:$D, 0)</f>
        <v>221.95</v>
      </c>
      <c r="N608" s="1">
        <f t="shared" si="19"/>
        <v>887.8</v>
      </c>
    </row>
    <row r="609" spans="1:14" x14ac:dyDescent="0.3">
      <c r="A609" s="1" t="s">
        <v>1047</v>
      </c>
      <c r="B609" s="1" t="s">
        <v>290</v>
      </c>
      <c r="C609" s="1" t="s">
        <v>68</v>
      </c>
      <c r="D609" s="1">
        <v>4</v>
      </c>
      <c r="E609" s="12">
        <v>45700.910416666666</v>
      </c>
      <c r="F609" s="1" t="s">
        <v>19</v>
      </c>
      <c r="G609" s="1" t="s">
        <v>13</v>
      </c>
      <c r="H609" s="1" t="s">
        <v>55</v>
      </c>
      <c r="I609" s="1" t="s">
        <v>81</v>
      </c>
      <c r="J609" s="1" t="str">
        <f t="shared" si="18"/>
        <v>REFUNDED</v>
      </c>
      <c r="K609" s="1" t="str">
        <f>_xlfn.XLOOKUP(C609, 'Product Catalog'!$A:$A, 'Product Catalog'!$B:$B, "Unknown Product")</f>
        <v>Premium Perfume Model G32</v>
      </c>
      <c r="L609" s="1" t="str">
        <f>_xlfn.XLOOKUP(C609, 'Product Catalog'!$A:$A, 'Product Catalog'!$C:$C, "Unknown Category")</f>
        <v>Luxury Goods</v>
      </c>
      <c r="M609" s="1">
        <f>_xlfn.XLOOKUP(C609, 'Product Catalog'!$A:$A, 'Product Catalog'!$D:$D, 0)</f>
        <v>1990.92</v>
      </c>
      <c r="N609" s="1">
        <f t="shared" si="19"/>
        <v>7963.68</v>
      </c>
    </row>
    <row r="610" spans="1:14" x14ac:dyDescent="0.3">
      <c r="A610" s="1" t="s">
        <v>1048</v>
      </c>
      <c r="B610" s="1" t="s">
        <v>295</v>
      </c>
      <c r="C610" s="1" t="s">
        <v>35</v>
      </c>
      <c r="D610" s="1">
        <v>1</v>
      </c>
      <c r="E610" s="12">
        <v>45932.76458333333</v>
      </c>
      <c r="F610" s="1" t="s">
        <v>12</v>
      </c>
      <c r="G610" s="1" t="s">
        <v>13</v>
      </c>
      <c r="H610" s="1" t="s">
        <v>41</v>
      </c>
      <c r="I610" s="1" t="s">
        <v>15</v>
      </c>
      <c r="J610" s="1" t="str">
        <f t="shared" si="18"/>
        <v>delivered</v>
      </c>
      <c r="K610" s="1" t="str">
        <f>_xlfn.XLOOKUP(C610, 'Product Catalog'!$A:$A, 'Product Catalog'!$B:$B, "Unknown Product")</f>
        <v>Blender Model W74</v>
      </c>
      <c r="L610" s="1" t="str">
        <f>_xlfn.XLOOKUP(C610, 'Product Catalog'!$A:$A, 'Product Catalog'!$C:$C, "Unknown Category")</f>
        <v>Home Goods</v>
      </c>
      <c r="M610" s="1">
        <f>_xlfn.XLOOKUP(C610, 'Product Catalog'!$A:$A, 'Product Catalog'!$D:$D, 0)</f>
        <v>127.16</v>
      </c>
      <c r="N610" s="1">
        <f t="shared" si="19"/>
        <v>127.16</v>
      </c>
    </row>
    <row r="611" spans="1:14" x14ac:dyDescent="0.3">
      <c r="A611" s="1" t="s">
        <v>1049</v>
      </c>
      <c r="B611" s="1" t="s">
        <v>187</v>
      </c>
      <c r="C611" s="1" t="s">
        <v>721</v>
      </c>
      <c r="D611" s="1">
        <v>1</v>
      </c>
      <c r="E611" s="12">
        <v>45973.216666666667</v>
      </c>
      <c r="F611" s="1" t="s">
        <v>19</v>
      </c>
      <c r="G611" s="1" t="s">
        <v>13</v>
      </c>
      <c r="H611" s="1" t="s">
        <v>14</v>
      </c>
      <c r="I611" s="1" t="s">
        <v>15</v>
      </c>
      <c r="J611" s="1" t="str">
        <f t="shared" si="18"/>
        <v>delivered</v>
      </c>
      <c r="K611" s="1" t="str">
        <f>_xlfn.XLOOKUP(C611, 'Product Catalog'!$A:$A, 'Product Catalog'!$B:$B, "Unknown Product")</f>
        <v>Hoodie Model E134</v>
      </c>
      <c r="L611" s="1" t="str">
        <f>_xlfn.XLOOKUP(C611, 'Product Catalog'!$A:$A, 'Product Catalog'!$C:$C, "Unknown Category")</f>
        <v>Apparel</v>
      </c>
      <c r="M611" s="1">
        <f>_xlfn.XLOOKUP(C611, 'Product Catalog'!$A:$A, 'Product Catalog'!$D:$D, 0)</f>
        <v>58.39</v>
      </c>
      <c r="N611" s="1">
        <f t="shared" si="19"/>
        <v>58.39</v>
      </c>
    </row>
    <row r="612" spans="1:14" x14ac:dyDescent="0.3">
      <c r="A612" s="1" t="s">
        <v>1050</v>
      </c>
      <c r="B612" s="1" t="s">
        <v>1051</v>
      </c>
      <c r="C612" s="1" t="s">
        <v>62</v>
      </c>
      <c r="D612" s="1">
        <v>4</v>
      </c>
      <c r="E612" s="12">
        <v>45800.118750000001</v>
      </c>
      <c r="F612" s="1" t="s">
        <v>19</v>
      </c>
      <c r="G612" s="1" t="s">
        <v>50</v>
      </c>
      <c r="H612" s="1" t="s">
        <v>55</v>
      </c>
      <c r="I612" s="1" t="s">
        <v>81</v>
      </c>
      <c r="J612" s="1" t="str">
        <f t="shared" si="18"/>
        <v>REFUNDED</v>
      </c>
      <c r="K612" s="1" t="str">
        <f>_xlfn.XLOOKUP(C612, 'Product Catalog'!$A:$A, 'Product Catalog'!$B:$B, "Unknown Product")</f>
        <v>Cable Model M12</v>
      </c>
      <c r="L612" s="1" t="str">
        <f>_xlfn.XLOOKUP(C612, 'Product Catalog'!$A:$A, 'Product Catalog'!$C:$C, "Unknown Category")</f>
        <v>Electronics</v>
      </c>
      <c r="M612" s="1">
        <f>_xlfn.XLOOKUP(C612, 'Product Catalog'!$A:$A, 'Product Catalog'!$D:$D, 0)</f>
        <v>83.9</v>
      </c>
      <c r="N612" s="1">
        <f t="shared" si="19"/>
        <v>335.6</v>
      </c>
    </row>
    <row r="613" spans="1:14" x14ac:dyDescent="0.3">
      <c r="A613" s="1" t="s">
        <v>1052</v>
      </c>
      <c r="B613" s="1" t="s">
        <v>111</v>
      </c>
      <c r="C613" s="1" t="s">
        <v>265</v>
      </c>
      <c r="D613" s="1">
        <v>1</v>
      </c>
      <c r="E613" s="12">
        <v>45816.111805555556</v>
      </c>
      <c r="F613" s="1" t="s">
        <v>12</v>
      </c>
      <c r="G613" s="1" t="s">
        <v>31</v>
      </c>
      <c r="H613" s="1" t="s">
        <v>24</v>
      </c>
      <c r="I613" s="1" t="s">
        <v>56</v>
      </c>
      <c r="J613" s="1" t="str">
        <f t="shared" si="18"/>
        <v>cancelled</v>
      </c>
      <c r="K613" s="1" t="str">
        <f>_xlfn.XLOOKUP(C613, 'Product Catalog'!$A:$A, 'Product Catalog'!$B:$B, "Unknown Product")</f>
        <v>Sneakers Model R121</v>
      </c>
      <c r="L613" s="1" t="str">
        <f>_xlfn.XLOOKUP(C613, 'Product Catalog'!$A:$A, 'Product Catalog'!$C:$C, "Unknown Category")</f>
        <v>Apparel</v>
      </c>
      <c r="M613" s="1">
        <f>_xlfn.XLOOKUP(C613, 'Product Catalog'!$A:$A, 'Product Catalog'!$D:$D, 0)</f>
        <v>44.15</v>
      </c>
      <c r="N613" s="1">
        <f t="shared" si="19"/>
        <v>44.15</v>
      </c>
    </row>
    <row r="614" spans="1:14" x14ac:dyDescent="0.3">
      <c r="A614" s="1" t="s">
        <v>1053</v>
      </c>
      <c r="B614" s="1" t="s">
        <v>1054</v>
      </c>
      <c r="C614" s="1" t="s">
        <v>407</v>
      </c>
      <c r="D614" s="1">
        <v>1</v>
      </c>
      <c r="E614" s="12">
        <v>45919.288888888892</v>
      </c>
      <c r="F614" s="1" t="s">
        <v>19</v>
      </c>
      <c r="G614" s="1" t="s">
        <v>13</v>
      </c>
      <c r="H614" s="1" t="s">
        <v>14</v>
      </c>
      <c r="I614" s="1" t="s">
        <v>15</v>
      </c>
      <c r="J614" s="1" t="str">
        <f t="shared" si="18"/>
        <v>delivered</v>
      </c>
      <c r="K614" s="1" t="str">
        <f>_xlfn.XLOOKUP(C614, 'Product Catalog'!$A:$A, 'Product Catalog'!$B:$B, "Unknown Product")</f>
        <v>Desk Lamp Model K10</v>
      </c>
      <c r="L614" s="1" t="str">
        <f>_xlfn.XLOOKUP(C614, 'Product Catalog'!$A:$A, 'Product Catalog'!$C:$C, "Unknown Category")</f>
        <v>Home Goods</v>
      </c>
      <c r="M614" s="1">
        <f>_xlfn.XLOOKUP(C614, 'Product Catalog'!$A:$A, 'Product Catalog'!$D:$D, 0)</f>
        <v>62.32</v>
      </c>
      <c r="N614" s="1">
        <f t="shared" si="19"/>
        <v>62.32</v>
      </c>
    </row>
    <row r="615" spans="1:14" x14ac:dyDescent="0.3">
      <c r="A615" s="1" t="s">
        <v>1055</v>
      </c>
      <c r="B615" s="1" t="s">
        <v>754</v>
      </c>
      <c r="C615" s="1" t="s">
        <v>348</v>
      </c>
      <c r="D615" s="1">
        <v>1</v>
      </c>
      <c r="E615" s="12">
        <v>45737.762499999997</v>
      </c>
      <c r="F615" s="1" t="s">
        <v>12</v>
      </c>
      <c r="G615" s="1" t="s">
        <v>31</v>
      </c>
      <c r="H615" s="1" t="s">
        <v>51</v>
      </c>
      <c r="I615" s="1" t="s">
        <v>81</v>
      </c>
      <c r="J615" s="1" t="str">
        <f t="shared" si="18"/>
        <v>REFUNDED</v>
      </c>
      <c r="K615" s="1" t="str">
        <f>_xlfn.XLOOKUP(C615, 'Product Catalog'!$A:$A, 'Product Catalog'!$B:$B, "Unknown Product")</f>
        <v>Leather Handbag Model G84</v>
      </c>
      <c r="L615" s="1" t="str">
        <f>_xlfn.XLOOKUP(C615, 'Product Catalog'!$A:$A, 'Product Catalog'!$C:$C, "Unknown Category")</f>
        <v>Luxury Goods</v>
      </c>
      <c r="M615" s="1">
        <f>_xlfn.XLOOKUP(C615, 'Product Catalog'!$A:$A, 'Product Catalog'!$D:$D, 0)</f>
        <v>899.17</v>
      </c>
      <c r="N615" s="1">
        <f t="shared" si="19"/>
        <v>899.17</v>
      </c>
    </row>
    <row r="616" spans="1:14" x14ac:dyDescent="0.3">
      <c r="A616" s="1" t="s">
        <v>1056</v>
      </c>
      <c r="B616" s="1" t="s">
        <v>305</v>
      </c>
      <c r="C616" s="1" t="s">
        <v>935</v>
      </c>
      <c r="D616" s="1">
        <v>5</v>
      </c>
      <c r="E616" s="12">
        <v>45825.555555555555</v>
      </c>
      <c r="F616" s="1" t="s">
        <v>170</v>
      </c>
      <c r="G616" s="1" t="s">
        <v>50</v>
      </c>
      <c r="H616" s="1" t="s">
        <v>55</v>
      </c>
      <c r="I616" s="1" t="s">
        <v>81</v>
      </c>
      <c r="J616" s="1" t="str">
        <f t="shared" si="18"/>
        <v>REFUNDED</v>
      </c>
      <c r="K616" s="1" t="str">
        <f>_xlfn.XLOOKUP(C616, 'Product Catalog'!$A:$A, 'Product Catalog'!$B:$B, "Unknown Product")</f>
        <v>Cloud Storage Basic Model L141</v>
      </c>
      <c r="L616" s="1" t="str">
        <f>_xlfn.XLOOKUP(C616, 'Product Catalog'!$A:$A, 'Product Catalog'!$C:$C, "Unknown Category")</f>
        <v>Digital Services</v>
      </c>
      <c r="M616" s="1">
        <f>_xlfn.XLOOKUP(C616, 'Product Catalog'!$A:$A, 'Product Catalog'!$D:$D, 0)</f>
        <v>93.62</v>
      </c>
      <c r="N616" s="1">
        <f t="shared" si="19"/>
        <v>468.1</v>
      </c>
    </row>
    <row r="617" spans="1:14" x14ac:dyDescent="0.3">
      <c r="A617" s="1" t="s">
        <v>1057</v>
      </c>
      <c r="B617" s="1" t="s">
        <v>739</v>
      </c>
      <c r="C617" s="1" t="s">
        <v>213</v>
      </c>
      <c r="D617" s="1">
        <v>5</v>
      </c>
      <c r="E617" s="12">
        <v>45958.902083333334</v>
      </c>
      <c r="F617" s="1" t="s">
        <v>170</v>
      </c>
      <c r="G617" s="1" t="s">
        <v>40</v>
      </c>
      <c r="H617" s="1" t="s">
        <v>55</v>
      </c>
      <c r="I617" s="1" t="s">
        <v>56</v>
      </c>
      <c r="J617" s="1" t="str">
        <f t="shared" si="18"/>
        <v>cancelled</v>
      </c>
      <c r="K617" s="1" t="str">
        <f>_xlfn.XLOOKUP(C617, 'Product Catalog'!$A:$A, 'Product Catalog'!$B:$B, "Unknown Product")</f>
        <v>Cloud Storage Basic Model L63</v>
      </c>
      <c r="L617" s="1" t="str">
        <f>_xlfn.XLOOKUP(C617, 'Product Catalog'!$A:$A, 'Product Catalog'!$C:$C, "Unknown Category")</f>
        <v>Digital Services</v>
      </c>
      <c r="M617" s="1">
        <f>_xlfn.XLOOKUP(C617, 'Product Catalog'!$A:$A, 'Product Catalog'!$D:$D, 0)</f>
        <v>20.48</v>
      </c>
      <c r="N617" s="1">
        <f t="shared" si="19"/>
        <v>102.4</v>
      </c>
    </row>
    <row r="618" spans="1:14" x14ac:dyDescent="0.3">
      <c r="A618" s="1" t="s">
        <v>1058</v>
      </c>
      <c r="B618" s="1" t="s">
        <v>1059</v>
      </c>
      <c r="C618" s="1" t="s">
        <v>256</v>
      </c>
      <c r="D618" s="1">
        <v>2</v>
      </c>
      <c r="E618" s="12">
        <v>45990.968055555553</v>
      </c>
      <c r="F618" s="1" t="s">
        <v>19</v>
      </c>
      <c r="G618" s="1" t="s">
        <v>13</v>
      </c>
      <c r="H618" s="1" t="s">
        <v>14</v>
      </c>
      <c r="I618" s="1" t="s">
        <v>15</v>
      </c>
      <c r="J618" s="1" t="str">
        <f t="shared" si="18"/>
        <v>delivered</v>
      </c>
      <c r="K618" s="1" t="str">
        <f>_xlfn.XLOOKUP(C618, 'Product Catalog'!$A:$A, 'Product Catalog'!$B:$B, "Unknown Product")</f>
        <v>Charger Model E56</v>
      </c>
      <c r="L618" s="1" t="str">
        <f>_xlfn.XLOOKUP(C618, 'Product Catalog'!$A:$A, 'Product Catalog'!$C:$C, "Unknown Category")</f>
        <v>Electronics</v>
      </c>
      <c r="M618" s="1">
        <f>_xlfn.XLOOKUP(C618, 'Product Catalog'!$A:$A, 'Product Catalog'!$D:$D, 0)</f>
        <v>186.13</v>
      </c>
      <c r="N618" s="1">
        <f t="shared" si="19"/>
        <v>372.26</v>
      </c>
    </row>
    <row r="619" spans="1:14" x14ac:dyDescent="0.3">
      <c r="A619" s="1" t="s">
        <v>1060</v>
      </c>
      <c r="B619" s="1" t="s">
        <v>142</v>
      </c>
      <c r="C619" s="1" t="s">
        <v>301</v>
      </c>
      <c r="D619" s="1">
        <v>1</v>
      </c>
      <c r="E619" s="12">
        <v>45987.09375</v>
      </c>
      <c r="F619" s="1" t="s">
        <v>12</v>
      </c>
      <c r="G619" s="1" t="s">
        <v>109</v>
      </c>
      <c r="H619" s="1" t="s">
        <v>24</v>
      </c>
      <c r="I619" s="1" t="s">
        <v>15</v>
      </c>
      <c r="J619" s="1" t="str">
        <f t="shared" si="18"/>
        <v>delivered</v>
      </c>
      <c r="K619" s="1" t="str">
        <f>_xlfn.XLOOKUP(C619, 'Product Catalog'!$A:$A, 'Product Catalog'!$B:$B, "Unknown Product")</f>
        <v>Mouse Model D107</v>
      </c>
      <c r="L619" s="1" t="str">
        <f>_xlfn.XLOOKUP(C619, 'Product Catalog'!$A:$A, 'Product Catalog'!$C:$C, "Unknown Category")</f>
        <v>Electronics</v>
      </c>
      <c r="M619" s="1">
        <f>_xlfn.XLOOKUP(C619, 'Product Catalog'!$A:$A, 'Product Catalog'!$D:$D, 0)</f>
        <v>155.19</v>
      </c>
      <c r="N619" s="1">
        <f t="shared" si="19"/>
        <v>155.19</v>
      </c>
    </row>
    <row r="620" spans="1:14" x14ac:dyDescent="0.3">
      <c r="A620" s="1" t="s">
        <v>1061</v>
      </c>
      <c r="B620" s="1" t="s">
        <v>1062</v>
      </c>
      <c r="C620" s="1" t="s">
        <v>176</v>
      </c>
      <c r="D620" s="1">
        <v>4</v>
      </c>
      <c r="E620" s="12">
        <v>45816.993055555555</v>
      </c>
      <c r="F620" s="1" t="s">
        <v>12</v>
      </c>
      <c r="G620" s="1" t="s">
        <v>109</v>
      </c>
      <c r="H620" s="1" t="s">
        <v>55</v>
      </c>
      <c r="I620" s="1" t="s">
        <v>81</v>
      </c>
      <c r="J620" s="1" t="str">
        <f t="shared" si="18"/>
        <v>REFUNDED</v>
      </c>
      <c r="K620" s="1" t="str">
        <f>_xlfn.XLOOKUP(C620, 'Product Catalog'!$A:$A, 'Product Catalog'!$B:$B, "Unknown Product")</f>
        <v>Leather Handbag Model U124</v>
      </c>
      <c r="L620" s="1" t="str">
        <f>_xlfn.XLOOKUP(C620, 'Product Catalog'!$A:$A, 'Product Catalog'!$C:$C, "Unknown Category")</f>
        <v>Luxury Goods</v>
      </c>
      <c r="M620" s="1">
        <f>_xlfn.XLOOKUP(C620, 'Product Catalog'!$A:$A, 'Product Catalog'!$D:$D, 0)</f>
        <v>1880.36</v>
      </c>
      <c r="N620" s="1">
        <f t="shared" si="19"/>
        <v>7521.44</v>
      </c>
    </row>
    <row r="621" spans="1:14" x14ac:dyDescent="0.3">
      <c r="A621" s="1" t="s">
        <v>1063</v>
      </c>
      <c r="B621" s="1" t="s">
        <v>58</v>
      </c>
      <c r="C621" s="1" t="s">
        <v>184</v>
      </c>
      <c r="D621" s="1">
        <v>1</v>
      </c>
      <c r="E621" s="12">
        <v>45881.338888888888</v>
      </c>
      <c r="F621" s="1" t="s">
        <v>19</v>
      </c>
      <c r="G621" s="1" t="s">
        <v>50</v>
      </c>
      <c r="H621" s="1" t="s">
        <v>51</v>
      </c>
      <c r="I621" s="1" t="s">
        <v>56</v>
      </c>
      <c r="J621" s="1" t="str">
        <f t="shared" si="18"/>
        <v>cancelled</v>
      </c>
      <c r="K621" s="1" t="str">
        <f>_xlfn.XLOOKUP(C621, 'Product Catalog'!$A:$A, 'Product Catalog'!$B:$B, "Unknown Product")</f>
        <v>Jacket Model O40</v>
      </c>
      <c r="L621" s="1" t="str">
        <f>_xlfn.XLOOKUP(C621, 'Product Catalog'!$A:$A, 'Product Catalog'!$C:$C, "Unknown Category")</f>
        <v>Apparel</v>
      </c>
      <c r="M621" s="1">
        <f>_xlfn.XLOOKUP(C621, 'Product Catalog'!$A:$A, 'Product Catalog'!$D:$D, 0)</f>
        <v>114.16</v>
      </c>
      <c r="N621" s="1">
        <f t="shared" si="19"/>
        <v>114.16</v>
      </c>
    </row>
    <row r="622" spans="1:14" x14ac:dyDescent="0.3">
      <c r="A622" s="1" t="s">
        <v>1064</v>
      </c>
      <c r="B622" s="1" t="s">
        <v>997</v>
      </c>
      <c r="C622" s="1" t="s">
        <v>108</v>
      </c>
      <c r="D622" s="1">
        <v>4</v>
      </c>
      <c r="E622" s="12">
        <v>45687.347222222219</v>
      </c>
      <c r="F622" s="1" t="s">
        <v>19</v>
      </c>
      <c r="G622" s="1" t="s">
        <v>40</v>
      </c>
      <c r="H622" s="1" t="s">
        <v>41</v>
      </c>
      <c r="I622" s="1" t="s">
        <v>81</v>
      </c>
      <c r="J622" s="1" t="str">
        <f t="shared" si="18"/>
        <v>REFUNDED</v>
      </c>
      <c r="K622" s="1" t="str">
        <f>_xlfn.XLOOKUP(C622, 'Product Catalog'!$A:$A, 'Product Catalog'!$B:$B, "Unknown Product")</f>
        <v>Smartwatch Model H7</v>
      </c>
      <c r="L622" s="1" t="str">
        <f>_xlfn.XLOOKUP(C622, 'Product Catalog'!$A:$A, 'Product Catalog'!$C:$C, "Unknown Category")</f>
        <v>Electronics</v>
      </c>
      <c r="M622" s="1">
        <f>_xlfn.XLOOKUP(C622, 'Product Catalog'!$A:$A, 'Product Catalog'!$D:$D, 0)</f>
        <v>204.37</v>
      </c>
      <c r="N622" s="1">
        <f t="shared" si="19"/>
        <v>817.48</v>
      </c>
    </row>
    <row r="623" spans="1:14" x14ac:dyDescent="0.3">
      <c r="A623" s="1" t="s">
        <v>1065</v>
      </c>
      <c r="B623" s="1" t="s">
        <v>420</v>
      </c>
      <c r="C623" s="1" t="s">
        <v>466</v>
      </c>
      <c r="D623" s="1">
        <v>1</v>
      </c>
      <c r="E623" s="12">
        <v>45702.617361111108</v>
      </c>
      <c r="F623" s="1" t="s">
        <v>19</v>
      </c>
      <c r="G623" s="1" t="s">
        <v>46</v>
      </c>
      <c r="H623" s="1" t="s">
        <v>24</v>
      </c>
      <c r="I623" s="1" t="s">
        <v>15</v>
      </c>
      <c r="J623" s="1" t="str">
        <f t="shared" si="18"/>
        <v>delivered</v>
      </c>
      <c r="K623" s="1" t="str">
        <f>_xlfn.XLOOKUP(C623, 'Product Catalog'!$A:$A, 'Product Catalog'!$B:$B, "Unknown Product")</f>
        <v>VPN 6-Month Pass Model L11</v>
      </c>
      <c r="L623" s="1" t="str">
        <f>_xlfn.XLOOKUP(C623, 'Product Catalog'!$A:$A, 'Product Catalog'!$C:$C, "Unknown Category")</f>
        <v>Digital Services</v>
      </c>
      <c r="M623" s="1">
        <f>_xlfn.XLOOKUP(C623, 'Product Catalog'!$A:$A, 'Product Catalog'!$D:$D, 0)</f>
        <v>16.73</v>
      </c>
      <c r="N623" s="1">
        <f t="shared" si="19"/>
        <v>16.73</v>
      </c>
    </row>
    <row r="624" spans="1:14" x14ac:dyDescent="0.3">
      <c r="A624" s="1" t="s">
        <v>1066</v>
      </c>
      <c r="B624" s="1" t="s">
        <v>434</v>
      </c>
      <c r="C624" s="1" t="s">
        <v>352</v>
      </c>
      <c r="D624" s="1">
        <v>1</v>
      </c>
      <c r="E624" s="12">
        <v>45717.644444444442</v>
      </c>
      <c r="F624" s="1" t="s">
        <v>39</v>
      </c>
      <c r="G624" s="1" t="s">
        <v>50</v>
      </c>
      <c r="H624" s="1" t="s">
        <v>41</v>
      </c>
      <c r="I624" s="1" t="s">
        <v>56</v>
      </c>
      <c r="J624" s="1" t="str">
        <f t="shared" si="18"/>
        <v>cancelled</v>
      </c>
      <c r="K624" s="1" t="str">
        <f>_xlfn.XLOOKUP(C624, 'Product Catalog'!$A:$A, 'Product Catalog'!$B:$B, "Unknown Product")</f>
        <v>VPN 6-Month Pass Model U46</v>
      </c>
      <c r="L624" s="1" t="str">
        <f>_xlfn.XLOOKUP(C624, 'Product Catalog'!$A:$A, 'Product Catalog'!$C:$C, "Unknown Category")</f>
        <v>Digital Services</v>
      </c>
      <c r="M624" s="1">
        <f>_xlfn.XLOOKUP(C624, 'Product Catalog'!$A:$A, 'Product Catalog'!$D:$D, 0)</f>
        <v>47.44</v>
      </c>
      <c r="N624" s="1">
        <f t="shared" si="19"/>
        <v>47.44</v>
      </c>
    </row>
    <row r="625" spans="1:14" x14ac:dyDescent="0.3">
      <c r="A625" s="1" t="s">
        <v>1067</v>
      </c>
      <c r="B625" s="1" t="s">
        <v>1068</v>
      </c>
      <c r="C625" s="1" t="s">
        <v>424</v>
      </c>
      <c r="D625" s="1">
        <v>1</v>
      </c>
      <c r="E625" s="12">
        <v>45971.865277777775</v>
      </c>
      <c r="F625" s="1" t="s">
        <v>185</v>
      </c>
      <c r="G625" s="1" t="s">
        <v>109</v>
      </c>
      <c r="H625" s="1" t="s">
        <v>24</v>
      </c>
      <c r="I625" s="1" t="s">
        <v>15</v>
      </c>
      <c r="J625" s="1" t="str">
        <f t="shared" si="18"/>
        <v>delivered</v>
      </c>
      <c r="K625" s="1" t="str">
        <f>_xlfn.XLOOKUP(C625, 'Product Catalog'!$A:$A, 'Product Catalog'!$B:$B, "Unknown Product")</f>
        <v>Software License Tier A Model M142</v>
      </c>
      <c r="L625" s="1" t="str">
        <f>_xlfn.XLOOKUP(C625, 'Product Catalog'!$A:$A, 'Product Catalog'!$C:$C, "Unknown Category")</f>
        <v>Digital Services</v>
      </c>
      <c r="M625" s="1">
        <f>_xlfn.XLOOKUP(C625, 'Product Catalog'!$A:$A, 'Product Catalog'!$D:$D, 0)</f>
        <v>55.59</v>
      </c>
      <c r="N625" s="1">
        <f t="shared" si="19"/>
        <v>55.59</v>
      </c>
    </row>
    <row r="626" spans="1:14" x14ac:dyDescent="0.3">
      <c r="A626" s="1" t="s">
        <v>1069</v>
      </c>
      <c r="B626" s="1" t="s">
        <v>111</v>
      </c>
      <c r="C626" s="1" t="s">
        <v>391</v>
      </c>
      <c r="D626" s="1">
        <v>3</v>
      </c>
      <c r="E626" s="12">
        <v>45686.439583333333</v>
      </c>
      <c r="F626" s="1" t="s">
        <v>19</v>
      </c>
      <c r="G626" s="1" t="s">
        <v>46</v>
      </c>
      <c r="H626" s="1" t="s">
        <v>14</v>
      </c>
      <c r="I626" s="1" t="s">
        <v>32</v>
      </c>
      <c r="J626" s="1" t="str">
        <f t="shared" si="18"/>
        <v>SHIPPED</v>
      </c>
      <c r="K626" s="1" t="str">
        <f>_xlfn.XLOOKUP(C626, 'Product Catalog'!$A:$A, 'Product Catalog'!$B:$B, "Unknown Product")</f>
        <v>Premium Stream 1M Model P145</v>
      </c>
      <c r="L626" s="1" t="str">
        <f>_xlfn.XLOOKUP(C626, 'Product Catalog'!$A:$A, 'Product Catalog'!$C:$C, "Unknown Category")</f>
        <v>Digital Services</v>
      </c>
      <c r="M626" s="1">
        <f>_xlfn.XLOOKUP(C626, 'Product Catalog'!$A:$A, 'Product Catalog'!$D:$D, 0)</f>
        <v>84.01</v>
      </c>
      <c r="N626" s="1">
        <f t="shared" si="19"/>
        <v>252.03000000000003</v>
      </c>
    </row>
    <row r="627" spans="1:14" x14ac:dyDescent="0.3">
      <c r="A627" s="1" t="s">
        <v>1070</v>
      </c>
      <c r="B627" s="1" t="s">
        <v>292</v>
      </c>
      <c r="C627" s="1" t="s">
        <v>219</v>
      </c>
      <c r="D627" s="1">
        <v>2</v>
      </c>
      <c r="E627" s="12">
        <v>45999.935416666667</v>
      </c>
      <c r="F627" s="1" t="s">
        <v>19</v>
      </c>
      <c r="G627" s="1" t="s">
        <v>31</v>
      </c>
      <c r="H627" s="1" t="s">
        <v>41</v>
      </c>
      <c r="I627" s="1" t="s">
        <v>15</v>
      </c>
      <c r="J627" s="1" t="str">
        <f t="shared" si="18"/>
        <v>delivered</v>
      </c>
      <c r="K627" s="1" t="str">
        <f>_xlfn.XLOOKUP(C627, 'Product Catalog'!$A:$A, 'Product Catalog'!$B:$B, "Unknown Product")</f>
        <v>Cap Model P15</v>
      </c>
      <c r="L627" s="1" t="str">
        <f>_xlfn.XLOOKUP(C627, 'Product Catalog'!$A:$A, 'Product Catalog'!$C:$C, "Unknown Category")</f>
        <v>Apparel</v>
      </c>
      <c r="M627" s="1">
        <f>_xlfn.XLOOKUP(C627, 'Product Catalog'!$A:$A, 'Product Catalog'!$D:$D, 0)</f>
        <v>21.11</v>
      </c>
      <c r="N627" s="1">
        <f t="shared" si="19"/>
        <v>42.22</v>
      </c>
    </row>
    <row r="628" spans="1:14" x14ac:dyDescent="0.3">
      <c r="A628" s="1" t="s">
        <v>1071</v>
      </c>
      <c r="B628" s="1" t="s">
        <v>795</v>
      </c>
      <c r="C628" s="1" t="s">
        <v>90</v>
      </c>
      <c r="D628" s="1">
        <v>5</v>
      </c>
      <c r="E628" s="12">
        <v>45747.169444444444</v>
      </c>
      <c r="F628" s="1" t="s">
        <v>39</v>
      </c>
      <c r="G628" s="1" t="s">
        <v>50</v>
      </c>
      <c r="H628" s="1" t="s">
        <v>41</v>
      </c>
      <c r="I628" s="1" t="s">
        <v>56</v>
      </c>
      <c r="J628" s="1" t="str">
        <f t="shared" si="18"/>
        <v>cancelled</v>
      </c>
      <c r="K628" s="1" t="str">
        <f>_xlfn.XLOOKUP(C628, 'Product Catalog'!$A:$A, 'Product Catalog'!$B:$B, "Unknown Product")</f>
        <v>VPN 6-Month Pass Model F109</v>
      </c>
      <c r="L628" s="1" t="str">
        <f>_xlfn.XLOOKUP(C628, 'Product Catalog'!$A:$A, 'Product Catalog'!$C:$C, "Unknown Category")</f>
        <v>Digital Services</v>
      </c>
      <c r="M628" s="1">
        <f>_xlfn.XLOOKUP(C628, 'Product Catalog'!$A:$A, 'Product Catalog'!$D:$D, 0)</f>
        <v>22.87</v>
      </c>
      <c r="N628" s="1">
        <f t="shared" si="19"/>
        <v>114.35000000000001</v>
      </c>
    </row>
    <row r="629" spans="1:14" x14ac:dyDescent="0.3">
      <c r="A629" s="1" t="s">
        <v>1072</v>
      </c>
      <c r="B629" s="1" t="s">
        <v>437</v>
      </c>
      <c r="C629" s="1" t="s">
        <v>261</v>
      </c>
      <c r="D629" s="1">
        <v>1</v>
      </c>
      <c r="E629" s="12">
        <v>45664.195138888892</v>
      </c>
      <c r="F629" s="1" t="s">
        <v>19</v>
      </c>
      <c r="G629" s="1" t="s">
        <v>20</v>
      </c>
      <c r="H629" s="1" t="s">
        <v>41</v>
      </c>
      <c r="I629" s="1" t="s">
        <v>32</v>
      </c>
      <c r="J629" s="1" t="str">
        <f t="shared" si="18"/>
        <v>SHIPPED</v>
      </c>
      <c r="K629" s="1" t="str">
        <f>_xlfn.XLOOKUP(C629, 'Product Catalog'!$A:$A, 'Product Catalog'!$B:$B, "Unknown Product")</f>
        <v>Toaster Model C80</v>
      </c>
      <c r="L629" s="1" t="str">
        <f>_xlfn.XLOOKUP(C629, 'Product Catalog'!$A:$A, 'Product Catalog'!$C:$C, "Unknown Category")</f>
        <v>Home Goods</v>
      </c>
      <c r="M629" s="1">
        <f>_xlfn.XLOOKUP(C629, 'Product Catalog'!$A:$A, 'Product Catalog'!$D:$D, 0)</f>
        <v>45.24</v>
      </c>
      <c r="N629" s="1">
        <f t="shared" si="19"/>
        <v>45.24</v>
      </c>
    </row>
    <row r="630" spans="1:14" x14ac:dyDescent="0.3">
      <c r="A630" s="1" t="s">
        <v>1073</v>
      </c>
      <c r="B630" s="1" t="s">
        <v>17</v>
      </c>
      <c r="C630" s="1" t="s">
        <v>71</v>
      </c>
      <c r="D630" s="1">
        <v>5</v>
      </c>
      <c r="E630" s="12">
        <v>46017.015972222223</v>
      </c>
      <c r="F630" s="1" t="s">
        <v>170</v>
      </c>
      <c r="G630" s="1" t="s">
        <v>50</v>
      </c>
      <c r="H630" s="1" t="s">
        <v>55</v>
      </c>
      <c r="I630" s="1" t="s">
        <v>81</v>
      </c>
      <c r="J630" s="1" t="str">
        <f t="shared" si="18"/>
        <v>REFUNDED</v>
      </c>
      <c r="K630" s="1" t="str">
        <f>_xlfn.XLOOKUP(C630, 'Product Catalog'!$A:$A, 'Product Catalog'!$B:$B, "Unknown Product")</f>
        <v>VPN 6-Month Pass Model D29</v>
      </c>
      <c r="L630" s="1" t="str">
        <f>_xlfn.XLOOKUP(C630, 'Product Catalog'!$A:$A, 'Product Catalog'!$C:$C, "Unknown Category")</f>
        <v>Digital Services</v>
      </c>
      <c r="M630" s="1">
        <f>_xlfn.XLOOKUP(C630, 'Product Catalog'!$A:$A, 'Product Catalog'!$D:$D, 0)</f>
        <v>10.97</v>
      </c>
      <c r="N630" s="1">
        <f t="shared" si="19"/>
        <v>54.85</v>
      </c>
    </row>
    <row r="631" spans="1:14" x14ac:dyDescent="0.3">
      <c r="A631" s="1" t="s">
        <v>1074</v>
      </c>
      <c r="B631" s="1" t="s">
        <v>603</v>
      </c>
      <c r="C631" s="1" t="s">
        <v>253</v>
      </c>
      <c r="D631" s="1">
        <v>2</v>
      </c>
      <c r="E631" s="12">
        <v>45741.705555555556</v>
      </c>
      <c r="F631" s="1" t="s">
        <v>12</v>
      </c>
      <c r="G631" s="1" t="s">
        <v>31</v>
      </c>
      <c r="H631" s="1" t="s">
        <v>41</v>
      </c>
      <c r="I631" s="1" t="s">
        <v>15</v>
      </c>
      <c r="J631" s="1" t="str">
        <f t="shared" si="18"/>
        <v>delivered</v>
      </c>
      <c r="K631" s="1" t="str">
        <f>_xlfn.XLOOKUP(C631, 'Product Catalog'!$A:$A, 'Product Catalog'!$B:$B, "Unknown Product")</f>
        <v>Hoodie Model B79</v>
      </c>
      <c r="L631" s="1" t="str">
        <f>_xlfn.XLOOKUP(C631, 'Product Catalog'!$A:$A, 'Product Catalog'!$C:$C, "Unknown Category")</f>
        <v>Apparel</v>
      </c>
      <c r="M631" s="1">
        <f>_xlfn.XLOOKUP(C631, 'Product Catalog'!$A:$A, 'Product Catalog'!$D:$D, 0)</f>
        <v>106.9</v>
      </c>
      <c r="N631" s="1">
        <f t="shared" si="19"/>
        <v>213.8</v>
      </c>
    </row>
    <row r="632" spans="1:14" x14ac:dyDescent="0.3">
      <c r="A632" s="1" t="s">
        <v>1075</v>
      </c>
      <c r="B632" s="1" t="s">
        <v>1021</v>
      </c>
      <c r="C632" s="1" t="s">
        <v>542</v>
      </c>
      <c r="D632" s="1">
        <v>2</v>
      </c>
      <c r="E632" s="12">
        <v>45835.743750000001</v>
      </c>
      <c r="F632" s="1" t="s">
        <v>19</v>
      </c>
      <c r="G632" s="1" t="s">
        <v>20</v>
      </c>
      <c r="H632" s="1" t="s">
        <v>41</v>
      </c>
      <c r="I632" s="1" t="s">
        <v>15</v>
      </c>
      <c r="J632" s="1" t="str">
        <f t="shared" si="18"/>
        <v>delivered</v>
      </c>
      <c r="K632" s="1" t="str">
        <f>_xlfn.XLOOKUP(C632, 'Product Catalog'!$A:$A, 'Product Catalog'!$B:$B, "Unknown Product")</f>
        <v>Cable Model M38</v>
      </c>
      <c r="L632" s="1" t="str">
        <f>_xlfn.XLOOKUP(C632, 'Product Catalog'!$A:$A, 'Product Catalog'!$C:$C, "Unknown Category")</f>
        <v>Electronics</v>
      </c>
      <c r="M632" s="1">
        <f>_xlfn.XLOOKUP(C632, 'Product Catalog'!$A:$A, 'Product Catalog'!$D:$D, 0)</f>
        <v>91.18</v>
      </c>
      <c r="N632" s="1">
        <f t="shared" si="19"/>
        <v>182.36</v>
      </c>
    </row>
    <row r="633" spans="1:14" x14ac:dyDescent="0.3">
      <c r="A633" s="1" t="s">
        <v>1076</v>
      </c>
      <c r="B633" s="1" t="s">
        <v>432</v>
      </c>
      <c r="C633" s="1" t="s">
        <v>592</v>
      </c>
      <c r="D633" s="1">
        <v>1</v>
      </c>
      <c r="E633" s="12">
        <v>45922.368055555555</v>
      </c>
      <c r="F633" s="1" t="s">
        <v>19</v>
      </c>
      <c r="G633" s="1" t="s">
        <v>31</v>
      </c>
      <c r="H633" s="1" t="s">
        <v>41</v>
      </c>
      <c r="I633" s="1" t="s">
        <v>15</v>
      </c>
      <c r="J633" s="1" t="str">
        <f t="shared" si="18"/>
        <v>delivered</v>
      </c>
      <c r="K633" s="1" t="str">
        <f>_xlfn.XLOOKUP(C633, 'Product Catalog'!$A:$A, 'Product Catalog'!$B:$B, "Unknown Product")</f>
        <v>Blender Model Q94</v>
      </c>
      <c r="L633" s="1" t="str">
        <f>_xlfn.XLOOKUP(C633, 'Product Catalog'!$A:$A, 'Product Catalog'!$C:$C, "Unknown Category")</f>
        <v>Home Goods</v>
      </c>
      <c r="M633" s="1">
        <f>_xlfn.XLOOKUP(C633, 'Product Catalog'!$A:$A, 'Product Catalog'!$D:$D, 0)</f>
        <v>129.13</v>
      </c>
      <c r="N633" s="1">
        <f t="shared" si="19"/>
        <v>129.13</v>
      </c>
    </row>
    <row r="634" spans="1:14" x14ac:dyDescent="0.3">
      <c r="A634" s="1" t="s">
        <v>1077</v>
      </c>
      <c r="B634" s="1" t="s">
        <v>76</v>
      </c>
      <c r="C634" s="1" t="s">
        <v>619</v>
      </c>
      <c r="D634" s="1">
        <v>2</v>
      </c>
      <c r="E634" s="12">
        <v>45743.52847222222</v>
      </c>
      <c r="F634" s="1" t="s">
        <v>19</v>
      </c>
      <c r="G634" s="1" t="s">
        <v>31</v>
      </c>
      <c r="H634" s="1" t="s">
        <v>41</v>
      </c>
      <c r="I634" s="1" t="s">
        <v>15</v>
      </c>
      <c r="J634" s="1" t="str">
        <f t="shared" si="18"/>
        <v>delivered</v>
      </c>
      <c r="K634" s="1" t="str">
        <f>_xlfn.XLOOKUP(C634, 'Product Catalog'!$A:$A, 'Product Catalog'!$B:$B, "Unknown Product")</f>
        <v>Jacket Model B27</v>
      </c>
      <c r="L634" s="1" t="str">
        <f>_xlfn.XLOOKUP(C634, 'Product Catalog'!$A:$A, 'Product Catalog'!$C:$C, "Unknown Category")</f>
        <v>Apparel</v>
      </c>
      <c r="M634" s="1">
        <f>_xlfn.XLOOKUP(C634, 'Product Catalog'!$A:$A, 'Product Catalog'!$D:$D, 0)</f>
        <v>64.290000000000006</v>
      </c>
      <c r="N634" s="1">
        <f t="shared" si="19"/>
        <v>128.58000000000001</v>
      </c>
    </row>
    <row r="635" spans="1:14" x14ac:dyDescent="0.3">
      <c r="A635" s="1" t="s">
        <v>1078</v>
      </c>
      <c r="B635" s="1" t="s">
        <v>395</v>
      </c>
      <c r="C635" s="1" t="s">
        <v>364</v>
      </c>
      <c r="D635" s="1">
        <v>1</v>
      </c>
      <c r="E635" s="12">
        <v>45722.381944444445</v>
      </c>
      <c r="F635" s="1" t="s">
        <v>19</v>
      </c>
      <c r="G635" s="1" t="s">
        <v>31</v>
      </c>
      <c r="H635" s="1" t="s">
        <v>14</v>
      </c>
      <c r="I635" s="1" t="s">
        <v>15</v>
      </c>
      <c r="J635" s="1" t="str">
        <f t="shared" si="18"/>
        <v>delivered</v>
      </c>
      <c r="K635" s="1" t="str">
        <f>_xlfn.XLOOKUP(C635, 'Product Catalog'!$A:$A, 'Product Catalog'!$B:$B, "Unknown Product")</f>
        <v>Desk Lamp Model J113</v>
      </c>
      <c r="L635" s="1" t="str">
        <f>_xlfn.XLOOKUP(C635, 'Product Catalog'!$A:$A, 'Product Catalog'!$C:$C, "Unknown Category")</f>
        <v>Home Goods</v>
      </c>
      <c r="M635" s="1">
        <f>_xlfn.XLOOKUP(C635, 'Product Catalog'!$A:$A, 'Product Catalog'!$D:$D, 0)</f>
        <v>69.489999999999995</v>
      </c>
      <c r="N635" s="1">
        <f t="shared" si="19"/>
        <v>69.489999999999995</v>
      </c>
    </row>
    <row r="636" spans="1:14" x14ac:dyDescent="0.3">
      <c r="A636" s="1" t="s">
        <v>1079</v>
      </c>
      <c r="B636" s="1" t="s">
        <v>591</v>
      </c>
      <c r="C636" s="1" t="s">
        <v>213</v>
      </c>
      <c r="D636" s="1">
        <v>1</v>
      </c>
      <c r="E636" s="12">
        <v>45718.041666666664</v>
      </c>
      <c r="F636" s="1" t="s">
        <v>12</v>
      </c>
      <c r="G636" s="1" t="s">
        <v>46</v>
      </c>
      <c r="H636" s="1" t="s">
        <v>41</v>
      </c>
      <c r="I636" s="1" t="s">
        <v>15</v>
      </c>
      <c r="J636" s="1" t="str">
        <f t="shared" si="18"/>
        <v>delivered</v>
      </c>
      <c r="K636" s="1" t="str">
        <f>_xlfn.XLOOKUP(C636, 'Product Catalog'!$A:$A, 'Product Catalog'!$B:$B, "Unknown Product")</f>
        <v>Cloud Storage Basic Model L63</v>
      </c>
      <c r="L636" s="1" t="str">
        <f>_xlfn.XLOOKUP(C636, 'Product Catalog'!$A:$A, 'Product Catalog'!$C:$C, "Unknown Category")</f>
        <v>Digital Services</v>
      </c>
      <c r="M636" s="1">
        <f>_xlfn.XLOOKUP(C636, 'Product Catalog'!$A:$A, 'Product Catalog'!$D:$D, 0)</f>
        <v>20.48</v>
      </c>
      <c r="N636" s="1">
        <f t="shared" si="19"/>
        <v>20.48</v>
      </c>
    </row>
    <row r="637" spans="1:14" x14ac:dyDescent="0.3">
      <c r="A637" s="1" t="s">
        <v>1080</v>
      </c>
      <c r="B637" s="1" t="s">
        <v>1081</v>
      </c>
      <c r="C637" s="1" t="s">
        <v>492</v>
      </c>
      <c r="D637" s="1">
        <v>1</v>
      </c>
      <c r="E637" s="12">
        <v>45829.61041666667</v>
      </c>
      <c r="F637" s="1" t="s">
        <v>12</v>
      </c>
      <c r="G637" s="1" t="s">
        <v>50</v>
      </c>
      <c r="H637" s="1" t="s">
        <v>41</v>
      </c>
      <c r="I637" s="1" t="s">
        <v>42</v>
      </c>
      <c r="J637" s="1" t="str">
        <f t="shared" si="18"/>
        <v>PENDING_REVIEW</v>
      </c>
      <c r="K637" s="1" t="str">
        <f>_xlfn.XLOOKUP(C637, 'Product Catalog'!$A:$A, 'Product Catalog'!$B:$B, "Unknown Product")</f>
        <v>Blender Model Q16</v>
      </c>
      <c r="L637" s="1" t="str">
        <f>_xlfn.XLOOKUP(C637, 'Product Catalog'!$A:$A, 'Product Catalog'!$C:$C, "Unknown Category")</f>
        <v>Home Goods</v>
      </c>
      <c r="M637" s="1">
        <f>_xlfn.XLOOKUP(C637, 'Product Catalog'!$A:$A, 'Product Catalog'!$D:$D, 0)</f>
        <v>79.23</v>
      </c>
      <c r="N637" s="1">
        <f t="shared" si="19"/>
        <v>79.23</v>
      </c>
    </row>
    <row r="638" spans="1:14" x14ac:dyDescent="0.3">
      <c r="A638" s="1" t="s">
        <v>1082</v>
      </c>
      <c r="B638" s="1" t="s">
        <v>246</v>
      </c>
      <c r="C638" s="1" t="s">
        <v>527</v>
      </c>
      <c r="D638" s="1">
        <v>4</v>
      </c>
      <c r="E638" s="12">
        <v>45797.744444444441</v>
      </c>
      <c r="F638" s="1" t="s">
        <v>170</v>
      </c>
      <c r="G638" s="1" t="s">
        <v>31</v>
      </c>
      <c r="H638" s="1" t="s">
        <v>51</v>
      </c>
      <c r="I638" s="1" t="s">
        <v>42</v>
      </c>
      <c r="J638" s="1" t="str">
        <f t="shared" si="18"/>
        <v>PENDING_REVIEW</v>
      </c>
      <c r="K638" s="1" t="str">
        <f>_xlfn.XLOOKUP(C638, 'Product Catalog'!$A:$A, 'Product Catalog'!$B:$B, "Unknown Product")</f>
        <v>Leather Handbag Model S96</v>
      </c>
      <c r="L638" s="1" t="str">
        <f>_xlfn.XLOOKUP(C638, 'Product Catalog'!$A:$A, 'Product Catalog'!$C:$C, "Unknown Category")</f>
        <v>Luxury Goods</v>
      </c>
      <c r="M638" s="1">
        <f>_xlfn.XLOOKUP(C638, 'Product Catalog'!$A:$A, 'Product Catalog'!$D:$D, 0)</f>
        <v>2336.6799999999998</v>
      </c>
      <c r="N638" s="1">
        <f t="shared" si="19"/>
        <v>9346.7199999999993</v>
      </c>
    </row>
    <row r="639" spans="1:14" x14ac:dyDescent="0.3">
      <c r="A639" s="1" t="s">
        <v>1083</v>
      </c>
      <c r="B639" s="1" t="s">
        <v>745</v>
      </c>
      <c r="C639" s="1" t="s">
        <v>556</v>
      </c>
      <c r="D639" s="1">
        <v>5</v>
      </c>
      <c r="E639" s="12">
        <v>45690.373611111114</v>
      </c>
      <c r="F639" s="1" t="s">
        <v>170</v>
      </c>
      <c r="G639" s="1" t="s">
        <v>50</v>
      </c>
      <c r="H639" s="1" t="s">
        <v>51</v>
      </c>
      <c r="I639" s="1" t="s">
        <v>81</v>
      </c>
      <c r="J639" s="1" t="str">
        <f t="shared" si="18"/>
        <v>REFUNDED</v>
      </c>
      <c r="K639" s="1" t="str">
        <f>_xlfn.XLOOKUP(C639, 'Product Catalog'!$A:$A, 'Product Catalog'!$B:$B, "Unknown Product")</f>
        <v>Mug Model C54</v>
      </c>
      <c r="L639" s="1" t="str">
        <f>_xlfn.XLOOKUP(C639, 'Product Catalog'!$A:$A, 'Product Catalog'!$C:$C, "Unknown Category")</f>
        <v>Home Goods</v>
      </c>
      <c r="M639" s="1">
        <f>_xlfn.XLOOKUP(C639, 'Product Catalog'!$A:$A, 'Product Catalog'!$D:$D, 0)</f>
        <v>85.78</v>
      </c>
      <c r="N639" s="1">
        <f t="shared" si="19"/>
        <v>428.9</v>
      </c>
    </row>
    <row r="640" spans="1:14" x14ac:dyDescent="0.3">
      <c r="A640" s="1" t="s">
        <v>1084</v>
      </c>
      <c r="B640" s="1" t="s">
        <v>322</v>
      </c>
      <c r="C640" s="1" t="s">
        <v>192</v>
      </c>
      <c r="D640" s="1">
        <v>5</v>
      </c>
      <c r="E640" s="12">
        <v>45953.892361111109</v>
      </c>
      <c r="F640" s="1" t="s">
        <v>170</v>
      </c>
      <c r="G640" s="1" t="s">
        <v>50</v>
      </c>
      <c r="H640" s="1" t="s">
        <v>51</v>
      </c>
      <c r="I640" s="1" t="s">
        <v>102</v>
      </c>
      <c r="J640" s="1" t="str">
        <f t="shared" si="18"/>
        <v>disputed</v>
      </c>
      <c r="K640" s="1" t="str">
        <f>_xlfn.XLOOKUP(C640, 'Product Catalog'!$A:$A, 'Product Catalog'!$B:$B, "Unknown Product")</f>
        <v>Leather Handbag Model R69</v>
      </c>
      <c r="L640" s="1" t="str">
        <f>_xlfn.XLOOKUP(C640, 'Product Catalog'!$A:$A, 'Product Catalog'!$C:$C, "Unknown Category")</f>
        <v>Luxury Goods</v>
      </c>
      <c r="M640" s="1">
        <f>_xlfn.XLOOKUP(C640, 'Product Catalog'!$A:$A, 'Product Catalog'!$D:$D, 0)</f>
        <v>425.14</v>
      </c>
      <c r="N640" s="1">
        <f t="shared" si="19"/>
        <v>2125.6999999999998</v>
      </c>
    </row>
    <row r="641" spans="1:14" x14ac:dyDescent="0.3">
      <c r="A641" s="1" t="s">
        <v>1085</v>
      </c>
      <c r="B641" s="1" t="s">
        <v>303</v>
      </c>
      <c r="C641" s="1" t="s">
        <v>148</v>
      </c>
      <c r="D641" s="1">
        <v>1</v>
      </c>
      <c r="E641" s="12">
        <v>45697.705555555556</v>
      </c>
      <c r="F641" s="1" t="s">
        <v>12</v>
      </c>
      <c r="G641" s="1" t="s">
        <v>31</v>
      </c>
      <c r="H641" s="1" t="s">
        <v>41</v>
      </c>
      <c r="I641" s="1" t="s">
        <v>15</v>
      </c>
      <c r="J641" s="1" t="str">
        <f t="shared" si="18"/>
        <v>delivered</v>
      </c>
      <c r="K641" s="1" t="str">
        <f>_xlfn.XLOOKUP(C641, 'Product Catalog'!$A:$A, 'Product Catalog'!$B:$B, "Unknown Product")</f>
        <v>Charger Model W100</v>
      </c>
      <c r="L641" s="1" t="str">
        <f>_xlfn.XLOOKUP(C641, 'Product Catalog'!$A:$A, 'Product Catalog'!$C:$C, "Unknown Category")</f>
        <v>Electronics</v>
      </c>
      <c r="M641" s="1">
        <f>_xlfn.XLOOKUP(C641, 'Product Catalog'!$A:$A, 'Product Catalog'!$D:$D, 0)</f>
        <v>219.96</v>
      </c>
      <c r="N641" s="1">
        <f t="shared" si="19"/>
        <v>219.96</v>
      </c>
    </row>
    <row r="642" spans="1:14" x14ac:dyDescent="0.3">
      <c r="A642" s="1" t="s">
        <v>1086</v>
      </c>
      <c r="B642" s="1" t="s">
        <v>336</v>
      </c>
      <c r="C642" s="1" t="s">
        <v>780</v>
      </c>
      <c r="D642" s="1">
        <v>1</v>
      </c>
      <c r="E642" s="12">
        <v>45891.726388888892</v>
      </c>
      <c r="F642" s="1" t="s">
        <v>12</v>
      </c>
      <c r="G642" s="1" t="s">
        <v>31</v>
      </c>
      <c r="H642" s="1" t="s">
        <v>41</v>
      </c>
      <c r="I642" s="1" t="s">
        <v>15</v>
      </c>
      <c r="J642" s="1" t="str">
        <f t="shared" ref="J642:J705" si="20">TRIM(I642)</f>
        <v>delivered</v>
      </c>
      <c r="K642" s="1" t="str">
        <f>_xlfn.XLOOKUP(C642, 'Product Catalog'!$A:$A, 'Product Catalog'!$B:$B, "Unknown Product")</f>
        <v>Organizer Model D133</v>
      </c>
      <c r="L642" s="1" t="str">
        <f>_xlfn.XLOOKUP(C642, 'Product Catalog'!$A:$A, 'Product Catalog'!$C:$C, "Unknown Category")</f>
        <v>Home Goods</v>
      </c>
      <c r="M642" s="1">
        <f>_xlfn.XLOOKUP(C642, 'Product Catalog'!$A:$A, 'Product Catalog'!$D:$D, 0)</f>
        <v>144.43</v>
      </c>
      <c r="N642" s="1">
        <f t="shared" ref="N642:N705" si="21">D642 * M642</f>
        <v>144.43</v>
      </c>
    </row>
    <row r="643" spans="1:14" x14ac:dyDescent="0.3">
      <c r="A643" s="1" t="s">
        <v>1087</v>
      </c>
      <c r="B643" s="1" t="s">
        <v>1088</v>
      </c>
      <c r="C643" s="1" t="s">
        <v>164</v>
      </c>
      <c r="D643" s="1">
        <v>1</v>
      </c>
      <c r="E643" s="12">
        <v>45842.078472222223</v>
      </c>
      <c r="F643" s="1" t="s">
        <v>12</v>
      </c>
      <c r="G643" s="1" t="s">
        <v>50</v>
      </c>
      <c r="H643" s="1" t="s">
        <v>51</v>
      </c>
      <c r="I643" s="1" t="s">
        <v>81</v>
      </c>
      <c r="J643" s="1" t="str">
        <f t="shared" si="20"/>
        <v>REFUNDED</v>
      </c>
      <c r="K643" s="1" t="str">
        <f>_xlfn.XLOOKUP(C643, 'Product Catalog'!$A:$A, 'Product Catalog'!$B:$B, "Unknown Product")</f>
        <v>Gold Bracelet Model A26</v>
      </c>
      <c r="L643" s="1" t="str">
        <f>_xlfn.XLOOKUP(C643, 'Product Catalog'!$A:$A, 'Product Catalog'!$C:$C, "Unknown Category")</f>
        <v>Luxury Goods</v>
      </c>
      <c r="M643" s="1">
        <f>_xlfn.XLOOKUP(C643, 'Product Catalog'!$A:$A, 'Product Catalog'!$D:$D, 0)</f>
        <v>1096.3900000000001</v>
      </c>
      <c r="N643" s="1">
        <f t="shared" si="21"/>
        <v>1096.3900000000001</v>
      </c>
    </row>
    <row r="644" spans="1:14" x14ac:dyDescent="0.3">
      <c r="A644" s="1" t="s">
        <v>1089</v>
      </c>
      <c r="B644" s="1" t="s">
        <v>811</v>
      </c>
      <c r="C644" s="1" t="s">
        <v>131</v>
      </c>
      <c r="D644" s="1">
        <v>3</v>
      </c>
      <c r="E644" s="12">
        <v>45913.805555555555</v>
      </c>
      <c r="F644" s="1" t="s">
        <v>19</v>
      </c>
      <c r="G644" s="1" t="s">
        <v>13</v>
      </c>
      <c r="H644" s="1" t="s">
        <v>14</v>
      </c>
      <c r="I644" s="1" t="s">
        <v>15</v>
      </c>
      <c r="J644" s="1" t="str">
        <f t="shared" si="20"/>
        <v>delivered</v>
      </c>
      <c r="K644" s="1" t="str">
        <f>_xlfn.XLOOKUP(C644, 'Product Catalog'!$A:$A, 'Product Catalog'!$B:$B, "Unknown Product")</f>
        <v>Keyboard Model C28</v>
      </c>
      <c r="L644" s="1" t="str">
        <f>_xlfn.XLOOKUP(C644, 'Product Catalog'!$A:$A, 'Product Catalog'!$C:$C, "Unknown Category")</f>
        <v>Electronics</v>
      </c>
      <c r="M644" s="1">
        <f>_xlfn.XLOOKUP(C644, 'Product Catalog'!$A:$A, 'Product Catalog'!$D:$D, 0)</f>
        <v>162.44999999999999</v>
      </c>
      <c r="N644" s="1">
        <f t="shared" si="21"/>
        <v>487.34999999999997</v>
      </c>
    </row>
    <row r="645" spans="1:14" x14ac:dyDescent="0.3">
      <c r="A645" s="1" t="s">
        <v>1090</v>
      </c>
      <c r="B645" s="1" t="s">
        <v>478</v>
      </c>
      <c r="C645" s="1" t="s">
        <v>377</v>
      </c>
      <c r="D645" s="1">
        <v>1</v>
      </c>
      <c r="E645" s="12">
        <v>45743.522916666669</v>
      </c>
      <c r="F645" s="1" t="s">
        <v>12</v>
      </c>
      <c r="G645" s="1" t="s">
        <v>31</v>
      </c>
      <c r="H645" s="1" t="s">
        <v>14</v>
      </c>
      <c r="I645" s="1" t="s">
        <v>15</v>
      </c>
      <c r="J645" s="1" t="str">
        <f t="shared" si="20"/>
        <v>delivered</v>
      </c>
      <c r="K645" s="1" t="str">
        <f>_xlfn.XLOOKUP(C645, 'Product Catalog'!$A:$A, 'Product Catalog'!$B:$B, "Unknown Product")</f>
        <v>Mouse Model J61</v>
      </c>
      <c r="L645" s="1" t="str">
        <f>_xlfn.XLOOKUP(C645, 'Product Catalog'!$A:$A, 'Product Catalog'!$C:$C, "Unknown Category")</f>
        <v>Electronics</v>
      </c>
      <c r="M645" s="1">
        <f>_xlfn.XLOOKUP(C645, 'Product Catalog'!$A:$A, 'Product Catalog'!$D:$D, 0)</f>
        <v>232.7</v>
      </c>
      <c r="N645" s="1">
        <f t="shared" si="21"/>
        <v>232.7</v>
      </c>
    </row>
    <row r="646" spans="1:14" x14ac:dyDescent="0.3">
      <c r="A646" s="1" t="s">
        <v>1091</v>
      </c>
      <c r="B646" s="1" t="s">
        <v>83</v>
      </c>
      <c r="C646" s="1" t="s">
        <v>380</v>
      </c>
      <c r="D646" s="1">
        <v>1</v>
      </c>
      <c r="E646" s="12">
        <v>45738.362500000003</v>
      </c>
      <c r="F646" s="1" t="s">
        <v>19</v>
      </c>
      <c r="G646" s="1" t="s">
        <v>31</v>
      </c>
      <c r="H646" s="1" t="s">
        <v>14</v>
      </c>
      <c r="I646" s="1" t="s">
        <v>15</v>
      </c>
      <c r="J646" s="1" t="str">
        <f t="shared" si="20"/>
        <v>delivered</v>
      </c>
      <c r="K646" s="1" t="str">
        <f>_xlfn.XLOOKUP(C646, 'Product Catalog'!$A:$A, 'Product Catalog'!$B:$B, "Unknown Product")</f>
        <v>Premium Stream 1M Model Z51</v>
      </c>
      <c r="L646" s="1" t="str">
        <f>_xlfn.XLOOKUP(C646, 'Product Catalog'!$A:$A, 'Product Catalog'!$C:$C, "Unknown Category")</f>
        <v>Digital Services</v>
      </c>
      <c r="M646" s="1">
        <f>_xlfn.XLOOKUP(C646, 'Product Catalog'!$A:$A, 'Product Catalog'!$D:$D, 0)</f>
        <v>55.69</v>
      </c>
      <c r="N646" s="1">
        <f t="shared" si="21"/>
        <v>55.69</v>
      </c>
    </row>
    <row r="647" spans="1:14" x14ac:dyDescent="0.3">
      <c r="A647" s="1" t="s">
        <v>1092</v>
      </c>
      <c r="B647" s="1" t="s">
        <v>494</v>
      </c>
      <c r="C647" s="1" t="s">
        <v>320</v>
      </c>
      <c r="D647" s="1">
        <v>1</v>
      </c>
      <c r="E647" s="12">
        <v>45710.815972222219</v>
      </c>
      <c r="F647" s="1" t="s">
        <v>185</v>
      </c>
      <c r="G647" s="1" t="s">
        <v>20</v>
      </c>
      <c r="H647" s="1" t="s">
        <v>24</v>
      </c>
      <c r="I647" s="1" t="s">
        <v>15</v>
      </c>
      <c r="J647" s="1" t="str">
        <f t="shared" si="20"/>
        <v>delivered</v>
      </c>
      <c r="K647" s="1" t="str">
        <f>_xlfn.XLOOKUP(C647, 'Product Catalog'!$A:$A, 'Product Catalog'!$B:$B, "Unknown Product")</f>
        <v>Premium Stream 1M Model Y24</v>
      </c>
      <c r="L647" s="1" t="str">
        <f>_xlfn.XLOOKUP(C647, 'Product Catalog'!$A:$A, 'Product Catalog'!$C:$C, "Unknown Category")</f>
        <v>Digital Services</v>
      </c>
      <c r="M647" s="1">
        <f>_xlfn.XLOOKUP(C647, 'Product Catalog'!$A:$A, 'Product Catalog'!$D:$D, 0)</f>
        <v>29.9</v>
      </c>
      <c r="N647" s="1">
        <f t="shared" si="21"/>
        <v>29.9</v>
      </c>
    </row>
    <row r="648" spans="1:14" x14ac:dyDescent="0.3">
      <c r="A648" s="1" t="s">
        <v>1093</v>
      </c>
      <c r="B648" s="1" t="s">
        <v>361</v>
      </c>
      <c r="C648" s="1" t="s">
        <v>452</v>
      </c>
      <c r="D648" s="1">
        <v>1</v>
      </c>
      <c r="E648" s="12">
        <v>46003.163888888892</v>
      </c>
      <c r="F648" s="1" t="s">
        <v>19</v>
      </c>
      <c r="G648" s="1" t="s">
        <v>31</v>
      </c>
      <c r="H648" s="1" t="s">
        <v>41</v>
      </c>
      <c r="I648" s="1" t="s">
        <v>15</v>
      </c>
      <c r="J648" s="1" t="str">
        <f t="shared" si="20"/>
        <v>delivered</v>
      </c>
      <c r="K648" s="1" t="str">
        <f>_xlfn.XLOOKUP(C648, 'Product Catalog'!$A:$A, 'Product Catalog'!$B:$B, "Unknown Product")</f>
        <v>E-Book Access Model U150</v>
      </c>
      <c r="L648" s="1" t="str">
        <f>_xlfn.XLOOKUP(C648, 'Product Catalog'!$A:$A, 'Product Catalog'!$C:$C, "Unknown Category")</f>
        <v>Digital Services</v>
      </c>
      <c r="M648" s="1">
        <f>_xlfn.XLOOKUP(C648, 'Product Catalog'!$A:$A, 'Product Catalog'!$D:$D, 0)</f>
        <v>75.69</v>
      </c>
      <c r="N648" s="1">
        <f t="shared" si="21"/>
        <v>75.69</v>
      </c>
    </row>
    <row r="649" spans="1:14" x14ac:dyDescent="0.3">
      <c r="A649" s="1" t="s">
        <v>1094</v>
      </c>
      <c r="B649" s="1" t="s">
        <v>811</v>
      </c>
      <c r="C649" s="1" t="s">
        <v>367</v>
      </c>
      <c r="D649" s="1">
        <v>2</v>
      </c>
      <c r="E649" s="12">
        <v>45774.723611111112</v>
      </c>
      <c r="F649" s="1" t="s">
        <v>19</v>
      </c>
      <c r="G649" s="1" t="s">
        <v>46</v>
      </c>
      <c r="H649" s="1" t="s">
        <v>41</v>
      </c>
      <c r="I649" s="1" t="s">
        <v>15</v>
      </c>
      <c r="J649" s="1" t="str">
        <f t="shared" si="20"/>
        <v>delivered</v>
      </c>
      <c r="K649" s="1" t="str">
        <f>_xlfn.XLOOKUP(C649, 'Product Catalog'!$A:$A, 'Product Catalog'!$B:$B, "Unknown Product")</f>
        <v>Cable Model P67</v>
      </c>
      <c r="L649" s="1" t="str">
        <f>_xlfn.XLOOKUP(C649, 'Product Catalog'!$A:$A, 'Product Catalog'!$C:$C, "Unknown Category")</f>
        <v>Electronics</v>
      </c>
      <c r="M649" s="1">
        <f>_xlfn.XLOOKUP(C649, 'Product Catalog'!$A:$A, 'Product Catalog'!$D:$D, 0)</f>
        <v>187.9</v>
      </c>
      <c r="N649" s="1">
        <f t="shared" si="21"/>
        <v>375.8</v>
      </c>
    </row>
    <row r="650" spans="1:14" x14ac:dyDescent="0.3">
      <c r="A650" s="1" t="s">
        <v>1095</v>
      </c>
      <c r="B650" s="1" t="s">
        <v>1054</v>
      </c>
      <c r="C650" s="1" t="s">
        <v>27</v>
      </c>
      <c r="D650" s="1">
        <v>5</v>
      </c>
      <c r="E650" s="12">
        <v>45659.0625</v>
      </c>
      <c r="F650" s="1" t="s">
        <v>39</v>
      </c>
      <c r="G650" s="1" t="s">
        <v>50</v>
      </c>
      <c r="H650" s="1" t="s">
        <v>51</v>
      </c>
      <c r="I650" s="1" t="s">
        <v>56</v>
      </c>
      <c r="J650" s="1" t="str">
        <f t="shared" si="20"/>
        <v>cancelled</v>
      </c>
      <c r="K650" s="1" t="str">
        <f>_xlfn.XLOOKUP(C650, 'Product Catalog'!$A:$A, 'Product Catalog'!$B:$B, "Unknown Product")</f>
        <v>Premium Stream 1M Model B53</v>
      </c>
      <c r="L650" s="1" t="str">
        <f>_xlfn.XLOOKUP(C650, 'Product Catalog'!$A:$A, 'Product Catalog'!$C:$C, "Unknown Category")</f>
        <v>Digital Services</v>
      </c>
      <c r="M650" s="1">
        <f>_xlfn.XLOOKUP(C650, 'Product Catalog'!$A:$A, 'Product Catalog'!$D:$D, 0)</f>
        <v>13.87</v>
      </c>
      <c r="N650" s="1">
        <f t="shared" si="21"/>
        <v>69.349999999999994</v>
      </c>
    </row>
    <row r="651" spans="1:14" x14ac:dyDescent="0.3">
      <c r="A651" s="1" t="s">
        <v>1096</v>
      </c>
      <c r="B651" s="1" t="s">
        <v>379</v>
      </c>
      <c r="C651" s="1" t="s">
        <v>316</v>
      </c>
      <c r="D651" s="1">
        <v>1</v>
      </c>
      <c r="E651" s="12">
        <v>45664.347222222219</v>
      </c>
      <c r="F651" s="1" t="s">
        <v>39</v>
      </c>
      <c r="G651" s="1" t="s">
        <v>50</v>
      </c>
      <c r="H651" s="1" t="s">
        <v>51</v>
      </c>
      <c r="I651" s="1" t="s">
        <v>56</v>
      </c>
      <c r="J651" s="1" t="str">
        <f t="shared" si="20"/>
        <v>cancelled</v>
      </c>
      <c r="K651" s="1" t="str">
        <f>_xlfn.XLOOKUP(C651, 'Product Catalog'!$A:$A, 'Product Catalog'!$B:$B, "Unknown Product")</f>
        <v>Leather Handbag Model W48</v>
      </c>
      <c r="L651" s="1" t="str">
        <f>_xlfn.XLOOKUP(C651, 'Product Catalog'!$A:$A, 'Product Catalog'!$C:$C, "Unknown Category")</f>
        <v>Luxury Goods</v>
      </c>
      <c r="M651" s="1">
        <f>_xlfn.XLOOKUP(C651, 'Product Catalog'!$A:$A, 'Product Catalog'!$D:$D, 0)</f>
        <v>315.82</v>
      </c>
      <c r="N651" s="1">
        <f t="shared" si="21"/>
        <v>315.82</v>
      </c>
    </row>
    <row r="652" spans="1:14" x14ac:dyDescent="0.3">
      <c r="A652" s="1" t="s">
        <v>1097</v>
      </c>
      <c r="B652" s="1" t="s">
        <v>640</v>
      </c>
      <c r="C652" s="1" t="s">
        <v>160</v>
      </c>
      <c r="D652" s="1">
        <v>1</v>
      </c>
      <c r="E652" s="12">
        <v>45681.67083333333</v>
      </c>
      <c r="F652" s="1" t="s">
        <v>39</v>
      </c>
      <c r="G652" s="1" t="s">
        <v>40</v>
      </c>
      <c r="H652" s="1" t="s">
        <v>51</v>
      </c>
      <c r="I652" s="1" t="s">
        <v>102</v>
      </c>
      <c r="J652" s="1" t="str">
        <f t="shared" si="20"/>
        <v>disputed</v>
      </c>
      <c r="K652" s="1" t="str">
        <f>_xlfn.XLOOKUP(C652, 'Product Catalog'!$A:$A, 'Product Catalog'!$B:$B, "Unknown Product")</f>
        <v>Socks Model T149</v>
      </c>
      <c r="L652" s="1" t="str">
        <f>_xlfn.XLOOKUP(C652, 'Product Catalog'!$A:$A, 'Product Catalog'!$C:$C, "Unknown Category")</f>
        <v>Apparel</v>
      </c>
      <c r="M652" s="1">
        <f>_xlfn.XLOOKUP(C652, 'Product Catalog'!$A:$A, 'Product Catalog'!$D:$D, 0)</f>
        <v>45.95</v>
      </c>
      <c r="N652" s="1">
        <f t="shared" si="21"/>
        <v>45.95</v>
      </c>
    </row>
    <row r="653" spans="1:14" x14ac:dyDescent="0.3">
      <c r="A653" s="1" t="s">
        <v>1098</v>
      </c>
      <c r="B653" s="1" t="s">
        <v>773</v>
      </c>
      <c r="C653" s="1" t="s">
        <v>633</v>
      </c>
      <c r="D653" s="1">
        <v>1</v>
      </c>
      <c r="E653" s="12">
        <v>45844.544444444444</v>
      </c>
      <c r="F653" s="1" t="s">
        <v>19</v>
      </c>
      <c r="G653" s="1" t="s">
        <v>20</v>
      </c>
      <c r="H653" s="1" t="s">
        <v>24</v>
      </c>
      <c r="I653" s="1" t="s">
        <v>15</v>
      </c>
      <c r="J653" s="1" t="str">
        <f t="shared" si="20"/>
        <v>delivered</v>
      </c>
      <c r="K653" s="1" t="str">
        <f>_xlfn.XLOOKUP(C653, 'Product Catalog'!$A:$A, 'Product Catalog'!$B:$B, "Unknown Product")</f>
        <v>Keyboard Model X49</v>
      </c>
      <c r="L653" s="1" t="str">
        <f>_xlfn.XLOOKUP(C653, 'Product Catalog'!$A:$A, 'Product Catalog'!$C:$C, "Unknown Category")</f>
        <v>Electronics</v>
      </c>
      <c r="M653" s="1">
        <f>_xlfn.XLOOKUP(C653, 'Product Catalog'!$A:$A, 'Product Catalog'!$D:$D, 0)</f>
        <v>30.84</v>
      </c>
      <c r="N653" s="1">
        <f t="shared" si="21"/>
        <v>30.84</v>
      </c>
    </row>
    <row r="654" spans="1:14" x14ac:dyDescent="0.3">
      <c r="A654" s="1" t="s">
        <v>1099</v>
      </c>
      <c r="B654" s="1" t="s">
        <v>336</v>
      </c>
      <c r="C654" s="1" t="s">
        <v>256</v>
      </c>
      <c r="D654" s="1">
        <v>5</v>
      </c>
      <c r="E654" s="12">
        <v>45734.254166666666</v>
      </c>
      <c r="F654" s="1" t="s">
        <v>19</v>
      </c>
      <c r="G654" s="1" t="s">
        <v>40</v>
      </c>
      <c r="H654" s="1" t="s">
        <v>41</v>
      </c>
      <c r="I654" s="1" t="s">
        <v>81</v>
      </c>
      <c r="J654" s="1" t="str">
        <f t="shared" si="20"/>
        <v>REFUNDED</v>
      </c>
      <c r="K654" s="1" t="str">
        <f>_xlfn.XLOOKUP(C654, 'Product Catalog'!$A:$A, 'Product Catalog'!$B:$B, "Unknown Product")</f>
        <v>Charger Model E56</v>
      </c>
      <c r="L654" s="1" t="str">
        <f>_xlfn.XLOOKUP(C654, 'Product Catalog'!$A:$A, 'Product Catalog'!$C:$C, "Unknown Category")</f>
        <v>Electronics</v>
      </c>
      <c r="M654" s="1">
        <f>_xlfn.XLOOKUP(C654, 'Product Catalog'!$A:$A, 'Product Catalog'!$D:$D, 0)</f>
        <v>186.13</v>
      </c>
      <c r="N654" s="1">
        <f t="shared" si="21"/>
        <v>930.65</v>
      </c>
    </row>
    <row r="655" spans="1:14" x14ac:dyDescent="0.3">
      <c r="A655" s="1" t="s">
        <v>1100</v>
      </c>
      <c r="B655" s="1" t="s">
        <v>1101</v>
      </c>
      <c r="C655" s="1" t="s">
        <v>278</v>
      </c>
      <c r="D655" s="1">
        <v>1</v>
      </c>
      <c r="E655" s="12">
        <v>45676.786111111112</v>
      </c>
      <c r="F655" s="1" t="s">
        <v>12</v>
      </c>
      <c r="G655" s="1" t="s">
        <v>20</v>
      </c>
      <c r="H655" s="1" t="s">
        <v>24</v>
      </c>
      <c r="I655" s="1" t="s">
        <v>15</v>
      </c>
      <c r="J655" s="1" t="str">
        <f t="shared" si="20"/>
        <v>delivered</v>
      </c>
      <c r="K655" s="1" t="str">
        <f>_xlfn.XLOOKUP(C655, 'Product Catalog'!$A:$A, 'Product Catalog'!$B:$B, "Unknown Product")</f>
        <v>Premium Stream 1M Model L115</v>
      </c>
      <c r="L655" s="1" t="str">
        <f>_xlfn.XLOOKUP(C655, 'Product Catalog'!$A:$A, 'Product Catalog'!$C:$C, "Unknown Category")</f>
        <v>Digital Services</v>
      </c>
      <c r="M655" s="1">
        <f>_xlfn.XLOOKUP(C655, 'Product Catalog'!$A:$A, 'Product Catalog'!$D:$D, 0)</f>
        <v>62.86</v>
      </c>
      <c r="N655" s="1">
        <f t="shared" si="21"/>
        <v>62.86</v>
      </c>
    </row>
    <row r="656" spans="1:14" x14ac:dyDescent="0.3">
      <c r="A656" s="1" t="s">
        <v>1102</v>
      </c>
      <c r="B656" s="1" t="s">
        <v>686</v>
      </c>
      <c r="C656" s="1" t="s">
        <v>667</v>
      </c>
      <c r="D656" s="1">
        <v>1</v>
      </c>
      <c r="E656" s="12">
        <v>45993.595833333333</v>
      </c>
      <c r="F656" s="1" t="s">
        <v>12</v>
      </c>
      <c r="G656" s="1" t="s">
        <v>109</v>
      </c>
      <c r="H656" s="1" t="s">
        <v>14</v>
      </c>
      <c r="I656" s="1" t="s">
        <v>81</v>
      </c>
      <c r="J656" s="1" t="str">
        <f t="shared" si="20"/>
        <v>REFUNDED</v>
      </c>
      <c r="K656" s="1" t="str">
        <f>_xlfn.XLOOKUP(C656, 'Product Catalog'!$A:$A, 'Product Catalog'!$B:$B, "Unknown Product")</f>
        <v>Mug Model N65</v>
      </c>
      <c r="L656" s="1" t="str">
        <f>_xlfn.XLOOKUP(C656, 'Product Catalog'!$A:$A, 'Product Catalog'!$C:$C, "Unknown Category")</f>
        <v>Home Goods</v>
      </c>
      <c r="M656" s="1">
        <f>_xlfn.XLOOKUP(C656, 'Product Catalog'!$A:$A, 'Product Catalog'!$D:$D, 0)</f>
        <v>131.44999999999999</v>
      </c>
      <c r="N656" s="1">
        <f t="shared" si="21"/>
        <v>131.44999999999999</v>
      </c>
    </row>
    <row r="657" spans="1:14" x14ac:dyDescent="0.3">
      <c r="A657" s="1" t="s">
        <v>1103</v>
      </c>
      <c r="B657" s="1" t="s">
        <v>1104</v>
      </c>
      <c r="C657" s="1" t="s">
        <v>90</v>
      </c>
      <c r="D657" s="1">
        <v>1</v>
      </c>
      <c r="E657" s="12">
        <v>45772.457638888889</v>
      </c>
      <c r="F657" s="1" t="s">
        <v>12</v>
      </c>
      <c r="G657" s="1" t="s">
        <v>31</v>
      </c>
      <c r="H657" s="1" t="s">
        <v>14</v>
      </c>
      <c r="I657" s="1" t="s">
        <v>15</v>
      </c>
      <c r="J657" s="1" t="str">
        <f t="shared" si="20"/>
        <v>delivered</v>
      </c>
      <c r="K657" s="1" t="str">
        <f>_xlfn.XLOOKUP(C657, 'Product Catalog'!$A:$A, 'Product Catalog'!$B:$B, "Unknown Product")</f>
        <v>VPN 6-Month Pass Model F109</v>
      </c>
      <c r="L657" s="1" t="str">
        <f>_xlfn.XLOOKUP(C657, 'Product Catalog'!$A:$A, 'Product Catalog'!$C:$C, "Unknown Category")</f>
        <v>Digital Services</v>
      </c>
      <c r="M657" s="1">
        <f>_xlfn.XLOOKUP(C657, 'Product Catalog'!$A:$A, 'Product Catalog'!$D:$D, 0)</f>
        <v>22.87</v>
      </c>
      <c r="N657" s="1">
        <f t="shared" si="21"/>
        <v>22.87</v>
      </c>
    </row>
    <row r="658" spans="1:14" x14ac:dyDescent="0.3">
      <c r="A658" s="1" t="s">
        <v>1105</v>
      </c>
      <c r="B658" s="1" t="s">
        <v>1106</v>
      </c>
      <c r="C658" s="1" t="s">
        <v>636</v>
      </c>
      <c r="D658" s="1">
        <v>1</v>
      </c>
      <c r="E658" s="12">
        <v>45785.591666666667</v>
      </c>
      <c r="F658" s="1" t="s">
        <v>12</v>
      </c>
      <c r="G658" s="1" t="s">
        <v>50</v>
      </c>
      <c r="H658" s="1" t="s">
        <v>41</v>
      </c>
      <c r="I658" s="1" t="s">
        <v>81</v>
      </c>
      <c r="J658" s="1" t="str">
        <f t="shared" si="20"/>
        <v>REFUNDED</v>
      </c>
      <c r="K658" s="1" t="str">
        <f>_xlfn.XLOOKUP(C658, 'Product Catalog'!$A:$A, 'Product Catalog'!$B:$B, "Unknown Product")</f>
        <v>Leather Handbag Model O92</v>
      </c>
      <c r="L658" s="1" t="str">
        <f>_xlfn.XLOOKUP(C658, 'Product Catalog'!$A:$A, 'Product Catalog'!$C:$C, "Unknown Category")</f>
        <v>Luxury Goods</v>
      </c>
      <c r="M658" s="1">
        <f>_xlfn.XLOOKUP(C658, 'Product Catalog'!$A:$A, 'Product Catalog'!$D:$D, 0)</f>
        <v>1245.53</v>
      </c>
      <c r="N658" s="1">
        <f t="shared" si="21"/>
        <v>1245.53</v>
      </c>
    </row>
    <row r="659" spans="1:14" x14ac:dyDescent="0.3">
      <c r="A659" s="1" t="s">
        <v>1107</v>
      </c>
      <c r="B659" s="1" t="s">
        <v>1068</v>
      </c>
      <c r="C659" s="1" t="s">
        <v>140</v>
      </c>
      <c r="D659" s="1">
        <v>4</v>
      </c>
      <c r="E659" s="12">
        <v>45821.385416666664</v>
      </c>
      <c r="F659" s="1" t="s">
        <v>19</v>
      </c>
      <c r="G659" s="1" t="s">
        <v>40</v>
      </c>
      <c r="H659" s="1" t="s">
        <v>41</v>
      </c>
      <c r="I659" s="1" t="s">
        <v>42</v>
      </c>
      <c r="J659" s="1" t="str">
        <f t="shared" si="20"/>
        <v>PENDING_REVIEW</v>
      </c>
      <c r="K659" s="1" t="str">
        <f>_xlfn.XLOOKUP(C659, 'Product Catalog'!$A:$A, 'Product Catalog'!$B:$B, "Unknown Product")</f>
        <v>Blender Model H85</v>
      </c>
      <c r="L659" s="1" t="str">
        <f>_xlfn.XLOOKUP(C659, 'Product Catalog'!$A:$A, 'Product Catalog'!$C:$C, "Unknown Category")</f>
        <v>Home Goods</v>
      </c>
      <c r="M659" s="1">
        <f>_xlfn.XLOOKUP(C659, 'Product Catalog'!$A:$A, 'Product Catalog'!$D:$D, 0)</f>
        <v>130</v>
      </c>
      <c r="N659" s="1">
        <f t="shared" si="21"/>
        <v>520</v>
      </c>
    </row>
    <row r="660" spans="1:14" x14ac:dyDescent="0.3">
      <c r="A660" s="1" t="s">
        <v>1108</v>
      </c>
      <c r="B660" s="1" t="s">
        <v>1106</v>
      </c>
      <c r="C660" s="1" t="s">
        <v>374</v>
      </c>
      <c r="D660" s="1">
        <v>5</v>
      </c>
      <c r="E660" s="12">
        <v>45697.8125</v>
      </c>
      <c r="F660" s="1" t="s">
        <v>12</v>
      </c>
      <c r="G660" s="1" t="s">
        <v>40</v>
      </c>
      <c r="H660" s="1" t="s">
        <v>41</v>
      </c>
      <c r="I660" s="1" t="s">
        <v>102</v>
      </c>
      <c r="J660" s="1" t="str">
        <f t="shared" si="20"/>
        <v>disputed</v>
      </c>
      <c r="K660" s="1" t="str">
        <f>_xlfn.XLOOKUP(C660, 'Product Catalog'!$A:$A, 'Product Catalog'!$B:$B, "Unknown Product")</f>
        <v>Mug Model H33</v>
      </c>
      <c r="L660" s="1" t="str">
        <f>_xlfn.XLOOKUP(C660, 'Product Catalog'!$A:$A, 'Product Catalog'!$C:$C, "Unknown Category")</f>
        <v>Home Goods</v>
      </c>
      <c r="M660" s="1">
        <f>_xlfn.XLOOKUP(C660, 'Product Catalog'!$A:$A, 'Product Catalog'!$D:$D, 0)</f>
        <v>45.31</v>
      </c>
      <c r="N660" s="1">
        <f t="shared" si="21"/>
        <v>226.55</v>
      </c>
    </row>
    <row r="661" spans="1:14" x14ac:dyDescent="0.3">
      <c r="A661" s="1" t="s">
        <v>1109</v>
      </c>
      <c r="B661" s="1" t="s">
        <v>834</v>
      </c>
      <c r="C661" s="1" t="s">
        <v>278</v>
      </c>
      <c r="D661" s="1">
        <v>1</v>
      </c>
      <c r="E661" s="12">
        <v>45848.169444444444</v>
      </c>
      <c r="F661" s="1" t="s">
        <v>19</v>
      </c>
      <c r="G661" s="1" t="s">
        <v>109</v>
      </c>
      <c r="H661" s="1" t="s">
        <v>14</v>
      </c>
      <c r="I661" s="1" t="s">
        <v>15</v>
      </c>
      <c r="J661" s="1" t="str">
        <f t="shared" si="20"/>
        <v>delivered</v>
      </c>
      <c r="K661" s="1" t="str">
        <f>_xlfn.XLOOKUP(C661, 'Product Catalog'!$A:$A, 'Product Catalog'!$B:$B, "Unknown Product")</f>
        <v>Premium Stream 1M Model L115</v>
      </c>
      <c r="L661" s="1" t="str">
        <f>_xlfn.XLOOKUP(C661, 'Product Catalog'!$A:$A, 'Product Catalog'!$C:$C, "Unknown Category")</f>
        <v>Digital Services</v>
      </c>
      <c r="M661" s="1">
        <f>_xlfn.XLOOKUP(C661, 'Product Catalog'!$A:$A, 'Product Catalog'!$D:$D, 0)</f>
        <v>62.86</v>
      </c>
      <c r="N661" s="1">
        <f t="shared" si="21"/>
        <v>62.86</v>
      </c>
    </row>
    <row r="662" spans="1:14" x14ac:dyDescent="0.3">
      <c r="A662" s="1" t="s">
        <v>1110</v>
      </c>
      <c r="B662" s="1" t="s">
        <v>809</v>
      </c>
      <c r="C662" s="1" t="s">
        <v>402</v>
      </c>
      <c r="D662" s="1">
        <v>1</v>
      </c>
      <c r="E662" s="12">
        <v>45915.956944444442</v>
      </c>
      <c r="F662" s="1" t="s">
        <v>19</v>
      </c>
      <c r="G662" s="1" t="s">
        <v>20</v>
      </c>
      <c r="H662" s="1" t="s">
        <v>14</v>
      </c>
      <c r="I662" s="1" t="s">
        <v>15</v>
      </c>
      <c r="J662" s="1" t="str">
        <f t="shared" si="20"/>
        <v>delivered</v>
      </c>
      <c r="K662" s="1" t="str">
        <f>_xlfn.XLOOKUP(C662, 'Product Catalog'!$A:$A, 'Product Catalog'!$B:$B, "Unknown Product")</f>
        <v>Software License Tier A Model J139</v>
      </c>
      <c r="L662" s="1" t="str">
        <f>_xlfn.XLOOKUP(C662, 'Product Catalog'!$A:$A, 'Product Catalog'!$C:$C, "Unknown Category")</f>
        <v>Digital Services</v>
      </c>
      <c r="M662" s="1">
        <f>_xlfn.XLOOKUP(C662, 'Product Catalog'!$A:$A, 'Product Catalog'!$D:$D, 0)</f>
        <v>90.05</v>
      </c>
      <c r="N662" s="1">
        <f t="shared" si="21"/>
        <v>90.05</v>
      </c>
    </row>
    <row r="663" spans="1:14" x14ac:dyDescent="0.3">
      <c r="A663" s="1" t="s">
        <v>1111</v>
      </c>
      <c r="B663" s="1" t="s">
        <v>70</v>
      </c>
      <c r="C663" s="1" t="s">
        <v>128</v>
      </c>
      <c r="D663" s="1">
        <v>1</v>
      </c>
      <c r="E663" s="12">
        <v>45684.254861111112</v>
      </c>
      <c r="F663" s="1" t="s">
        <v>12</v>
      </c>
      <c r="G663" s="1" t="s">
        <v>13</v>
      </c>
      <c r="H663" s="1" t="s">
        <v>14</v>
      </c>
      <c r="I663" s="1" t="s">
        <v>81</v>
      </c>
      <c r="J663" s="1" t="str">
        <f t="shared" si="20"/>
        <v>REFUNDED</v>
      </c>
      <c r="K663" s="1" t="str">
        <f>_xlfn.XLOOKUP(C663, 'Product Catalog'!$A:$A, 'Product Catalog'!$B:$B, "Unknown Product")</f>
        <v>Organizer Model N39</v>
      </c>
      <c r="L663" s="1" t="str">
        <f>_xlfn.XLOOKUP(C663, 'Product Catalog'!$A:$A, 'Product Catalog'!$C:$C, "Unknown Category")</f>
        <v>Home Goods</v>
      </c>
      <c r="M663" s="1">
        <f>_xlfn.XLOOKUP(C663, 'Product Catalog'!$A:$A, 'Product Catalog'!$D:$D, 0)</f>
        <v>149.08000000000001</v>
      </c>
      <c r="N663" s="1">
        <f t="shared" si="21"/>
        <v>149.08000000000001</v>
      </c>
    </row>
    <row r="664" spans="1:14" x14ac:dyDescent="0.3">
      <c r="A664" s="1" t="s">
        <v>1112</v>
      </c>
      <c r="B664" s="1" t="s">
        <v>79</v>
      </c>
      <c r="C664" s="1" t="s">
        <v>391</v>
      </c>
      <c r="D664" s="1">
        <v>4</v>
      </c>
      <c r="E664" s="12">
        <v>45772.73333333333</v>
      </c>
      <c r="F664" s="1" t="s">
        <v>12</v>
      </c>
      <c r="G664" s="1" t="s">
        <v>50</v>
      </c>
      <c r="H664" s="1" t="s">
        <v>51</v>
      </c>
      <c r="I664" s="1" t="s">
        <v>42</v>
      </c>
      <c r="J664" s="1" t="str">
        <f t="shared" si="20"/>
        <v>PENDING_REVIEW</v>
      </c>
      <c r="K664" s="1" t="str">
        <f>_xlfn.XLOOKUP(C664, 'Product Catalog'!$A:$A, 'Product Catalog'!$B:$B, "Unknown Product")</f>
        <v>Premium Stream 1M Model P145</v>
      </c>
      <c r="L664" s="1" t="str">
        <f>_xlfn.XLOOKUP(C664, 'Product Catalog'!$A:$A, 'Product Catalog'!$C:$C, "Unknown Category")</f>
        <v>Digital Services</v>
      </c>
      <c r="M664" s="1">
        <f>_xlfn.XLOOKUP(C664, 'Product Catalog'!$A:$A, 'Product Catalog'!$D:$D, 0)</f>
        <v>84.01</v>
      </c>
      <c r="N664" s="1">
        <f t="shared" si="21"/>
        <v>336.04</v>
      </c>
    </row>
    <row r="665" spans="1:14" x14ac:dyDescent="0.3">
      <c r="A665" s="1" t="s">
        <v>1113</v>
      </c>
      <c r="B665" s="1" t="s">
        <v>1114</v>
      </c>
      <c r="C665" s="1" t="s">
        <v>157</v>
      </c>
      <c r="D665" s="1">
        <v>1</v>
      </c>
      <c r="E665" s="12">
        <v>45681.570138888892</v>
      </c>
      <c r="F665" s="1" t="s">
        <v>19</v>
      </c>
      <c r="G665" s="1" t="s">
        <v>20</v>
      </c>
      <c r="H665" s="1" t="s">
        <v>14</v>
      </c>
      <c r="I665" s="1" t="s">
        <v>15</v>
      </c>
      <c r="J665" s="1" t="str">
        <f t="shared" si="20"/>
        <v>delivered</v>
      </c>
      <c r="K665" s="1" t="str">
        <f>_xlfn.XLOOKUP(C665, 'Product Catalog'!$A:$A, 'Product Catalog'!$B:$B, "Unknown Product")</f>
        <v>Coffee Maker Model Q68</v>
      </c>
      <c r="L665" s="1" t="str">
        <f>_xlfn.XLOOKUP(C665, 'Product Catalog'!$A:$A, 'Product Catalog'!$C:$C, "Unknown Category")</f>
        <v>Home Goods</v>
      </c>
      <c r="M665" s="1">
        <f>_xlfn.XLOOKUP(C665, 'Product Catalog'!$A:$A, 'Product Catalog'!$D:$D, 0)</f>
        <v>28.02</v>
      </c>
      <c r="N665" s="1">
        <f t="shared" si="21"/>
        <v>28.02</v>
      </c>
    </row>
    <row r="666" spans="1:14" x14ac:dyDescent="0.3">
      <c r="A666" s="1" t="s">
        <v>1115</v>
      </c>
      <c r="B666" s="1" t="s">
        <v>570</v>
      </c>
      <c r="C666" s="1" t="s">
        <v>459</v>
      </c>
      <c r="D666" s="1">
        <v>1</v>
      </c>
      <c r="E666" s="12">
        <v>45693.661111111112</v>
      </c>
      <c r="F666" s="1" t="s">
        <v>12</v>
      </c>
      <c r="G666" s="1" t="s">
        <v>13</v>
      </c>
      <c r="H666" s="1" t="s">
        <v>41</v>
      </c>
      <c r="I666" s="1" t="s">
        <v>32</v>
      </c>
      <c r="J666" s="1" t="str">
        <f t="shared" si="20"/>
        <v>SHIPPED</v>
      </c>
      <c r="K666" s="1" t="str">
        <f>_xlfn.XLOOKUP(C666, 'Product Catalog'!$A:$A, 'Product Catalog'!$B:$B, "Unknown Product")</f>
        <v>Mouse Model I60</v>
      </c>
      <c r="L666" s="1" t="str">
        <f>_xlfn.XLOOKUP(C666, 'Product Catalog'!$A:$A, 'Product Catalog'!$C:$C, "Unknown Category")</f>
        <v>Electronics</v>
      </c>
      <c r="M666" s="1">
        <f>_xlfn.XLOOKUP(C666, 'Product Catalog'!$A:$A, 'Product Catalog'!$D:$D, 0)</f>
        <v>168.25</v>
      </c>
      <c r="N666" s="1">
        <f t="shared" si="21"/>
        <v>168.25</v>
      </c>
    </row>
    <row r="667" spans="1:14" x14ac:dyDescent="0.3">
      <c r="A667" s="1" t="s">
        <v>1116</v>
      </c>
      <c r="B667" s="1" t="s">
        <v>280</v>
      </c>
      <c r="C667" s="1" t="s">
        <v>90</v>
      </c>
      <c r="D667" s="1">
        <v>1</v>
      </c>
      <c r="E667" s="12">
        <v>45802.441666666666</v>
      </c>
      <c r="F667" s="1" t="s">
        <v>19</v>
      </c>
      <c r="G667" s="1" t="s">
        <v>31</v>
      </c>
      <c r="H667" s="1" t="s">
        <v>41</v>
      </c>
      <c r="I667" s="1" t="s">
        <v>15</v>
      </c>
      <c r="J667" s="1" t="str">
        <f t="shared" si="20"/>
        <v>delivered</v>
      </c>
      <c r="K667" s="1" t="str">
        <f>_xlfn.XLOOKUP(C667, 'Product Catalog'!$A:$A, 'Product Catalog'!$B:$B, "Unknown Product")</f>
        <v>VPN 6-Month Pass Model F109</v>
      </c>
      <c r="L667" s="1" t="str">
        <f>_xlfn.XLOOKUP(C667, 'Product Catalog'!$A:$A, 'Product Catalog'!$C:$C, "Unknown Category")</f>
        <v>Digital Services</v>
      </c>
      <c r="M667" s="1">
        <f>_xlfn.XLOOKUP(C667, 'Product Catalog'!$A:$A, 'Product Catalog'!$D:$D, 0)</f>
        <v>22.87</v>
      </c>
      <c r="N667" s="1">
        <f t="shared" si="21"/>
        <v>22.87</v>
      </c>
    </row>
    <row r="668" spans="1:14" x14ac:dyDescent="0.3">
      <c r="A668" s="1" t="s">
        <v>1117</v>
      </c>
      <c r="B668" s="1" t="s">
        <v>300</v>
      </c>
      <c r="C668" s="1" t="s">
        <v>415</v>
      </c>
      <c r="D668" s="1">
        <v>1</v>
      </c>
      <c r="E668" s="12">
        <v>45825.12222222222</v>
      </c>
      <c r="F668" s="1" t="s">
        <v>12</v>
      </c>
      <c r="G668" s="1" t="s">
        <v>46</v>
      </c>
      <c r="H668" s="1" t="s">
        <v>24</v>
      </c>
      <c r="I668" s="1" t="s">
        <v>15</v>
      </c>
      <c r="J668" s="1" t="str">
        <f t="shared" si="20"/>
        <v>delivered</v>
      </c>
      <c r="K668" s="1" t="str">
        <f>_xlfn.XLOOKUP(C668, 'Product Catalog'!$A:$A, 'Product Catalog'!$B:$B, "Unknown Product")</f>
        <v>Premium Stream 1M Model S148</v>
      </c>
      <c r="L668" s="1" t="str">
        <f>_xlfn.XLOOKUP(C668, 'Product Catalog'!$A:$A, 'Product Catalog'!$C:$C, "Unknown Category")</f>
        <v>Digital Services</v>
      </c>
      <c r="M668" s="1">
        <f>_xlfn.XLOOKUP(C668, 'Product Catalog'!$A:$A, 'Product Catalog'!$D:$D, 0)</f>
        <v>9.73</v>
      </c>
      <c r="N668" s="1">
        <f t="shared" si="21"/>
        <v>9.73</v>
      </c>
    </row>
    <row r="669" spans="1:14" x14ac:dyDescent="0.3">
      <c r="A669" s="1" t="s">
        <v>1118</v>
      </c>
      <c r="B669" s="1" t="s">
        <v>183</v>
      </c>
      <c r="C669" s="1" t="s">
        <v>137</v>
      </c>
      <c r="D669" s="1">
        <v>1</v>
      </c>
      <c r="E669" s="12">
        <v>45941.649305555555</v>
      </c>
      <c r="F669" s="1" t="s">
        <v>12</v>
      </c>
      <c r="G669" s="1" t="s">
        <v>31</v>
      </c>
      <c r="H669" s="1" t="s">
        <v>14</v>
      </c>
      <c r="I669" s="1" t="s">
        <v>15</v>
      </c>
      <c r="J669" s="1" t="str">
        <f t="shared" si="20"/>
        <v>delivered</v>
      </c>
      <c r="K669" s="1" t="str">
        <f>_xlfn.XLOOKUP(C669, 'Product Catalog'!$A:$A, 'Product Catalog'!$B:$B, "Unknown Product")</f>
        <v>VPN 6-Month Pass Model M90</v>
      </c>
      <c r="L669" s="1" t="str">
        <f>_xlfn.XLOOKUP(C669, 'Product Catalog'!$A:$A, 'Product Catalog'!$C:$C, "Unknown Category")</f>
        <v>Digital Services</v>
      </c>
      <c r="M669" s="1">
        <f>_xlfn.XLOOKUP(C669, 'Product Catalog'!$A:$A, 'Product Catalog'!$D:$D, 0)</f>
        <v>5.91</v>
      </c>
      <c r="N669" s="1">
        <f t="shared" si="21"/>
        <v>5.91</v>
      </c>
    </row>
    <row r="670" spans="1:14" x14ac:dyDescent="0.3">
      <c r="A670" s="1" t="s">
        <v>1119</v>
      </c>
      <c r="B670" s="1" t="s">
        <v>888</v>
      </c>
      <c r="C670" s="1" t="s">
        <v>23</v>
      </c>
      <c r="D670" s="1">
        <v>1</v>
      </c>
      <c r="E670" s="12">
        <v>45662.524305555555</v>
      </c>
      <c r="F670" s="1" t="s">
        <v>12</v>
      </c>
      <c r="G670" s="1" t="s">
        <v>20</v>
      </c>
      <c r="H670" s="1" t="s">
        <v>24</v>
      </c>
      <c r="I670" s="1" t="s">
        <v>32</v>
      </c>
      <c r="J670" s="1" t="str">
        <f t="shared" si="20"/>
        <v>SHIPPED</v>
      </c>
      <c r="K670" s="1" t="str">
        <f>_xlfn.XLOOKUP(C670, 'Product Catalog'!$A:$A, 'Product Catalog'!$B:$B, "Unknown Product")</f>
        <v>Mouse Model A78</v>
      </c>
      <c r="L670" s="1" t="str">
        <f>_xlfn.XLOOKUP(C670, 'Product Catalog'!$A:$A, 'Product Catalog'!$C:$C, "Unknown Category")</f>
        <v>Electronics</v>
      </c>
      <c r="M670" s="1">
        <f>_xlfn.XLOOKUP(C670, 'Product Catalog'!$A:$A, 'Product Catalog'!$D:$D, 0)</f>
        <v>141.34</v>
      </c>
      <c r="N670" s="1">
        <f t="shared" si="21"/>
        <v>141.34</v>
      </c>
    </row>
    <row r="671" spans="1:14" x14ac:dyDescent="0.3">
      <c r="A671" s="1" t="s">
        <v>1120</v>
      </c>
      <c r="B671" s="1" t="s">
        <v>943</v>
      </c>
      <c r="C671" s="1" t="s">
        <v>452</v>
      </c>
      <c r="D671" s="1">
        <v>1</v>
      </c>
      <c r="E671" s="12">
        <v>45760.414583333331</v>
      </c>
      <c r="F671" s="1" t="s">
        <v>12</v>
      </c>
      <c r="G671" s="1" t="s">
        <v>20</v>
      </c>
      <c r="H671" s="1" t="s">
        <v>14</v>
      </c>
      <c r="I671" s="1" t="s">
        <v>32</v>
      </c>
      <c r="J671" s="1" t="str">
        <f t="shared" si="20"/>
        <v>SHIPPED</v>
      </c>
      <c r="K671" s="1" t="str">
        <f>_xlfn.XLOOKUP(C671, 'Product Catalog'!$A:$A, 'Product Catalog'!$B:$B, "Unknown Product")</f>
        <v>E-Book Access Model U150</v>
      </c>
      <c r="L671" s="1" t="str">
        <f>_xlfn.XLOOKUP(C671, 'Product Catalog'!$A:$A, 'Product Catalog'!$C:$C, "Unknown Category")</f>
        <v>Digital Services</v>
      </c>
      <c r="M671" s="1">
        <f>_xlfn.XLOOKUP(C671, 'Product Catalog'!$A:$A, 'Product Catalog'!$D:$D, 0)</f>
        <v>75.69</v>
      </c>
      <c r="N671" s="1">
        <f t="shared" si="21"/>
        <v>75.69</v>
      </c>
    </row>
    <row r="672" spans="1:14" x14ac:dyDescent="0.3">
      <c r="A672" s="1" t="s">
        <v>1121</v>
      </c>
      <c r="B672" s="1" t="s">
        <v>1026</v>
      </c>
      <c r="C672" s="1" t="s">
        <v>352</v>
      </c>
      <c r="D672" s="1">
        <v>1</v>
      </c>
      <c r="E672" s="12">
        <v>45946.431944444441</v>
      </c>
      <c r="F672" s="1" t="s">
        <v>19</v>
      </c>
      <c r="G672" s="1" t="s">
        <v>20</v>
      </c>
      <c r="H672" s="1" t="s">
        <v>41</v>
      </c>
      <c r="I672" s="1" t="s">
        <v>32</v>
      </c>
      <c r="J672" s="1" t="str">
        <f t="shared" si="20"/>
        <v>SHIPPED</v>
      </c>
      <c r="K672" s="1" t="str">
        <f>_xlfn.XLOOKUP(C672, 'Product Catalog'!$A:$A, 'Product Catalog'!$B:$B, "Unknown Product")</f>
        <v>VPN 6-Month Pass Model U46</v>
      </c>
      <c r="L672" s="1" t="str">
        <f>_xlfn.XLOOKUP(C672, 'Product Catalog'!$A:$A, 'Product Catalog'!$C:$C, "Unknown Category")</f>
        <v>Digital Services</v>
      </c>
      <c r="M672" s="1">
        <f>_xlfn.XLOOKUP(C672, 'Product Catalog'!$A:$A, 'Product Catalog'!$D:$D, 0)</f>
        <v>47.44</v>
      </c>
      <c r="N672" s="1">
        <f t="shared" si="21"/>
        <v>47.44</v>
      </c>
    </row>
    <row r="673" spans="1:14" x14ac:dyDescent="0.3">
      <c r="A673" s="1" t="s">
        <v>1122</v>
      </c>
      <c r="B673" s="1" t="s">
        <v>270</v>
      </c>
      <c r="C673" s="1" t="s">
        <v>352</v>
      </c>
      <c r="D673" s="1">
        <v>4</v>
      </c>
      <c r="E673" s="12">
        <v>45976.344444444447</v>
      </c>
      <c r="F673" s="1" t="s">
        <v>170</v>
      </c>
      <c r="G673" s="1" t="s">
        <v>40</v>
      </c>
      <c r="H673" s="1" t="s">
        <v>41</v>
      </c>
      <c r="I673" s="1" t="s">
        <v>81</v>
      </c>
      <c r="J673" s="1" t="str">
        <f t="shared" si="20"/>
        <v>REFUNDED</v>
      </c>
      <c r="K673" s="1" t="str">
        <f>_xlfn.XLOOKUP(C673, 'Product Catalog'!$A:$A, 'Product Catalog'!$B:$B, "Unknown Product")</f>
        <v>VPN 6-Month Pass Model U46</v>
      </c>
      <c r="L673" s="1" t="str">
        <f>_xlfn.XLOOKUP(C673, 'Product Catalog'!$A:$A, 'Product Catalog'!$C:$C, "Unknown Category")</f>
        <v>Digital Services</v>
      </c>
      <c r="M673" s="1">
        <f>_xlfn.XLOOKUP(C673, 'Product Catalog'!$A:$A, 'Product Catalog'!$D:$D, 0)</f>
        <v>47.44</v>
      </c>
      <c r="N673" s="1">
        <f t="shared" si="21"/>
        <v>189.76</v>
      </c>
    </row>
    <row r="674" spans="1:14" x14ac:dyDescent="0.3">
      <c r="A674" s="1" t="s">
        <v>1123</v>
      </c>
      <c r="B674" s="1" t="s">
        <v>476</v>
      </c>
      <c r="C674" s="1" t="s">
        <v>409</v>
      </c>
      <c r="D674" s="1">
        <v>1</v>
      </c>
      <c r="E674" s="12">
        <v>45895.523611111108</v>
      </c>
      <c r="F674" s="1" t="s">
        <v>19</v>
      </c>
      <c r="G674" s="1" t="s">
        <v>13</v>
      </c>
      <c r="H674" s="1" t="s">
        <v>14</v>
      </c>
      <c r="I674" s="1" t="s">
        <v>15</v>
      </c>
      <c r="J674" s="1" t="str">
        <f t="shared" si="20"/>
        <v>delivered</v>
      </c>
      <c r="K674" s="1" t="str">
        <f>_xlfn.XLOOKUP(C674, 'Product Catalog'!$A:$A, 'Product Catalog'!$B:$B, "Unknown Product")</f>
        <v>Desk Lamp Model I34</v>
      </c>
      <c r="L674" s="1" t="str">
        <f>_xlfn.XLOOKUP(C674, 'Product Catalog'!$A:$A, 'Product Catalog'!$C:$C, "Unknown Category")</f>
        <v>Home Goods</v>
      </c>
      <c r="M674" s="1">
        <f>_xlfn.XLOOKUP(C674, 'Product Catalog'!$A:$A, 'Product Catalog'!$D:$D, 0)</f>
        <v>141.91</v>
      </c>
      <c r="N674" s="1">
        <f t="shared" si="21"/>
        <v>141.91</v>
      </c>
    </row>
    <row r="675" spans="1:14" x14ac:dyDescent="0.3">
      <c r="A675" s="1" t="s">
        <v>1124</v>
      </c>
      <c r="B675" s="1" t="s">
        <v>575</v>
      </c>
      <c r="C675" s="1" t="s">
        <v>209</v>
      </c>
      <c r="D675" s="1">
        <v>1</v>
      </c>
      <c r="E675" s="12">
        <v>45960.701388888891</v>
      </c>
      <c r="F675" s="1" t="s">
        <v>170</v>
      </c>
      <c r="G675" s="1" t="s">
        <v>40</v>
      </c>
      <c r="H675" s="1" t="s">
        <v>41</v>
      </c>
      <c r="I675" s="1" t="s">
        <v>42</v>
      </c>
      <c r="J675" s="1" t="str">
        <f t="shared" si="20"/>
        <v>PENDING_REVIEW</v>
      </c>
      <c r="K675" s="1" t="str">
        <f>_xlfn.XLOOKUP(C675, 'Product Catalog'!$A:$A, 'Product Catalog'!$B:$B, "Unknown Product")</f>
        <v>Silk Scarf Model Z129</v>
      </c>
      <c r="L675" s="1" t="str">
        <f>_xlfn.XLOOKUP(C675, 'Product Catalog'!$A:$A, 'Product Catalog'!$C:$C, "Unknown Category")</f>
        <v>Luxury Goods</v>
      </c>
      <c r="M675" s="1">
        <f>_xlfn.XLOOKUP(C675, 'Product Catalog'!$A:$A, 'Product Catalog'!$D:$D, 0)</f>
        <v>1610</v>
      </c>
      <c r="N675" s="1">
        <f t="shared" si="21"/>
        <v>1610</v>
      </c>
    </row>
    <row r="676" spans="1:14" x14ac:dyDescent="0.3">
      <c r="A676" s="1" t="s">
        <v>1125</v>
      </c>
      <c r="B676" s="1" t="s">
        <v>950</v>
      </c>
      <c r="C676" s="1" t="s">
        <v>105</v>
      </c>
      <c r="D676" s="1">
        <v>1</v>
      </c>
      <c r="E676" s="12">
        <v>45758.777083333334</v>
      </c>
      <c r="F676" s="1" t="s">
        <v>12</v>
      </c>
      <c r="G676" s="1" t="s">
        <v>31</v>
      </c>
      <c r="H676" s="1" t="s">
        <v>24</v>
      </c>
      <c r="I676" s="1" t="s">
        <v>42</v>
      </c>
      <c r="J676" s="1" t="str">
        <f t="shared" si="20"/>
        <v>PENDING_REVIEW</v>
      </c>
      <c r="K676" s="1" t="str">
        <f>_xlfn.XLOOKUP(C676, 'Product Catalog'!$A:$A, 'Product Catalog'!$B:$B, "Unknown Product")</f>
        <v>Keyboard Model E4</v>
      </c>
      <c r="L676" s="1" t="str">
        <f>_xlfn.XLOOKUP(C676, 'Product Catalog'!$A:$A, 'Product Catalog'!$C:$C, "Unknown Category")</f>
        <v>Electronics</v>
      </c>
      <c r="M676" s="1">
        <f>_xlfn.XLOOKUP(C676, 'Product Catalog'!$A:$A, 'Product Catalog'!$D:$D, 0)</f>
        <v>69.680000000000007</v>
      </c>
      <c r="N676" s="1">
        <f t="shared" si="21"/>
        <v>69.680000000000007</v>
      </c>
    </row>
    <row r="677" spans="1:14" x14ac:dyDescent="0.3">
      <c r="A677" s="1" t="s">
        <v>1126</v>
      </c>
      <c r="B677" s="1" t="s">
        <v>950</v>
      </c>
      <c r="C677" s="1" t="s">
        <v>176</v>
      </c>
      <c r="D677" s="1">
        <v>4</v>
      </c>
      <c r="E677" s="12">
        <v>45783.213888888888</v>
      </c>
      <c r="F677" s="1" t="s">
        <v>39</v>
      </c>
      <c r="G677" s="1" t="s">
        <v>20</v>
      </c>
      <c r="H677" s="1" t="s">
        <v>41</v>
      </c>
      <c r="I677" s="1" t="s">
        <v>42</v>
      </c>
      <c r="J677" s="1" t="str">
        <f t="shared" si="20"/>
        <v>PENDING_REVIEW</v>
      </c>
      <c r="K677" s="1" t="str">
        <f>_xlfn.XLOOKUP(C677, 'Product Catalog'!$A:$A, 'Product Catalog'!$B:$B, "Unknown Product")</f>
        <v>Leather Handbag Model U124</v>
      </c>
      <c r="L677" s="1" t="str">
        <f>_xlfn.XLOOKUP(C677, 'Product Catalog'!$A:$A, 'Product Catalog'!$C:$C, "Unknown Category")</f>
        <v>Luxury Goods</v>
      </c>
      <c r="M677" s="1">
        <f>_xlfn.XLOOKUP(C677, 'Product Catalog'!$A:$A, 'Product Catalog'!$D:$D, 0)</f>
        <v>1880.36</v>
      </c>
      <c r="N677" s="1">
        <f t="shared" si="21"/>
        <v>7521.44</v>
      </c>
    </row>
    <row r="678" spans="1:14" x14ac:dyDescent="0.3">
      <c r="A678" s="1" t="s">
        <v>1127</v>
      </c>
      <c r="B678" s="1" t="s">
        <v>609</v>
      </c>
      <c r="C678" s="1" t="s">
        <v>314</v>
      </c>
      <c r="D678" s="1">
        <v>2</v>
      </c>
      <c r="E678" s="12">
        <v>45661.582638888889</v>
      </c>
      <c r="F678" s="1" t="s">
        <v>12</v>
      </c>
      <c r="G678" s="1" t="s">
        <v>13</v>
      </c>
      <c r="H678" s="1" t="s">
        <v>41</v>
      </c>
      <c r="I678" s="1" t="s">
        <v>15</v>
      </c>
      <c r="J678" s="1" t="str">
        <f t="shared" si="20"/>
        <v>delivered</v>
      </c>
      <c r="K678" s="1" t="str">
        <f>_xlfn.XLOOKUP(C678, 'Product Catalog'!$A:$A, 'Product Catalog'!$B:$B, "Unknown Product")</f>
        <v>Smartwatch Model A104</v>
      </c>
      <c r="L678" s="1" t="str">
        <f>_xlfn.XLOOKUP(C678, 'Product Catalog'!$A:$A, 'Product Catalog'!$C:$C, "Unknown Category")</f>
        <v>Electronics</v>
      </c>
      <c r="M678" s="1">
        <f>_xlfn.XLOOKUP(C678, 'Product Catalog'!$A:$A, 'Product Catalog'!$D:$D, 0)</f>
        <v>80.59</v>
      </c>
      <c r="N678" s="1">
        <f t="shared" si="21"/>
        <v>161.18</v>
      </c>
    </row>
    <row r="679" spans="1:14" x14ac:dyDescent="0.3">
      <c r="A679" s="1" t="s">
        <v>1128</v>
      </c>
      <c r="B679" s="1" t="s">
        <v>662</v>
      </c>
      <c r="C679" s="1" t="s">
        <v>334</v>
      </c>
      <c r="D679" s="1">
        <v>1</v>
      </c>
      <c r="E679" s="12">
        <v>45670.331250000003</v>
      </c>
      <c r="F679" s="1" t="s">
        <v>19</v>
      </c>
      <c r="G679" s="1" t="s">
        <v>46</v>
      </c>
      <c r="H679" s="1" t="s">
        <v>14</v>
      </c>
      <c r="I679" s="1" t="s">
        <v>15</v>
      </c>
      <c r="J679" s="1" t="str">
        <f t="shared" si="20"/>
        <v>delivered</v>
      </c>
      <c r="K679" s="1" t="str">
        <f>_xlfn.XLOOKUP(C679, 'Product Catalog'!$A:$A, 'Product Catalog'!$B:$B, "Unknown Product")</f>
        <v>Jeans Model Q42</v>
      </c>
      <c r="L679" s="1" t="str">
        <f>_xlfn.XLOOKUP(C679, 'Product Catalog'!$A:$A, 'Product Catalog'!$C:$C, "Unknown Category")</f>
        <v>Apparel</v>
      </c>
      <c r="M679" s="1">
        <f>_xlfn.XLOOKUP(C679, 'Product Catalog'!$A:$A, 'Product Catalog'!$D:$D, 0)</f>
        <v>82.57</v>
      </c>
      <c r="N679" s="1">
        <f t="shared" si="21"/>
        <v>82.57</v>
      </c>
    </row>
    <row r="680" spans="1:14" x14ac:dyDescent="0.3">
      <c r="A680" s="1" t="s">
        <v>1129</v>
      </c>
      <c r="B680" s="1" t="s">
        <v>611</v>
      </c>
      <c r="C680" s="1" t="s">
        <v>348</v>
      </c>
      <c r="D680" s="1">
        <v>4</v>
      </c>
      <c r="E680" s="12">
        <v>45935.492361111108</v>
      </c>
      <c r="F680" s="1" t="s">
        <v>19</v>
      </c>
      <c r="G680" s="1" t="s">
        <v>109</v>
      </c>
      <c r="H680" s="1" t="s">
        <v>41</v>
      </c>
      <c r="I680" s="1" t="s">
        <v>81</v>
      </c>
      <c r="J680" s="1" t="str">
        <f t="shared" si="20"/>
        <v>REFUNDED</v>
      </c>
      <c r="K680" s="1" t="str">
        <f>_xlfn.XLOOKUP(C680, 'Product Catalog'!$A:$A, 'Product Catalog'!$B:$B, "Unknown Product")</f>
        <v>Leather Handbag Model G84</v>
      </c>
      <c r="L680" s="1" t="str">
        <f>_xlfn.XLOOKUP(C680, 'Product Catalog'!$A:$A, 'Product Catalog'!$C:$C, "Unknown Category")</f>
        <v>Luxury Goods</v>
      </c>
      <c r="M680" s="1">
        <f>_xlfn.XLOOKUP(C680, 'Product Catalog'!$A:$A, 'Product Catalog'!$D:$D, 0)</f>
        <v>899.17</v>
      </c>
      <c r="N680" s="1">
        <f t="shared" si="21"/>
        <v>3596.68</v>
      </c>
    </row>
    <row r="681" spans="1:14" x14ac:dyDescent="0.3">
      <c r="A681" s="1" t="s">
        <v>1130</v>
      </c>
      <c r="B681" s="1" t="s">
        <v>258</v>
      </c>
      <c r="C681" s="1" t="s">
        <v>348</v>
      </c>
      <c r="D681" s="1">
        <v>1</v>
      </c>
      <c r="E681" s="12">
        <v>45983.986111111109</v>
      </c>
      <c r="F681" s="1" t="s">
        <v>19</v>
      </c>
      <c r="G681" s="1" t="s">
        <v>46</v>
      </c>
      <c r="H681" s="1" t="s">
        <v>41</v>
      </c>
      <c r="I681" s="1" t="s">
        <v>42</v>
      </c>
      <c r="J681" s="1" t="str">
        <f t="shared" si="20"/>
        <v>PENDING_REVIEW</v>
      </c>
      <c r="K681" s="1" t="str">
        <f>_xlfn.XLOOKUP(C681, 'Product Catalog'!$A:$A, 'Product Catalog'!$B:$B, "Unknown Product")</f>
        <v>Leather Handbag Model G84</v>
      </c>
      <c r="L681" s="1" t="str">
        <f>_xlfn.XLOOKUP(C681, 'Product Catalog'!$A:$A, 'Product Catalog'!$C:$C, "Unknown Category")</f>
        <v>Luxury Goods</v>
      </c>
      <c r="M681" s="1">
        <f>_xlfn.XLOOKUP(C681, 'Product Catalog'!$A:$A, 'Product Catalog'!$D:$D, 0)</f>
        <v>899.17</v>
      </c>
      <c r="N681" s="1">
        <f t="shared" si="21"/>
        <v>899.17</v>
      </c>
    </row>
    <row r="682" spans="1:14" x14ac:dyDescent="0.3">
      <c r="A682" s="1" t="s">
        <v>1131</v>
      </c>
      <c r="B682" s="1" t="s">
        <v>1132</v>
      </c>
      <c r="C682" s="1" t="s">
        <v>402</v>
      </c>
      <c r="D682" s="1">
        <v>1</v>
      </c>
      <c r="E682" s="12">
        <v>45662.476388888892</v>
      </c>
      <c r="F682" s="1" t="s">
        <v>12</v>
      </c>
      <c r="G682" s="1" t="s">
        <v>13</v>
      </c>
      <c r="H682" s="1" t="s">
        <v>14</v>
      </c>
      <c r="I682" s="1" t="s">
        <v>32</v>
      </c>
      <c r="J682" s="1" t="str">
        <f t="shared" si="20"/>
        <v>SHIPPED</v>
      </c>
      <c r="K682" s="1" t="str">
        <f>_xlfn.XLOOKUP(C682, 'Product Catalog'!$A:$A, 'Product Catalog'!$B:$B, "Unknown Product")</f>
        <v>Software License Tier A Model J139</v>
      </c>
      <c r="L682" s="1" t="str">
        <f>_xlfn.XLOOKUP(C682, 'Product Catalog'!$A:$A, 'Product Catalog'!$C:$C, "Unknown Category")</f>
        <v>Digital Services</v>
      </c>
      <c r="M682" s="1">
        <f>_xlfn.XLOOKUP(C682, 'Product Catalog'!$A:$A, 'Product Catalog'!$D:$D, 0)</f>
        <v>90.05</v>
      </c>
      <c r="N682" s="1">
        <f t="shared" si="21"/>
        <v>90.05</v>
      </c>
    </row>
    <row r="683" spans="1:14" x14ac:dyDescent="0.3">
      <c r="A683" s="1" t="s">
        <v>1133</v>
      </c>
      <c r="B683" s="1" t="s">
        <v>34</v>
      </c>
      <c r="C683" s="1" t="s">
        <v>320</v>
      </c>
      <c r="D683" s="1">
        <v>1</v>
      </c>
      <c r="E683" s="12">
        <v>45658.93472222222</v>
      </c>
      <c r="F683" s="1" t="s">
        <v>19</v>
      </c>
      <c r="G683" s="1" t="s">
        <v>40</v>
      </c>
      <c r="H683" s="1" t="s">
        <v>55</v>
      </c>
      <c r="I683" s="1" t="s">
        <v>42</v>
      </c>
      <c r="J683" s="1" t="str">
        <f t="shared" si="20"/>
        <v>PENDING_REVIEW</v>
      </c>
      <c r="K683" s="1" t="str">
        <f>_xlfn.XLOOKUP(C683, 'Product Catalog'!$A:$A, 'Product Catalog'!$B:$B, "Unknown Product")</f>
        <v>Premium Stream 1M Model Y24</v>
      </c>
      <c r="L683" s="1" t="str">
        <f>_xlfn.XLOOKUP(C683, 'Product Catalog'!$A:$A, 'Product Catalog'!$C:$C, "Unknown Category")</f>
        <v>Digital Services</v>
      </c>
      <c r="M683" s="1">
        <f>_xlfn.XLOOKUP(C683, 'Product Catalog'!$A:$A, 'Product Catalog'!$D:$D, 0)</f>
        <v>29.9</v>
      </c>
      <c r="N683" s="1">
        <f t="shared" si="21"/>
        <v>29.9</v>
      </c>
    </row>
    <row r="684" spans="1:14" x14ac:dyDescent="0.3">
      <c r="A684" s="1" t="s">
        <v>1134</v>
      </c>
      <c r="B684" s="1" t="s">
        <v>510</v>
      </c>
      <c r="C684" s="1" t="s">
        <v>119</v>
      </c>
      <c r="D684" s="1">
        <v>1</v>
      </c>
      <c r="E684" s="12">
        <v>45850.436805555553</v>
      </c>
      <c r="F684" s="1" t="s">
        <v>19</v>
      </c>
      <c r="G684" s="1" t="s">
        <v>20</v>
      </c>
      <c r="H684" s="1" t="s">
        <v>41</v>
      </c>
      <c r="I684" s="1" t="s">
        <v>15</v>
      </c>
      <c r="J684" s="1" t="str">
        <f t="shared" si="20"/>
        <v>delivered</v>
      </c>
      <c r="K684" s="1" t="str">
        <f>_xlfn.XLOOKUP(C684, 'Product Catalog'!$A:$A, 'Product Catalog'!$B:$B, "Unknown Product")</f>
        <v>Premium Stream 1M Model G6</v>
      </c>
      <c r="L684" s="1" t="str">
        <f>_xlfn.XLOOKUP(C684, 'Product Catalog'!$A:$A, 'Product Catalog'!$C:$C, "Unknown Category")</f>
        <v>Digital Services</v>
      </c>
      <c r="M684" s="1">
        <f>_xlfn.XLOOKUP(C684, 'Product Catalog'!$A:$A, 'Product Catalog'!$D:$D, 0)</f>
        <v>47.23</v>
      </c>
      <c r="N684" s="1">
        <f t="shared" si="21"/>
        <v>47.23</v>
      </c>
    </row>
    <row r="685" spans="1:14" x14ac:dyDescent="0.3">
      <c r="A685" s="1" t="s">
        <v>1135</v>
      </c>
      <c r="B685" s="1" t="s">
        <v>107</v>
      </c>
      <c r="C685" s="1" t="s">
        <v>556</v>
      </c>
      <c r="D685" s="1">
        <v>1</v>
      </c>
      <c r="E685" s="12">
        <v>45711.291666666664</v>
      </c>
      <c r="F685" s="1" t="s">
        <v>12</v>
      </c>
      <c r="G685" s="1" t="s">
        <v>109</v>
      </c>
      <c r="H685" s="1" t="s">
        <v>14</v>
      </c>
      <c r="I685" s="1" t="s">
        <v>15</v>
      </c>
      <c r="J685" s="1" t="str">
        <f t="shared" si="20"/>
        <v>delivered</v>
      </c>
      <c r="K685" s="1" t="str">
        <f>_xlfn.XLOOKUP(C685, 'Product Catalog'!$A:$A, 'Product Catalog'!$B:$B, "Unknown Product")</f>
        <v>Mug Model C54</v>
      </c>
      <c r="L685" s="1" t="str">
        <f>_xlfn.XLOOKUP(C685, 'Product Catalog'!$A:$A, 'Product Catalog'!$C:$C, "Unknown Category")</f>
        <v>Home Goods</v>
      </c>
      <c r="M685" s="1">
        <f>_xlfn.XLOOKUP(C685, 'Product Catalog'!$A:$A, 'Product Catalog'!$D:$D, 0)</f>
        <v>85.78</v>
      </c>
      <c r="N685" s="1">
        <f t="shared" si="21"/>
        <v>85.78</v>
      </c>
    </row>
    <row r="686" spans="1:14" x14ac:dyDescent="0.3">
      <c r="A686" s="1" t="s">
        <v>1136</v>
      </c>
      <c r="B686" s="1" t="s">
        <v>333</v>
      </c>
      <c r="C686" s="1" t="s">
        <v>54</v>
      </c>
      <c r="D686" s="1">
        <v>1</v>
      </c>
      <c r="E686" s="12">
        <v>45929.338194444441</v>
      </c>
      <c r="F686" s="1" t="s">
        <v>12</v>
      </c>
      <c r="G686" s="1" t="s">
        <v>109</v>
      </c>
      <c r="H686" s="1" t="s">
        <v>41</v>
      </c>
      <c r="I686" s="1" t="s">
        <v>56</v>
      </c>
      <c r="J686" s="1" t="str">
        <f t="shared" si="20"/>
        <v>cancelled</v>
      </c>
      <c r="K686" s="1" t="str">
        <f>_xlfn.XLOOKUP(C686, 'Product Catalog'!$A:$A, 'Product Catalog'!$B:$B, "Unknown Product")</f>
        <v>Keyboard Model V21</v>
      </c>
      <c r="L686" s="1" t="str">
        <f>_xlfn.XLOOKUP(C686, 'Product Catalog'!$A:$A, 'Product Catalog'!$C:$C, "Unknown Category")</f>
        <v>Electronics</v>
      </c>
      <c r="M686" s="1">
        <f>_xlfn.XLOOKUP(C686, 'Product Catalog'!$A:$A, 'Product Catalog'!$D:$D, 0)</f>
        <v>208.12</v>
      </c>
      <c r="N686" s="1">
        <f t="shared" si="21"/>
        <v>208.12</v>
      </c>
    </row>
    <row r="687" spans="1:14" x14ac:dyDescent="0.3">
      <c r="A687" s="1" t="s">
        <v>1137</v>
      </c>
      <c r="B687" s="1" t="s">
        <v>605</v>
      </c>
      <c r="C687" s="1" t="s">
        <v>256</v>
      </c>
      <c r="D687" s="1">
        <v>3</v>
      </c>
      <c r="E687" s="12">
        <v>45872.699305555558</v>
      </c>
      <c r="F687" s="1" t="s">
        <v>12</v>
      </c>
      <c r="G687" s="1" t="s">
        <v>20</v>
      </c>
      <c r="H687" s="1" t="s">
        <v>24</v>
      </c>
      <c r="I687" s="1" t="s">
        <v>15</v>
      </c>
      <c r="J687" s="1" t="str">
        <f t="shared" si="20"/>
        <v>delivered</v>
      </c>
      <c r="K687" s="1" t="str">
        <f>_xlfn.XLOOKUP(C687, 'Product Catalog'!$A:$A, 'Product Catalog'!$B:$B, "Unknown Product")</f>
        <v>Charger Model E56</v>
      </c>
      <c r="L687" s="1" t="str">
        <f>_xlfn.XLOOKUP(C687, 'Product Catalog'!$A:$A, 'Product Catalog'!$C:$C, "Unknown Category")</f>
        <v>Electronics</v>
      </c>
      <c r="M687" s="1">
        <f>_xlfn.XLOOKUP(C687, 'Product Catalog'!$A:$A, 'Product Catalog'!$D:$D, 0)</f>
        <v>186.13</v>
      </c>
      <c r="N687" s="1">
        <f t="shared" si="21"/>
        <v>558.39</v>
      </c>
    </row>
    <row r="688" spans="1:14" x14ac:dyDescent="0.3">
      <c r="A688" s="1" t="s">
        <v>1138</v>
      </c>
      <c r="B688" s="1" t="s">
        <v>439</v>
      </c>
      <c r="C688" s="1" t="s">
        <v>462</v>
      </c>
      <c r="D688" s="1">
        <v>2</v>
      </c>
      <c r="E688" s="12">
        <v>45688.20208333333</v>
      </c>
      <c r="F688" s="1" t="s">
        <v>19</v>
      </c>
      <c r="G688" s="1" t="s">
        <v>20</v>
      </c>
      <c r="H688" s="1" t="s">
        <v>24</v>
      </c>
      <c r="I688" s="1" t="s">
        <v>15</v>
      </c>
      <c r="J688" s="1" t="str">
        <f t="shared" si="20"/>
        <v>delivered</v>
      </c>
      <c r="K688" s="1" t="str">
        <f>_xlfn.XLOOKUP(C688, 'Product Catalog'!$A:$A, 'Product Catalog'!$B:$B, "Unknown Product")</f>
        <v>Mouse Model K88</v>
      </c>
      <c r="L688" s="1" t="str">
        <f>_xlfn.XLOOKUP(C688, 'Product Catalog'!$A:$A, 'Product Catalog'!$C:$C, "Unknown Category")</f>
        <v>Electronics</v>
      </c>
      <c r="M688" s="1">
        <f>_xlfn.XLOOKUP(C688, 'Product Catalog'!$A:$A, 'Product Catalog'!$D:$D, 0)</f>
        <v>93.39</v>
      </c>
      <c r="N688" s="1">
        <f t="shared" si="21"/>
        <v>186.78</v>
      </c>
    </row>
    <row r="689" spans="1:14" x14ac:dyDescent="0.3">
      <c r="A689" s="1" t="s">
        <v>1139</v>
      </c>
      <c r="B689" s="1" t="s">
        <v>166</v>
      </c>
      <c r="C689" s="1" t="s">
        <v>84</v>
      </c>
      <c r="D689" s="1">
        <v>1</v>
      </c>
      <c r="E689" s="12">
        <v>45801.131944444445</v>
      </c>
      <c r="F689" s="1" t="s">
        <v>12</v>
      </c>
      <c r="G689" s="1" t="s">
        <v>31</v>
      </c>
      <c r="H689" s="1" t="s">
        <v>14</v>
      </c>
      <c r="I689" s="1" t="s">
        <v>15</v>
      </c>
      <c r="J689" s="1" t="str">
        <f t="shared" si="20"/>
        <v>delivered</v>
      </c>
      <c r="K689" s="1" t="str">
        <f>_xlfn.XLOOKUP(C689, 'Product Catalog'!$A:$A, 'Product Catalog'!$B:$B, "Unknown Product")</f>
        <v>Smartwatch Model J35</v>
      </c>
      <c r="L689" s="1" t="str">
        <f>_xlfn.XLOOKUP(C689, 'Product Catalog'!$A:$A, 'Product Catalog'!$C:$C, "Unknown Category")</f>
        <v>Electronics</v>
      </c>
      <c r="M689" s="1">
        <f>_xlfn.XLOOKUP(C689, 'Product Catalog'!$A:$A, 'Product Catalog'!$D:$D, 0)</f>
        <v>161.94999999999999</v>
      </c>
      <c r="N689" s="1">
        <f t="shared" si="21"/>
        <v>161.94999999999999</v>
      </c>
    </row>
    <row r="690" spans="1:14" x14ac:dyDescent="0.3">
      <c r="A690" s="1" t="s">
        <v>1140</v>
      </c>
      <c r="B690" s="1" t="s">
        <v>255</v>
      </c>
      <c r="C690" s="1" t="s">
        <v>87</v>
      </c>
      <c r="D690" s="1">
        <v>1</v>
      </c>
      <c r="E690" s="12">
        <v>45680.32916666667</v>
      </c>
      <c r="F690" s="1" t="s">
        <v>39</v>
      </c>
      <c r="G690" s="1" t="s">
        <v>40</v>
      </c>
      <c r="H690" s="1" t="s">
        <v>55</v>
      </c>
      <c r="I690" s="1" t="s">
        <v>81</v>
      </c>
      <c r="J690" s="1" t="str">
        <f t="shared" si="20"/>
        <v>REFUNDED</v>
      </c>
      <c r="K690" s="1" t="str">
        <f>_xlfn.XLOOKUP(C690, 'Product Catalog'!$A:$A, 'Product Catalog'!$B:$B, "Unknown Product")</f>
        <v>T-Shirt Model S122</v>
      </c>
      <c r="L690" s="1" t="str">
        <f>_xlfn.XLOOKUP(C690, 'Product Catalog'!$A:$A, 'Product Catalog'!$C:$C, "Unknown Category")</f>
        <v>Apparel</v>
      </c>
      <c r="M690" s="1">
        <f>_xlfn.XLOOKUP(C690, 'Product Catalog'!$A:$A, 'Product Catalog'!$D:$D, 0)</f>
        <v>15.08</v>
      </c>
      <c r="N690" s="1">
        <f t="shared" si="21"/>
        <v>15.08</v>
      </c>
    </row>
    <row r="691" spans="1:14" x14ac:dyDescent="0.3">
      <c r="A691" s="1" t="s">
        <v>1141</v>
      </c>
      <c r="B691" s="1" t="s">
        <v>768</v>
      </c>
      <c r="C691" s="1" t="s">
        <v>396</v>
      </c>
      <c r="D691" s="1">
        <v>1</v>
      </c>
      <c r="E691" s="12">
        <v>45924.586805555555</v>
      </c>
      <c r="F691" s="1" t="s">
        <v>19</v>
      </c>
      <c r="G691" s="1" t="s">
        <v>31</v>
      </c>
      <c r="H691" s="1" t="s">
        <v>41</v>
      </c>
      <c r="I691" s="1" t="s">
        <v>15</v>
      </c>
      <c r="J691" s="1" t="str">
        <f t="shared" si="20"/>
        <v>delivered</v>
      </c>
      <c r="K691" s="1" t="str">
        <f>_xlfn.XLOOKUP(C691, 'Product Catalog'!$A:$A, 'Product Catalog'!$B:$B, "Unknown Product")</f>
        <v>Cap Model O14</v>
      </c>
      <c r="L691" s="1" t="str">
        <f>_xlfn.XLOOKUP(C691, 'Product Catalog'!$A:$A, 'Product Catalog'!$C:$C, "Unknown Category")</f>
        <v>Apparel</v>
      </c>
      <c r="M691" s="1">
        <f>_xlfn.XLOOKUP(C691, 'Product Catalog'!$A:$A, 'Product Catalog'!$D:$D, 0)</f>
        <v>41.83</v>
      </c>
      <c r="N691" s="1">
        <f t="shared" si="21"/>
        <v>41.83</v>
      </c>
    </row>
    <row r="692" spans="1:14" x14ac:dyDescent="0.3">
      <c r="A692" s="1" t="s">
        <v>1142</v>
      </c>
      <c r="B692" s="1" t="s">
        <v>918</v>
      </c>
      <c r="C692" s="1" t="s">
        <v>459</v>
      </c>
      <c r="D692" s="1">
        <v>2</v>
      </c>
      <c r="E692" s="12">
        <v>46016.529166666667</v>
      </c>
      <c r="F692" s="1" t="s">
        <v>12</v>
      </c>
      <c r="G692" s="1" t="s">
        <v>31</v>
      </c>
      <c r="H692" s="1" t="s">
        <v>14</v>
      </c>
      <c r="I692" s="1" t="s">
        <v>15</v>
      </c>
      <c r="J692" s="1" t="str">
        <f t="shared" si="20"/>
        <v>delivered</v>
      </c>
      <c r="K692" s="1" t="str">
        <f>_xlfn.XLOOKUP(C692, 'Product Catalog'!$A:$A, 'Product Catalog'!$B:$B, "Unknown Product")</f>
        <v>Mouse Model I60</v>
      </c>
      <c r="L692" s="1" t="str">
        <f>_xlfn.XLOOKUP(C692, 'Product Catalog'!$A:$A, 'Product Catalog'!$C:$C, "Unknown Category")</f>
        <v>Electronics</v>
      </c>
      <c r="M692" s="1">
        <f>_xlfn.XLOOKUP(C692, 'Product Catalog'!$A:$A, 'Product Catalog'!$D:$D, 0)</f>
        <v>168.25</v>
      </c>
      <c r="N692" s="1">
        <f t="shared" si="21"/>
        <v>336.5</v>
      </c>
    </row>
    <row r="693" spans="1:14" x14ac:dyDescent="0.3">
      <c r="A693" s="1" t="s">
        <v>1143</v>
      </c>
      <c r="B693" s="1" t="s">
        <v>44</v>
      </c>
      <c r="C693" s="1" t="s">
        <v>473</v>
      </c>
      <c r="D693" s="1">
        <v>1</v>
      </c>
      <c r="E693" s="12">
        <v>45892.120138888888</v>
      </c>
      <c r="F693" s="1" t="s">
        <v>19</v>
      </c>
      <c r="G693" s="1" t="s">
        <v>31</v>
      </c>
      <c r="H693" s="1" t="s">
        <v>14</v>
      </c>
      <c r="I693" s="1" t="s">
        <v>15</v>
      </c>
      <c r="J693" s="1" t="str">
        <f t="shared" si="20"/>
        <v>delivered</v>
      </c>
      <c r="K693" s="1" t="str">
        <f>_xlfn.XLOOKUP(C693, 'Product Catalog'!$A:$A, 'Product Catalog'!$B:$B, "Unknown Product")</f>
        <v>Desk Lamp Model I138</v>
      </c>
      <c r="L693" s="1" t="str">
        <f>_xlfn.XLOOKUP(C693, 'Product Catalog'!$A:$A, 'Product Catalog'!$C:$C, "Unknown Category")</f>
        <v>Home Goods</v>
      </c>
      <c r="M693" s="1">
        <f>_xlfn.XLOOKUP(C693, 'Product Catalog'!$A:$A, 'Product Catalog'!$D:$D, 0)</f>
        <v>94.55</v>
      </c>
      <c r="N693" s="1">
        <f t="shared" si="21"/>
        <v>94.55</v>
      </c>
    </row>
    <row r="694" spans="1:14" x14ac:dyDescent="0.3">
      <c r="A694" s="1" t="s">
        <v>1144</v>
      </c>
      <c r="B694" s="1" t="s">
        <v>111</v>
      </c>
      <c r="C694" s="1" t="s">
        <v>359</v>
      </c>
      <c r="D694" s="1">
        <v>4</v>
      </c>
      <c r="E694" s="12">
        <v>45955.135416666664</v>
      </c>
      <c r="F694" s="1" t="s">
        <v>19</v>
      </c>
      <c r="G694" s="1" t="s">
        <v>50</v>
      </c>
      <c r="H694" s="1" t="s">
        <v>55</v>
      </c>
      <c r="I694" s="1" t="s">
        <v>81</v>
      </c>
      <c r="J694" s="1" t="str">
        <f t="shared" si="20"/>
        <v>REFUNDED</v>
      </c>
      <c r="K694" s="1" t="str">
        <f>_xlfn.XLOOKUP(C694, 'Product Catalog'!$A:$A, 'Product Catalog'!$B:$B, "Unknown Product")</f>
        <v>Hoodie Model H111</v>
      </c>
      <c r="L694" s="1" t="str">
        <f>_xlfn.XLOOKUP(C694, 'Product Catalog'!$A:$A, 'Product Catalog'!$C:$C, "Unknown Category")</f>
        <v>Apparel</v>
      </c>
      <c r="M694" s="1">
        <f>_xlfn.XLOOKUP(C694, 'Product Catalog'!$A:$A, 'Product Catalog'!$D:$D, 0)</f>
        <v>57.44</v>
      </c>
      <c r="N694" s="1">
        <f t="shared" si="21"/>
        <v>229.76</v>
      </c>
    </row>
    <row r="695" spans="1:14" x14ac:dyDescent="0.3">
      <c r="A695" s="1" t="s">
        <v>1145</v>
      </c>
      <c r="B695" s="1" t="s">
        <v>37</v>
      </c>
      <c r="C695" s="1" t="s">
        <v>90</v>
      </c>
      <c r="D695" s="1">
        <v>1</v>
      </c>
      <c r="E695" s="12">
        <v>45916.189583333333</v>
      </c>
      <c r="F695" s="1" t="s">
        <v>19</v>
      </c>
      <c r="G695" s="1" t="s">
        <v>46</v>
      </c>
      <c r="H695" s="1" t="s">
        <v>41</v>
      </c>
      <c r="I695" s="1" t="s">
        <v>15</v>
      </c>
      <c r="J695" s="1" t="str">
        <f t="shared" si="20"/>
        <v>delivered</v>
      </c>
      <c r="K695" s="1" t="str">
        <f>_xlfn.XLOOKUP(C695, 'Product Catalog'!$A:$A, 'Product Catalog'!$B:$B, "Unknown Product")</f>
        <v>VPN 6-Month Pass Model F109</v>
      </c>
      <c r="L695" s="1" t="str">
        <f>_xlfn.XLOOKUP(C695, 'Product Catalog'!$A:$A, 'Product Catalog'!$C:$C, "Unknown Category")</f>
        <v>Digital Services</v>
      </c>
      <c r="M695" s="1">
        <f>_xlfn.XLOOKUP(C695, 'Product Catalog'!$A:$A, 'Product Catalog'!$D:$D, 0)</f>
        <v>22.87</v>
      </c>
      <c r="N695" s="1">
        <f t="shared" si="21"/>
        <v>22.87</v>
      </c>
    </row>
    <row r="696" spans="1:14" x14ac:dyDescent="0.3">
      <c r="A696" s="1" t="s">
        <v>1146</v>
      </c>
      <c r="B696" s="1" t="s">
        <v>270</v>
      </c>
      <c r="C696" s="1" t="s">
        <v>268</v>
      </c>
      <c r="D696" s="1">
        <v>1</v>
      </c>
      <c r="E696" s="12">
        <v>45984.560416666667</v>
      </c>
      <c r="F696" s="1" t="s">
        <v>12</v>
      </c>
      <c r="G696" s="1" t="s">
        <v>13</v>
      </c>
      <c r="H696" s="1" t="s">
        <v>14</v>
      </c>
      <c r="I696" s="1" t="s">
        <v>15</v>
      </c>
      <c r="J696" s="1" t="str">
        <f t="shared" si="20"/>
        <v>delivered</v>
      </c>
      <c r="K696" s="1" t="str">
        <f>_xlfn.XLOOKUP(C696, 'Product Catalog'!$A:$A, 'Product Catalog'!$B:$B, "Unknown Product")</f>
        <v>Sneakers Model P119</v>
      </c>
      <c r="L696" s="1" t="str">
        <f>_xlfn.XLOOKUP(C696, 'Product Catalog'!$A:$A, 'Product Catalog'!$C:$C, "Unknown Category")</f>
        <v>Apparel</v>
      </c>
      <c r="M696" s="1">
        <f>_xlfn.XLOOKUP(C696, 'Product Catalog'!$A:$A, 'Product Catalog'!$D:$D, 0)</f>
        <v>19.329999999999998</v>
      </c>
      <c r="N696" s="1">
        <f t="shared" si="21"/>
        <v>19.329999999999998</v>
      </c>
    </row>
    <row r="697" spans="1:14" x14ac:dyDescent="0.3">
      <c r="A697" s="1" t="s">
        <v>1147</v>
      </c>
      <c r="B697" s="1" t="s">
        <v>97</v>
      </c>
      <c r="C697" s="1" t="s">
        <v>164</v>
      </c>
      <c r="D697" s="1">
        <v>1</v>
      </c>
      <c r="E697" s="12">
        <v>45696.841666666667</v>
      </c>
      <c r="F697" s="1" t="s">
        <v>170</v>
      </c>
      <c r="G697" s="1" t="s">
        <v>31</v>
      </c>
      <c r="H697" s="1" t="s">
        <v>51</v>
      </c>
      <c r="I697" s="1" t="s">
        <v>81</v>
      </c>
      <c r="J697" s="1" t="str">
        <f t="shared" si="20"/>
        <v>REFUNDED</v>
      </c>
      <c r="K697" s="1" t="str">
        <f>_xlfn.XLOOKUP(C697, 'Product Catalog'!$A:$A, 'Product Catalog'!$B:$B, "Unknown Product")</f>
        <v>Gold Bracelet Model A26</v>
      </c>
      <c r="L697" s="1" t="str">
        <f>_xlfn.XLOOKUP(C697, 'Product Catalog'!$A:$A, 'Product Catalog'!$C:$C, "Unknown Category")</f>
        <v>Luxury Goods</v>
      </c>
      <c r="M697" s="1">
        <f>_xlfn.XLOOKUP(C697, 'Product Catalog'!$A:$A, 'Product Catalog'!$D:$D, 0)</f>
        <v>1096.3900000000001</v>
      </c>
      <c r="N697" s="1">
        <f t="shared" si="21"/>
        <v>1096.3900000000001</v>
      </c>
    </row>
    <row r="698" spans="1:14" x14ac:dyDescent="0.3">
      <c r="A698" s="1" t="s">
        <v>1148</v>
      </c>
      <c r="B698" s="1" t="s">
        <v>83</v>
      </c>
      <c r="C698" s="1" t="s">
        <v>176</v>
      </c>
      <c r="D698" s="1">
        <v>1</v>
      </c>
      <c r="E698" s="12">
        <v>45948.088194444441</v>
      </c>
      <c r="F698" s="1" t="s">
        <v>39</v>
      </c>
      <c r="G698" s="1" t="s">
        <v>109</v>
      </c>
      <c r="H698" s="1" t="s">
        <v>51</v>
      </c>
      <c r="I698" s="1" t="s">
        <v>102</v>
      </c>
      <c r="J698" s="1" t="str">
        <f t="shared" si="20"/>
        <v>disputed</v>
      </c>
      <c r="K698" s="1" t="str">
        <f>_xlfn.XLOOKUP(C698, 'Product Catalog'!$A:$A, 'Product Catalog'!$B:$B, "Unknown Product")</f>
        <v>Leather Handbag Model U124</v>
      </c>
      <c r="L698" s="1" t="str">
        <f>_xlfn.XLOOKUP(C698, 'Product Catalog'!$A:$A, 'Product Catalog'!$C:$C, "Unknown Category")</f>
        <v>Luxury Goods</v>
      </c>
      <c r="M698" s="1">
        <f>_xlfn.XLOOKUP(C698, 'Product Catalog'!$A:$A, 'Product Catalog'!$D:$D, 0)</f>
        <v>1880.36</v>
      </c>
      <c r="N698" s="1">
        <f t="shared" si="21"/>
        <v>1880.36</v>
      </c>
    </row>
    <row r="699" spans="1:14" x14ac:dyDescent="0.3">
      <c r="A699" s="1" t="s">
        <v>1149</v>
      </c>
      <c r="B699" s="1" t="s">
        <v>226</v>
      </c>
      <c r="C699" s="1" t="s">
        <v>314</v>
      </c>
      <c r="D699" s="1">
        <v>1</v>
      </c>
      <c r="E699" s="12">
        <v>45880.941666666666</v>
      </c>
      <c r="F699" s="1" t="s">
        <v>19</v>
      </c>
      <c r="G699" s="1" t="s">
        <v>31</v>
      </c>
      <c r="H699" s="1" t="s">
        <v>14</v>
      </c>
      <c r="I699" s="1" t="s">
        <v>15</v>
      </c>
      <c r="J699" s="1" t="str">
        <f t="shared" si="20"/>
        <v>delivered</v>
      </c>
      <c r="K699" s="1" t="str">
        <f>_xlfn.XLOOKUP(C699, 'Product Catalog'!$A:$A, 'Product Catalog'!$B:$B, "Unknown Product")</f>
        <v>Smartwatch Model A104</v>
      </c>
      <c r="L699" s="1" t="str">
        <f>_xlfn.XLOOKUP(C699, 'Product Catalog'!$A:$A, 'Product Catalog'!$C:$C, "Unknown Category")</f>
        <v>Electronics</v>
      </c>
      <c r="M699" s="1">
        <f>_xlfn.XLOOKUP(C699, 'Product Catalog'!$A:$A, 'Product Catalog'!$D:$D, 0)</f>
        <v>80.59</v>
      </c>
      <c r="N699" s="1">
        <f t="shared" si="21"/>
        <v>80.59</v>
      </c>
    </row>
    <row r="700" spans="1:14" x14ac:dyDescent="0.3">
      <c r="A700" s="1" t="s">
        <v>1150</v>
      </c>
      <c r="B700" s="1" t="s">
        <v>414</v>
      </c>
      <c r="C700" s="1" t="s">
        <v>112</v>
      </c>
      <c r="D700" s="1">
        <v>2</v>
      </c>
      <c r="E700" s="12">
        <v>45724.336111111108</v>
      </c>
      <c r="F700" s="1" t="s">
        <v>12</v>
      </c>
      <c r="G700" s="1" t="s">
        <v>20</v>
      </c>
      <c r="H700" s="1" t="s">
        <v>14</v>
      </c>
      <c r="I700" s="1" t="s">
        <v>15</v>
      </c>
      <c r="J700" s="1" t="str">
        <f t="shared" si="20"/>
        <v>delivered</v>
      </c>
      <c r="K700" s="1" t="str">
        <f>_xlfn.XLOOKUP(C700, 'Product Catalog'!$A:$A, 'Product Catalog'!$B:$B, "Unknown Product")</f>
        <v>Mouse Model J87</v>
      </c>
      <c r="L700" s="1" t="str">
        <f>_xlfn.XLOOKUP(C700, 'Product Catalog'!$A:$A, 'Product Catalog'!$C:$C, "Unknown Category")</f>
        <v>Electronics</v>
      </c>
      <c r="M700" s="1">
        <f>_xlfn.XLOOKUP(C700, 'Product Catalog'!$A:$A, 'Product Catalog'!$D:$D, 0)</f>
        <v>164.06</v>
      </c>
      <c r="N700" s="1">
        <f t="shared" si="21"/>
        <v>328.12</v>
      </c>
    </row>
    <row r="701" spans="1:14" x14ac:dyDescent="0.3">
      <c r="A701" s="1" t="s">
        <v>1151</v>
      </c>
      <c r="B701" s="1" t="s">
        <v>461</v>
      </c>
      <c r="C701" s="1" t="s">
        <v>18</v>
      </c>
      <c r="D701" s="1">
        <v>2</v>
      </c>
      <c r="E701" s="12">
        <v>45807.370833333334</v>
      </c>
      <c r="F701" s="1" t="s">
        <v>12</v>
      </c>
      <c r="G701" s="1" t="s">
        <v>46</v>
      </c>
      <c r="H701" s="1" t="s">
        <v>14</v>
      </c>
      <c r="I701" s="1" t="s">
        <v>32</v>
      </c>
      <c r="J701" s="1" t="str">
        <f t="shared" si="20"/>
        <v>SHIPPED</v>
      </c>
      <c r="K701" s="1" t="str">
        <f>_xlfn.XLOOKUP(C701, 'Product Catalog'!$A:$A, 'Product Catalog'!$B:$B, "Unknown Product")</f>
        <v>Sneakers Model H137</v>
      </c>
      <c r="L701" s="1" t="str">
        <f>_xlfn.XLOOKUP(C701, 'Product Catalog'!$A:$A, 'Product Catalog'!$C:$C, "Unknown Category")</f>
        <v>Apparel</v>
      </c>
      <c r="M701" s="1">
        <f>_xlfn.XLOOKUP(C701, 'Product Catalog'!$A:$A, 'Product Catalog'!$D:$D, 0)</f>
        <v>33.53</v>
      </c>
      <c r="N701" s="1">
        <f t="shared" si="21"/>
        <v>67.06</v>
      </c>
    </row>
    <row r="702" spans="1:14" x14ac:dyDescent="0.3">
      <c r="A702" s="1" t="s">
        <v>1152</v>
      </c>
      <c r="B702" s="1" t="s">
        <v>159</v>
      </c>
      <c r="C702" s="1" t="s">
        <v>137</v>
      </c>
      <c r="D702" s="1">
        <v>1</v>
      </c>
      <c r="E702" s="12">
        <v>45819.558333333334</v>
      </c>
      <c r="F702" s="1" t="s">
        <v>19</v>
      </c>
      <c r="G702" s="1" t="s">
        <v>109</v>
      </c>
      <c r="H702" s="1" t="s">
        <v>24</v>
      </c>
      <c r="I702" s="1" t="s">
        <v>15</v>
      </c>
      <c r="J702" s="1" t="str">
        <f t="shared" si="20"/>
        <v>delivered</v>
      </c>
      <c r="K702" s="1" t="str">
        <f>_xlfn.XLOOKUP(C702, 'Product Catalog'!$A:$A, 'Product Catalog'!$B:$B, "Unknown Product")</f>
        <v>VPN 6-Month Pass Model M90</v>
      </c>
      <c r="L702" s="1" t="str">
        <f>_xlfn.XLOOKUP(C702, 'Product Catalog'!$A:$A, 'Product Catalog'!$C:$C, "Unknown Category")</f>
        <v>Digital Services</v>
      </c>
      <c r="M702" s="1">
        <f>_xlfn.XLOOKUP(C702, 'Product Catalog'!$A:$A, 'Product Catalog'!$D:$D, 0)</f>
        <v>5.91</v>
      </c>
      <c r="N702" s="1">
        <f t="shared" si="21"/>
        <v>5.91</v>
      </c>
    </row>
    <row r="703" spans="1:14" x14ac:dyDescent="0.3">
      <c r="A703" s="1" t="s">
        <v>1153</v>
      </c>
      <c r="B703" s="1" t="s">
        <v>950</v>
      </c>
      <c r="C703" s="1" t="s">
        <v>352</v>
      </c>
      <c r="D703" s="1">
        <v>4</v>
      </c>
      <c r="E703" s="12">
        <v>46016.463888888888</v>
      </c>
      <c r="F703" s="1" t="s">
        <v>39</v>
      </c>
      <c r="G703" s="1" t="s">
        <v>40</v>
      </c>
      <c r="H703" s="1" t="s">
        <v>41</v>
      </c>
      <c r="I703" s="1" t="s">
        <v>102</v>
      </c>
      <c r="J703" s="1" t="str">
        <f t="shared" si="20"/>
        <v>disputed</v>
      </c>
      <c r="K703" s="1" t="str">
        <f>_xlfn.XLOOKUP(C703, 'Product Catalog'!$A:$A, 'Product Catalog'!$B:$B, "Unknown Product")</f>
        <v>VPN 6-Month Pass Model U46</v>
      </c>
      <c r="L703" s="1" t="str">
        <f>_xlfn.XLOOKUP(C703, 'Product Catalog'!$A:$A, 'Product Catalog'!$C:$C, "Unknown Category")</f>
        <v>Digital Services</v>
      </c>
      <c r="M703" s="1">
        <f>_xlfn.XLOOKUP(C703, 'Product Catalog'!$A:$A, 'Product Catalog'!$D:$D, 0)</f>
        <v>47.44</v>
      </c>
      <c r="N703" s="1">
        <f t="shared" si="21"/>
        <v>189.76</v>
      </c>
    </row>
    <row r="704" spans="1:14" x14ac:dyDescent="0.3">
      <c r="A704" s="1" t="s">
        <v>1154</v>
      </c>
      <c r="B704" s="1" t="s">
        <v>456</v>
      </c>
      <c r="C704" s="1" t="s">
        <v>758</v>
      </c>
      <c r="D704" s="1">
        <v>1</v>
      </c>
      <c r="E704" s="12">
        <v>45820.643750000003</v>
      </c>
      <c r="F704" s="1" t="s">
        <v>19</v>
      </c>
      <c r="G704" s="1" t="s">
        <v>13</v>
      </c>
      <c r="H704" s="1" t="s">
        <v>14</v>
      </c>
      <c r="I704" s="1" t="s">
        <v>81</v>
      </c>
      <c r="J704" s="1" t="str">
        <f t="shared" si="20"/>
        <v>REFUNDED</v>
      </c>
      <c r="K704" s="1" t="str">
        <f>_xlfn.XLOOKUP(C704, 'Product Catalog'!$A:$A, 'Product Catalog'!$B:$B, "Unknown Product")</f>
        <v>Cloud Storage Basic Model G110</v>
      </c>
      <c r="L704" s="1" t="str">
        <f>_xlfn.XLOOKUP(C704, 'Product Catalog'!$A:$A, 'Product Catalog'!$C:$C, "Unknown Category")</f>
        <v>Digital Services</v>
      </c>
      <c r="M704" s="1">
        <f>_xlfn.XLOOKUP(C704, 'Product Catalog'!$A:$A, 'Product Catalog'!$D:$D, 0)</f>
        <v>53.87</v>
      </c>
      <c r="N704" s="1">
        <f t="shared" si="21"/>
        <v>53.87</v>
      </c>
    </row>
    <row r="705" spans="1:14" x14ac:dyDescent="0.3">
      <c r="A705" s="1" t="s">
        <v>1155</v>
      </c>
      <c r="B705" s="1" t="s">
        <v>116</v>
      </c>
      <c r="C705" s="1" t="s">
        <v>112</v>
      </c>
      <c r="D705" s="1">
        <v>1</v>
      </c>
      <c r="E705" s="12">
        <v>45797.331944444442</v>
      </c>
      <c r="F705" s="1" t="s">
        <v>19</v>
      </c>
      <c r="G705" s="1" t="s">
        <v>13</v>
      </c>
      <c r="H705" s="1" t="s">
        <v>14</v>
      </c>
      <c r="I705" s="1" t="s">
        <v>15</v>
      </c>
      <c r="J705" s="1" t="str">
        <f t="shared" si="20"/>
        <v>delivered</v>
      </c>
      <c r="K705" s="1" t="str">
        <f>_xlfn.XLOOKUP(C705, 'Product Catalog'!$A:$A, 'Product Catalog'!$B:$B, "Unknown Product")</f>
        <v>Mouse Model J87</v>
      </c>
      <c r="L705" s="1" t="str">
        <f>_xlfn.XLOOKUP(C705, 'Product Catalog'!$A:$A, 'Product Catalog'!$C:$C, "Unknown Category")</f>
        <v>Electronics</v>
      </c>
      <c r="M705" s="1">
        <f>_xlfn.XLOOKUP(C705, 'Product Catalog'!$A:$A, 'Product Catalog'!$D:$D, 0)</f>
        <v>164.06</v>
      </c>
      <c r="N705" s="1">
        <f t="shared" si="21"/>
        <v>164.06</v>
      </c>
    </row>
    <row r="706" spans="1:14" x14ac:dyDescent="0.3">
      <c r="A706" s="1" t="s">
        <v>1156</v>
      </c>
      <c r="B706" s="1" t="s">
        <v>530</v>
      </c>
      <c r="C706" s="1" t="s">
        <v>62</v>
      </c>
      <c r="D706" s="1">
        <v>1</v>
      </c>
      <c r="E706" s="12">
        <v>45696.288194444445</v>
      </c>
      <c r="F706" s="1" t="s">
        <v>19</v>
      </c>
      <c r="G706" s="1" t="s">
        <v>109</v>
      </c>
      <c r="H706" s="1" t="s">
        <v>14</v>
      </c>
      <c r="I706" s="1" t="s">
        <v>15</v>
      </c>
      <c r="J706" s="1" t="str">
        <f t="shared" ref="J706:J769" si="22">TRIM(I706)</f>
        <v>delivered</v>
      </c>
      <c r="K706" s="1" t="str">
        <f>_xlfn.XLOOKUP(C706, 'Product Catalog'!$A:$A, 'Product Catalog'!$B:$B, "Unknown Product")</f>
        <v>Cable Model M12</v>
      </c>
      <c r="L706" s="1" t="str">
        <f>_xlfn.XLOOKUP(C706, 'Product Catalog'!$A:$A, 'Product Catalog'!$C:$C, "Unknown Category")</f>
        <v>Electronics</v>
      </c>
      <c r="M706" s="1">
        <f>_xlfn.XLOOKUP(C706, 'Product Catalog'!$A:$A, 'Product Catalog'!$D:$D, 0)</f>
        <v>83.9</v>
      </c>
      <c r="N706" s="1">
        <f t="shared" ref="N706:N769" si="23">D706 * M706</f>
        <v>83.9</v>
      </c>
    </row>
    <row r="707" spans="1:14" x14ac:dyDescent="0.3">
      <c r="A707" s="1" t="s">
        <v>1157</v>
      </c>
      <c r="B707" s="1" t="s">
        <v>241</v>
      </c>
      <c r="C707" s="1" t="s">
        <v>125</v>
      </c>
      <c r="D707" s="1">
        <v>4</v>
      </c>
      <c r="E707" s="12">
        <v>45727.831250000003</v>
      </c>
      <c r="F707" s="1" t="s">
        <v>12</v>
      </c>
      <c r="G707" s="1" t="s">
        <v>50</v>
      </c>
      <c r="H707" s="1" t="s">
        <v>41</v>
      </c>
      <c r="I707" s="1" t="s">
        <v>56</v>
      </c>
      <c r="J707" s="1" t="str">
        <f t="shared" si="22"/>
        <v>cancelled</v>
      </c>
      <c r="K707" s="1" t="str">
        <f>_xlfn.XLOOKUP(C707, 'Product Catalog'!$A:$A, 'Product Catalog'!$B:$B, "Unknown Product")</f>
        <v>Coffee Maker Model J9</v>
      </c>
      <c r="L707" s="1" t="str">
        <f>_xlfn.XLOOKUP(C707, 'Product Catalog'!$A:$A, 'Product Catalog'!$C:$C, "Unknown Category")</f>
        <v>Home Goods</v>
      </c>
      <c r="M707" s="1">
        <f>_xlfn.XLOOKUP(C707, 'Product Catalog'!$A:$A, 'Product Catalog'!$D:$D, 0)</f>
        <v>34.840000000000003</v>
      </c>
      <c r="N707" s="1">
        <f t="shared" si="23"/>
        <v>139.36000000000001</v>
      </c>
    </row>
    <row r="708" spans="1:14" x14ac:dyDescent="0.3">
      <c r="A708" s="1" t="s">
        <v>1158</v>
      </c>
      <c r="B708" s="1" t="s">
        <v>589</v>
      </c>
      <c r="C708" s="1" t="s">
        <v>512</v>
      </c>
      <c r="D708" s="1">
        <v>1</v>
      </c>
      <c r="E708" s="12">
        <v>45713.220833333333</v>
      </c>
      <c r="F708" s="1" t="s">
        <v>170</v>
      </c>
      <c r="G708" s="1" t="s">
        <v>20</v>
      </c>
      <c r="H708" s="1" t="s">
        <v>41</v>
      </c>
      <c r="I708" s="1" t="s">
        <v>81</v>
      </c>
      <c r="J708" s="1" t="str">
        <f t="shared" si="22"/>
        <v>REFUNDED</v>
      </c>
      <c r="K708" s="1" t="str">
        <f>_xlfn.XLOOKUP(C708, 'Product Catalog'!$A:$A, 'Product Catalog'!$B:$B, "Unknown Product")</f>
        <v>Designer Watch Model M116</v>
      </c>
      <c r="L708" s="1" t="str">
        <f>_xlfn.XLOOKUP(C708, 'Product Catalog'!$A:$A, 'Product Catalog'!$C:$C, "Unknown Category")</f>
        <v>Luxury Goods</v>
      </c>
      <c r="M708" s="1">
        <f>_xlfn.XLOOKUP(C708, 'Product Catalog'!$A:$A, 'Product Catalog'!$D:$D, 0)</f>
        <v>968.52</v>
      </c>
      <c r="N708" s="1">
        <f t="shared" si="23"/>
        <v>968.52</v>
      </c>
    </row>
    <row r="709" spans="1:14" x14ac:dyDescent="0.3">
      <c r="A709" s="1" t="s">
        <v>1159</v>
      </c>
      <c r="B709" s="1" t="s">
        <v>553</v>
      </c>
      <c r="C709" s="1" t="s">
        <v>27</v>
      </c>
      <c r="D709" s="1">
        <v>1</v>
      </c>
      <c r="E709" s="12">
        <v>45712.23333333333</v>
      </c>
      <c r="F709" s="1" t="s">
        <v>19</v>
      </c>
      <c r="G709" s="1" t="s">
        <v>31</v>
      </c>
      <c r="H709" s="1" t="s">
        <v>14</v>
      </c>
      <c r="I709" s="1" t="s">
        <v>15</v>
      </c>
      <c r="J709" s="1" t="str">
        <f t="shared" si="22"/>
        <v>delivered</v>
      </c>
      <c r="K709" s="1" t="str">
        <f>_xlfn.XLOOKUP(C709, 'Product Catalog'!$A:$A, 'Product Catalog'!$B:$B, "Unknown Product")</f>
        <v>Premium Stream 1M Model B53</v>
      </c>
      <c r="L709" s="1" t="str">
        <f>_xlfn.XLOOKUP(C709, 'Product Catalog'!$A:$A, 'Product Catalog'!$C:$C, "Unknown Category")</f>
        <v>Digital Services</v>
      </c>
      <c r="M709" s="1">
        <f>_xlfn.XLOOKUP(C709, 'Product Catalog'!$A:$A, 'Product Catalog'!$D:$D, 0)</f>
        <v>13.87</v>
      </c>
      <c r="N709" s="1">
        <f t="shared" si="23"/>
        <v>13.87</v>
      </c>
    </row>
    <row r="710" spans="1:14" x14ac:dyDescent="0.3">
      <c r="A710" s="1" t="s">
        <v>1160</v>
      </c>
      <c r="B710" s="1" t="s">
        <v>891</v>
      </c>
      <c r="C710" s="1" t="s">
        <v>691</v>
      </c>
      <c r="D710" s="1">
        <v>4</v>
      </c>
      <c r="E710" s="12">
        <v>45888.662499999999</v>
      </c>
      <c r="F710" s="1" t="s">
        <v>19</v>
      </c>
      <c r="G710" s="1" t="s">
        <v>50</v>
      </c>
      <c r="H710" s="1" t="s">
        <v>41</v>
      </c>
      <c r="I710" s="1" t="s">
        <v>42</v>
      </c>
      <c r="J710" s="1" t="str">
        <f t="shared" si="22"/>
        <v>PENDING_REVIEW</v>
      </c>
      <c r="K710" s="1" t="str">
        <f>_xlfn.XLOOKUP(C710, 'Product Catalog'!$A:$A, 'Product Catalog'!$B:$B, "Unknown Product")</f>
        <v>Designer Watch Model T123</v>
      </c>
      <c r="L710" s="1" t="str">
        <f>_xlfn.XLOOKUP(C710, 'Product Catalog'!$A:$A, 'Product Catalog'!$C:$C, "Unknown Category")</f>
        <v>Luxury Goods</v>
      </c>
      <c r="M710" s="1">
        <f>_xlfn.XLOOKUP(C710, 'Product Catalog'!$A:$A, 'Product Catalog'!$D:$D, 0)</f>
        <v>1301.92</v>
      </c>
      <c r="N710" s="1">
        <f t="shared" si="23"/>
        <v>5207.68</v>
      </c>
    </row>
    <row r="711" spans="1:14" x14ac:dyDescent="0.3">
      <c r="A711" s="1" t="s">
        <v>1161</v>
      </c>
      <c r="B711" s="1" t="s">
        <v>773</v>
      </c>
      <c r="C711" s="1" t="s">
        <v>213</v>
      </c>
      <c r="D711" s="1">
        <v>1</v>
      </c>
      <c r="E711" s="12">
        <v>45818.577777777777</v>
      </c>
      <c r="F711" s="1" t="s">
        <v>19</v>
      </c>
      <c r="G711" s="1" t="s">
        <v>13</v>
      </c>
      <c r="H711" s="1" t="s">
        <v>24</v>
      </c>
      <c r="I711" s="1" t="s">
        <v>15</v>
      </c>
      <c r="J711" s="1" t="str">
        <f t="shared" si="22"/>
        <v>delivered</v>
      </c>
      <c r="K711" s="1" t="str">
        <f>_xlfn.XLOOKUP(C711, 'Product Catalog'!$A:$A, 'Product Catalog'!$B:$B, "Unknown Product")</f>
        <v>Cloud Storage Basic Model L63</v>
      </c>
      <c r="L711" s="1" t="str">
        <f>_xlfn.XLOOKUP(C711, 'Product Catalog'!$A:$A, 'Product Catalog'!$C:$C, "Unknown Category")</f>
        <v>Digital Services</v>
      </c>
      <c r="M711" s="1">
        <f>_xlfn.XLOOKUP(C711, 'Product Catalog'!$A:$A, 'Product Catalog'!$D:$D, 0)</f>
        <v>20.48</v>
      </c>
      <c r="N711" s="1">
        <f t="shared" si="23"/>
        <v>20.48</v>
      </c>
    </row>
    <row r="712" spans="1:14" x14ac:dyDescent="0.3">
      <c r="A712" s="1" t="s">
        <v>1162</v>
      </c>
      <c r="B712" s="1" t="s">
        <v>37</v>
      </c>
      <c r="C712" s="1" t="s">
        <v>30</v>
      </c>
      <c r="D712" s="1">
        <v>1</v>
      </c>
      <c r="E712" s="12">
        <v>45719.761805555558</v>
      </c>
      <c r="F712" s="1" t="s">
        <v>19</v>
      </c>
      <c r="G712" s="1" t="s">
        <v>46</v>
      </c>
      <c r="H712" s="1" t="s">
        <v>41</v>
      </c>
      <c r="I712" s="1" t="s">
        <v>15</v>
      </c>
      <c r="J712" s="1" t="str">
        <f t="shared" si="22"/>
        <v>delivered</v>
      </c>
      <c r="K712" s="1" t="str">
        <f>_xlfn.XLOOKUP(C712, 'Product Catalog'!$A:$A, 'Product Catalog'!$B:$B, "Unknown Product")</f>
        <v>VPN 6-Month Pass Model B131</v>
      </c>
      <c r="L712" s="1" t="str">
        <f>_xlfn.XLOOKUP(C712, 'Product Catalog'!$A:$A, 'Product Catalog'!$C:$C, "Unknown Category")</f>
        <v>Digital Services</v>
      </c>
      <c r="M712" s="1">
        <f>_xlfn.XLOOKUP(C712, 'Product Catalog'!$A:$A, 'Product Catalog'!$D:$D, 0)</f>
        <v>46.92</v>
      </c>
      <c r="N712" s="1">
        <f t="shared" si="23"/>
        <v>46.92</v>
      </c>
    </row>
    <row r="713" spans="1:14" x14ac:dyDescent="0.3">
      <c r="A713" s="1" t="s">
        <v>1163</v>
      </c>
      <c r="B713" s="1" t="s">
        <v>1164</v>
      </c>
      <c r="C713" s="1" t="s">
        <v>30</v>
      </c>
      <c r="D713" s="1">
        <v>1</v>
      </c>
      <c r="E713" s="12">
        <v>45841.295138888891</v>
      </c>
      <c r="F713" s="1" t="s">
        <v>19</v>
      </c>
      <c r="G713" s="1" t="s">
        <v>20</v>
      </c>
      <c r="H713" s="1" t="s">
        <v>41</v>
      </c>
      <c r="I713" s="1" t="s">
        <v>15</v>
      </c>
      <c r="J713" s="1" t="str">
        <f t="shared" si="22"/>
        <v>delivered</v>
      </c>
      <c r="K713" s="1" t="str">
        <f>_xlfn.XLOOKUP(C713, 'Product Catalog'!$A:$A, 'Product Catalog'!$B:$B, "Unknown Product")</f>
        <v>VPN 6-Month Pass Model B131</v>
      </c>
      <c r="L713" s="1" t="str">
        <f>_xlfn.XLOOKUP(C713, 'Product Catalog'!$A:$A, 'Product Catalog'!$C:$C, "Unknown Category")</f>
        <v>Digital Services</v>
      </c>
      <c r="M713" s="1">
        <f>_xlfn.XLOOKUP(C713, 'Product Catalog'!$A:$A, 'Product Catalog'!$D:$D, 0)</f>
        <v>46.92</v>
      </c>
      <c r="N713" s="1">
        <f t="shared" si="23"/>
        <v>46.92</v>
      </c>
    </row>
    <row r="714" spans="1:14" x14ac:dyDescent="0.3">
      <c r="A714" s="1" t="s">
        <v>1165</v>
      </c>
      <c r="B714" s="1" t="s">
        <v>589</v>
      </c>
      <c r="C714" s="1" t="s">
        <v>84</v>
      </c>
      <c r="D714" s="1">
        <v>1</v>
      </c>
      <c r="E714" s="12">
        <v>45889.438194444447</v>
      </c>
      <c r="F714" s="1" t="s">
        <v>39</v>
      </c>
      <c r="G714" s="1" t="s">
        <v>40</v>
      </c>
      <c r="H714" s="1" t="s">
        <v>51</v>
      </c>
      <c r="I714" s="1" t="s">
        <v>42</v>
      </c>
      <c r="J714" s="1" t="str">
        <f t="shared" si="22"/>
        <v>PENDING_REVIEW</v>
      </c>
      <c r="K714" s="1" t="str">
        <f>_xlfn.XLOOKUP(C714, 'Product Catalog'!$A:$A, 'Product Catalog'!$B:$B, "Unknown Product")</f>
        <v>Smartwatch Model J35</v>
      </c>
      <c r="L714" s="1" t="str">
        <f>_xlfn.XLOOKUP(C714, 'Product Catalog'!$A:$A, 'Product Catalog'!$C:$C, "Unknown Category")</f>
        <v>Electronics</v>
      </c>
      <c r="M714" s="1">
        <f>_xlfn.XLOOKUP(C714, 'Product Catalog'!$A:$A, 'Product Catalog'!$D:$D, 0)</f>
        <v>161.94999999999999</v>
      </c>
      <c r="N714" s="1">
        <f t="shared" si="23"/>
        <v>161.94999999999999</v>
      </c>
    </row>
    <row r="715" spans="1:14" x14ac:dyDescent="0.3">
      <c r="A715" s="1" t="s">
        <v>1166</v>
      </c>
      <c r="B715" s="1" t="s">
        <v>765</v>
      </c>
      <c r="C715" s="1" t="s">
        <v>250</v>
      </c>
      <c r="D715" s="1">
        <v>2</v>
      </c>
      <c r="E715" s="12">
        <v>45895.376388888886</v>
      </c>
      <c r="F715" s="1" t="s">
        <v>19</v>
      </c>
      <c r="G715" s="1" t="s">
        <v>13</v>
      </c>
      <c r="H715" s="1" t="s">
        <v>41</v>
      </c>
      <c r="I715" s="1" t="s">
        <v>15</v>
      </c>
      <c r="J715" s="1" t="str">
        <f t="shared" si="22"/>
        <v>delivered</v>
      </c>
      <c r="K715" s="1" t="str">
        <f>_xlfn.XLOOKUP(C715, 'Product Catalog'!$A:$A, 'Product Catalog'!$B:$B, "Unknown Product")</f>
        <v>Keyboard Model U98</v>
      </c>
      <c r="L715" s="1" t="str">
        <f>_xlfn.XLOOKUP(C715, 'Product Catalog'!$A:$A, 'Product Catalog'!$C:$C, "Unknown Category")</f>
        <v>Electronics</v>
      </c>
      <c r="M715" s="1">
        <f>_xlfn.XLOOKUP(C715, 'Product Catalog'!$A:$A, 'Product Catalog'!$D:$D, 0)</f>
        <v>188.09</v>
      </c>
      <c r="N715" s="1">
        <f t="shared" si="23"/>
        <v>376.18</v>
      </c>
    </row>
    <row r="716" spans="1:14" x14ac:dyDescent="0.3">
      <c r="A716" s="1" t="s">
        <v>1167</v>
      </c>
      <c r="B716" s="1" t="s">
        <v>147</v>
      </c>
      <c r="C716" s="1" t="s">
        <v>45</v>
      </c>
      <c r="D716" s="1">
        <v>1</v>
      </c>
      <c r="E716" s="12">
        <v>45719.128472222219</v>
      </c>
      <c r="F716" s="1" t="s">
        <v>12</v>
      </c>
      <c r="G716" s="1" t="s">
        <v>31</v>
      </c>
      <c r="H716" s="1" t="s">
        <v>14</v>
      </c>
      <c r="I716" s="1" t="s">
        <v>15</v>
      </c>
      <c r="J716" s="1" t="str">
        <f t="shared" si="22"/>
        <v>delivered</v>
      </c>
      <c r="K716" s="1" t="str">
        <f>_xlfn.XLOOKUP(C716, 'Product Catalog'!$A:$A, 'Product Catalog'!$B:$B, "Unknown Product")</f>
        <v>Jacket Model N91</v>
      </c>
      <c r="L716" s="1" t="str">
        <f>_xlfn.XLOOKUP(C716, 'Product Catalog'!$A:$A, 'Product Catalog'!$C:$C, "Unknown Category")</f>
        <v>Apparel</v>
      </c>
      <c r="M716" s="1">
        <f>_xlfn.XLOOKUP(C716, 'Product Catalog'!$A:$A, 'Product Catalog'!$D:$D, 0)</f>
        <v>13.96</v>
      </c>
      <c r="N716" s="1">
        <f t="shared" si="23"/>
        <v>13.96</v>
      </c>
    </row>
    <row r="717" spans="1:14" x14ac:dyDescent="0.3">
      <c r="A717" s="1" t="s">
        <v>1168</v>
      </c>
      <c r="B717" s="1" t="s">
        <v>434</v>
      </c>
      <c r="C717" s="1" t="s">
        <v>309</v>
      </c>
      <c r="D717" s="1">
        <v>1</v>
      </c>
      <c r="E717" s="12">
        <v>45738.975694444445</v>
      </c>
      <c r="F717" s="1" t="s">
        <v>19</v>
      </c>
      <c r="G717" s="1" t="s">
        <v>13</v>
      </c>
      <c r="H717" s="1" t="s">
        <v>14</v>
      </c>
      <c r="I717" s="1" t="s">
        <v>15</v>
      </c>
      <c r="J717" s="1" t="str">
        <f t="shared" si="22"/>
        <v>delivered</v>
      </c>
      <c r="K717" s="1" t="str">
        <f>_xlfn.XLOOKUP(C717, 'Product Catalog'!$A:$A, 'Product Catalog'!$B:$B, "Unknown Product")</f>
        <v>Sneakers Model C2</v>
      </c>
      <c r="L717" s="1" t="str">
        <f>_xlfn.XLOOKUP(C717, 'Product Catalog'!$A:$A, 'Product Catalog'!$C:$C, "Unknown Category")</f>
        <v>Apparel</v>
      </c>
      <c r="M717" s="1">
        <f>_xlfn.XLOOKUP(C717, 'Product Catalog'!$A:$A, 'Product Catalog'!$D:$D, 0)</f>
        <v>21.27</v>
      </c>
      <c r="N717" s="1">
        <f t="shared" si="23"/>
        <v>21.27</v>
      </c>
    </row>
    <row r="718" spans="1:14" x14ac:dyDescent="0.3">
      <c r="A718" s="1" t="s">
        <v>1169</v>
      </c>
      <c r="B718" s="1" t="s">
        <v>48</v>
      </c>
      <c r="C718" s="1" t="s">
        <v>247</v>
      </c>
      <c r="D718" s="1">
        <v>4</v>
      </c>
      <c r="E718" s="12">
        <v>45813.990972222222</v>
      </c>
      <c r="F718" s="1" t="s">
        <v>39</v>
      </c>
      <c r="G718" s="1" t="s">
        <v>46</v>
      </c>
      <c r="H718" s="1" t="s">
        <v>51</v>
      </c>
      <c r="I718" s="1" t="s">
        <v>102</v>
      </c>
      <c r="J718" s="1" t="str">
        <f t="shared" si="22"/>
        <v>disputed</v>
      </c>
      <c r="K718" s="1" t="str">
        <f>_xlfn.XLOOKUP(C718, 'Product Catalog'!$A:$A, 'Product Catalog'!$B:$B, "Unknown Product")</f>
        <v>Silk Scarf Model N117</v>
      </c>
      <c r="L718" s="1" t="str">
        <f>_xlfn.XLOOKUP(C718, 'Product Catalog'!$A:$A, 'Product Catalog'!$C:$C, "Unknown Category")</f>
        <v>Luxury Goods</v>
      </c>
      <c r="M718" s="1">
        <f>_xlfn.XLOOKUP(C718, 'Product Catalog'!$A:$A, 'Product Catalog'!$D:$D, 0)</f>
        <v>1740.35</v>
      </c>
      <c r="N718" s="1">
        <f t="shared" si="23"/>
        <v>6961.4</v>
      </c>
    </row>
    <row r="719" spans="1:14" x14ac:dyDescent="0.3">
      <c r="A719" s="1" t="s">
        <v>1170</v>
      </c>
      <c r="B719" s="1" t="s">
        <v>533</v>
      </c>
      <c r="C719" s="1" t="s">
        <v>200</v>
      </c>
      <c r="D719" s="1">
        <v>1</v>
      </c>
      <c r="E719" s="12">
        <v>45966.056944444441</v>
      </c>
      <c r="F719" s="1" t="s">
        <v>19</v>
      </c>
      <c r="G719" s="1" t="s">
        <v>31</v>
      </c>
      <c r="H719" s="1" t="s">
        <v>14</v>
      </c>
      <c r="I719" s="1" t="s">
        <v>15</v>
      </c>
      <c r="J719" s="1" t="str">
        <f t="shared" si="22"/>
        <v>delivered</v>
      </c>
      <c r="K719" s="1" t="str">
        <f>_xlfn.XLOOKUP(C719, 'Product Catalog'!$A:$A, 'Product Catalog'!$B:$B, "Unknown Product")</f>
        <v>Socks Model G58</v>
      </c>
      <c r="L719" s="1" t="str">
        <f>_xlfn.XLOOKUP(C719, 'Product Catalog'!$A:$A, 'Product Catalog'!$C:$C, "Unknown Category")</f>
        <v>Apparel</v>
      </c>
      <c r="M719" s="1">
        <f>_xlfn.XLOOKUP(C719, 'Product Catalog'!$A:$A, 'Product Catalog'!$D:$D, 0)</f>
        <v>30.18</v>
      </c>
      <c r="N719" s="1">
        <f t="shared" si="23"/>
        <v>30.18</v>
      </c>
    </row>
    <row r="720" spans="1:14" x14ac:dyDescent="0.3">
      <c r="A720" s="1" t="s">
        <v>1171</v>
      </c>
      <c r="B720" s="1" t="s">
        <v>58</v>
      </c>
      <c r="C720" s="1" t="s">
        <v>352</v>
      </c>
      <c r="D720" s="1">
        <v>1</v>
      </c>
      <c r="E720" s="12">
        <v>45768.46597222222</v>
      </c>
      <c r="F720" s="1" t="s">
        <v>19</v>
      </c>
      <c r="G720" s="1" t="s">
        <v>20</v>
      </c>
      <c r="H720" s="1" t="s">
        <v>14</v>
      </c>
      <c r="I720" s="1" t="s">
        <v>15</v>
      </c>
      <c r="J720" s="1" t="str">
        <f t="shared" si="22"/>
        <v>delivered</v>
      </c>
      <c r="K720" s="1" t="str">
        <f>_xlfn.XLOOKUP(C720, 'Product Catalog'!$A:$A, 'Product Catalog'!$B:$B, "Unknown Product")</f>
        <v>VPN 6-Month Pass Model U46</v>
      </c>
      <c r="L720" s="1" t="str">
        <f>_xlfn.XLOOKUP(C720, 'Product Catalog'!$A:$A, 'Product Catalog'!$C:$C, "Unknown Category")</f>
        <v>Digital Services</v>
      </c>
      <c r="M720" s="1">
        <f>_xlfn.XLOOKUP(C720, 'Product Catalog'!$A:$A, 'Product Catalog'!$D:$D, 0)</f>
        <v>47.44</v>
      </c>
      <c r="N720" s="1">
        <f t="shared" si="23"/>
        <v>47.44</v>
      </c>
    </row>
    <row r="721" spans="1:14" x14ac:dyDescent="0.3">
      <c r="A721" s="1" t="s">
        <v>1172</v>
      </c>
      <c r="B721" s="1" t="s">
        <v>570</v>
      </c>
      <c r="C721" s="1" t="s">
        <v>108</v>
      </c>
      <c r="D721" s="1">
        <v>1</v>
      </c>
      <c r="E721" s="12">
        <v>45733.129166666666</v>
      </c>
      <c r="F721" s="1" t="s">
        <v>12</v>
      </c>
      <c r="G721" s="1" t="s">
        <v>109</v>
      </c>
      <c r="H721" s="1" t="s">
        <v>41</v>
      </c>
      <c r="I721" s="1" t="s">
        <v>15</v>
      </c>
      <c r="J721" s="1" t="str">
        <f t="shared" si="22"/>
        <v>delivered</v>
      </c>
      <c r="K721" s="1" t="str">
        <f>_xlfn.XLOOKUP(C721, 'Product Catalog'!$A:$A, 'Product Catalog'!$B:$B, "Unknown Product")</f>
        <v>Smartwatch Model H7</v>
      </c>
      <c r="L721" s="1" t="str">
        <f>_xlfn.XLOOKUP(C721, 'Product Catalog'!$A:$A, 'Product Catalog'!$C:$C, "Unknown Category")</f>
        <v>Electronics</v>
      </c>
      <c r="M721" s="1">
        <f>_xlfn.XLOOKUP(C721, 'Product Catalog'!$A:$A, 'Product Catalog'!$D:$D, 0)</f>
        <v>204.37</v>
      </c>
      <c r="N721" s="1">
        <f t="shared" si="23"/>
        <v>204.37</v>
      </c>
    </row>
    <row r="722" spans="1:14" x14ac:dyDescent="0.3">
      <c r="A722" s="1" t="s">
        <v>1173</v>
      </c>
      <c r="B722" s="1" t="s">
        <v>322</v>
      </c>
      <c r="C722" s="1" t="s">
        <v>817</v>
      </c>
      <c r="D722" s="1">
        <v>1</v>
      </c>
      <c r="E722" s="12">
        <v>45785.505555555559</v>
      </c>
      <c r="F722" s="1" t="s">
        <v>19</v>
      </c>
      <c r="G722" s="1" t="s">
        <v>46</v>
      </c>
      <c r="H722" s="1" t="s">
        <v>24</v>
      </c>
      <c r="I722" s="1" t="s">
        <v>15</v>
      </c>
      <c r="J722" s="1" t="str">
        <f t="shared" si="22"/>
        <v>delivered</v>
      </c>
      <c r="K722" s="1" t="str">
        <f>_xlfn.XLOOKUP(C722, 'Product Catalog'!$A:$A, 'Product Catalog'!$B:$B, "Unknown Product")</f>
        <v>Desk Lamp Model D81</v>
      </c>
      <c r="L722" s="1" t="str">
        <f>_xlfn.XLOOKUP(C722, 'Product Catalog'!$A:$A, 'Product Catalog'!$C:$C, "Unknown Category")</f>
        <v>Home Goods</v>
      </c>
      <c r="M722" s="1">
        <f>_xlfn.XLOOKUP(C722, 'Product Catalog'!$A:$A, 'Product Catalog'!$D:$D, 0)</f>
        <v>177.42</v>
      </c>
      <c r="N722" s="1">
        <f t="shared" si="23"/>
        <v>177.42</v>
      </c>
    </row>
    <row r="723" spans="1:14" x14ac:dyDescent="0.3">
      <c r="A723" s="1" t="s">
        <v>1174</v>
      </c>
      <c r="B723" s="1" t="s">
        <v>361</v>
      </c>
      <c r="C723" s="1" t="s">
        <v>216</v>
      </c>
      <c r="D723" s="1">
        <v>1</v>
      </c>
      <c r="E723" s="12">
        <v>45860.729861111111</v>
      </c>
      <c r="F723" s="1" t="s">
        <v>12</v>
      </c>
      <c r="G723" s="1" t="s">
        <v>31</v>
      </c>
      <c r="H723" s="1" t="s">
        <v>41</v>
      </c>
      <c r="I723" s="1" t="s">
        <v>56</v>
      </c>
      <c r="J723" s="1" t="str">
        <f t="shared" si="22"/>
        <v>cancelled</v>
      </c>
      <c r="K723" s="1" t="str">
        <f>_xlfn.XLOOKUP(C723, 'Product Catalog'!$A:$A, 'Product Catalog'!$B:$B, "Unknown Product")</f>
        <v>Premium Perfume Model X23</v>
      </c>
      <c r="L723" s="1" t="str">
        <f>_xlfn.XLOOKUP(C723, 'Product Catalog'!$A:$A, 'Product Catalog'!$C:$C, "Unknown Category")</f>
        <v>Luxury Goods</v>
      </c>
      <c r="M723" s="1">
        <f>_xlfn.XLOOKUP(C723, 'Product Catalog'!$A:$A, 'Product Catalog'!$D:$D, 0)</f>
        <v>767.78</v>
      </c>
      <c r="N723" s="1">
        <f t="shared" si="23"/>
        <v>767.78</v>
      </c>
    </row>
    <row r="724" spans="1:14" x14ac:dyDescent="0.3">
      <c r="A724" s="1" t="s">
        <v>1175</v>
      </c>
      <c r="B724" s="1" t="s">
        <v>124</v>
      </c>
      <c r="C724" s="1" t="s">
        <v>49</v>
      </c>
      <c r="D724" s="1">
        <v>1</v>
      </c>
      <c r="E724" s="12">
        <v>45683.962500000001</v>
      </c>
      <c r="F724" s="1" t="s">
        <v>39</v>
      </c>
      <c r="G724" s="1" t="s">
        <v>40</v>
      </c>
      <c r="H724" s="1" t="s">
        <v>41</v>
      </c>
      <c r="I724" s="1" t="s">
        <v>42</v>
      </c>
      <c r="J724" s="1" t="str">
        <f t="shared" si="22"/>
        <v>PENDING_REVIEW</v>
      </c>
      <c r="K724" s="1" t="str">
        <f>_xlfn.XLOOKUP(C724, 'Product Catalog'!$A:$A, 'Product Catalog'!$B:$B, "Unknown Product")</f>
        <v>E-Book Access Model Y76</v>
      </c>
      <c r="L724" s="1" t="str">
        <f>_xlfn.XLOOKUP(C724, 'Product Catalog'!$A:$A, 'Product Catalog'!$C:$C, "Unknown Category")</f>
        <v>Digital Services</v>
      </c>
      <c r="M724" s="1">
        <f>_xlfn.XLOOKUP(C724, 'Product Catalog'!$A:$A, 'Product Catalog'!$D:$D, 0)</f>
        <v>92.33</v>
      </c>
      <c r="N724" s="1">
        <f t="shared" si="23"/>
        <v>92.33</v>
      </c>
    </row>
    <row r="725" spans="1:14" x14ac:dyDescent="0.3">
      <c r="A725" s="1" t="s">
        <v>1176</v>
      </c>
      <c r="B725" s="1" t="s">
        <v>977</v>
      </c>
      <c r="C725" s="1" t="s">
        <v>409</v>
      </c>
      <c r="D725" s="1">
        <v>1</v>
      </c>
      <c r="E725" s="12">
        <v>45811.369444444441</v>
      </c>
      <c r="F725" s="1" t="s">
        <v>170</v>
      </c>
      <c r="G725" s="1" t="s">
        <v>40</v>
      </c>
      <c r="H725" s="1" t="s">
        <v>55</v>
      </c>
      <c r="I725" s="1" t="s">
        <v>56</v>
      </c>
      <c r="J725" s="1" t="str">
        <f t="shared" si="22"/>
        <v>cancelled</v>
      </c>
      <c r="K725" s="1" t="str">
        <f>_xlfn.XLOOKUP(C725, 'Product Catalog'!$A:$A, 'Product Catalog'!$B:$B, "Unknown Product")</f>
        <v>Desk Lamp Model I34</v>
      </c>
      <c r="L725" s="1" t="str">
        <f>_xlfn.XLOOKUP(C725, 'Product Catalog'!$A:$A, 'Product Catalog'!$C:$C, "Unknown Category")</f>
        <v>Home Goods</v>
      </c>
      <c r="M725" s="1">
        <f>_xlfn.XLOOKUP(C725, 'Product Catalog'!$A:$A, 'Product Catalog'!$D:$D, 0)</f>
        <v>141.91</v>
      </c>
      <c r="N725" s="1">
        <f t="shared" si="23"/>
        <v>141.91</v>
      </c>
    </row>
    <row r="726" spans="1:14" x14ac:dyDescent="0.3">
      <c r="A726" s="1" t="s">
        <v>1177</v>
      </c>
      <c r="B726" s="1" t="s">
        <v>336</v>
      </c>
      <c r="C726" s="1" t="s">
        <v>879</v>
      </c>
      <c r="D726" s="1">
        <v>3</v>
      </c>
      <c r="E726" s="12">
        <v>45747.043749999997</v>
      </c>
      <c r="F726" s="1" t="s">
        <v>19</v>
      </c>
      <c r="G726" s="1" t="s">
        <v>31</v>
      </c>
      <c r="H726" s="1" t="s">
        <v>14</v>
      </c>
      <c r="I726" s="1" t="s">
        <v>15</v>
      </c>
      <c r="J726" s="1" t="str">
        <f t="shared" si="22"/>
        <v>delivered</v>
      </c>
      <c r="K726" s="1" t="str">
        <f>_xlfn.XLOOKUP(C726, 'Product Catalog'!$A:$A, 'Product Catalog'!$B:$B, "Unknown Product")</f>
        <v>Toaster Model I8</v>
      </c>
      <c r="L726" s="1" t="str">
        <f>_xlfn.XLOOKUP(C726, 'Product Catalog'!$A:$A, 'Product Catalog'!$C:$C, "Unknown Category")</f>
        <v>Home Goods</v>
      </c>
      <c r="M726" s="1">
        <f>_xlfn.XLOOKUP(C726, 'Product Catalog'!$A:$A, 'Product Catalog'!$D:$D, 0)</f>
        <v>44.88</v>
      </c>
      <c r="N726" s="1">
        <f t="shared" si="23"/>
        <v>134.64000000000001</v>
      </c>
    </row>
    <row r="727" spans="1:14" x14ac:dyDescent="0.3">
      <c r="A727" s="1" t="s">
        <v>1178</v>
      </c>
      <c r="B727" s="1" t="s">
        <v>169</v>
      </c>
      <c r="C727" s="1" t="s">
        <v>758</v>
      </c>
      <c r="D727" s="1">
        <v>1</v>
      </c>
      <c r="E727" s="12">
        <v>45865.643055555556</v>
      </c>
      <c r="F727" s="1" t="s">
        <v>170</v>
      </c>
      <c r="G727" s="1" t="s">
        <v>40</v>
      </c>
      <c r="H727" s="1" t="s">
        <v>51</v>
      </c>
      <c r="I727" s="1" t="s">
        <v>56</v>
      </c>
      <c r="J727" s="1" t="str">
        <f t="shared" si="22"/>
        <v>cancelled</v>
      </c>
      <c r="K727" s="1" t="str">
        <f>_xlfn.XLOOKUP(C727, 'Product Catalog'!$A:$A, 'Product Catalog'!$B:$B, "Unknown Product")</f>
        <v>Cloud Storage Basic Model G110</v>
      </c>
      <c r="L727" s="1" t="str">
        <f>_xlfn.XLOOKUP(C727, 'Product Catalog'!$A:$A, 'Product Catalog'!$C:$C, "Unknown Category")</f>
        <v>Digital Services</v>
      </c>
      <c r="M727" s="1">
        <f>_xlfn.XLOOKUP(C727, 'Product Catalog'!$A:$A, 'Product Catalog'!$D:$D, 0)</f>
        <v>53.87</v>
      </c>
      <c r="N727" s="1">
        <f t="shared" si="23"/>
        <v>53.87</v>
      </c>
    </row>
    <row r="728" spans="1:14" x14ac:dyDescent="0.3">
      <c r="A728" s="1" t="s">
        <v>1179</v>
      </c>
      <c r="B728" s="1" t="s">
        <v>488</v>
      </c>
      <c r="C728" s="1" t="s">
        <v>851</v>
      </c>
      <c r="D728" s="1">
        <v>2</v>
      </c>
      <c r="E728" s="12">
        <v>45942.781944444447</v>
      </c>
      <c r="F728" s="1" t="s">
        <v>19</v>
      </c>
      <c r="G728" s="1" t="s">
        <v>109</v>
      </c>
      <c r="H728" s="1" t="s">
        <v>41</v>
      </c>
      <c r="I728" s="1" t="s">
        <v>15</v>
      </c>
      <c r="J728" s="1" t="str">
        <f t="shared" si="22"/>
        <v>delivered</v>
      </c>
      <c r="K728" s="1" t="str">
        <f>_xlfn.XLOOKUP(C728, 'Product Catalog'!$A:$A, 'Product Catalog'!$B:$B, "Unknown Product")</f>
        <v>Charger Model H59</v>
      </c>
      <c r="L728" s="1" t="str">
        <f>_xlfn.XLOOKUP(C728, 'Product Catalog'!$A:$A, 'Product Catalog'!$C:$C, "Unknown Category")</f>
        <v>Electronics</v>
      </c>
      <c r="M728" s="1">
        <f>_xlfn.XLOOKUP(C728, 'Product Catalog'!$A:$A, 'Product Catalog'!$D:$D, 0)</f>
        <v>204.89</v>
      </c>
      <c r="N728" s="1">
        <f t="shared" si="23"/>
        <v>409.78</v>
      </c>
    </row>
    <row r="729" spans="1:14" x14ac:dyDescent="0.3">
      <c r="A729" s="1" t="s">
        <v>1180</v>
      </c>
      <c r="B729" s="1" t="s">
        <v>162</v>
      </c>
      <c r="C729" s="1" t="s">
        <v>367</v>
      </c>
      <c r="D729" s="1">
        <v>1</v>
      </c>
      <c r="E729" s="12">
        <v>45785.134027777778</v>
      </c>
      <c r="F729" s="1" t="s">
        <v>19</v>
      </c>
      <c r="G729" s="1" t="s">
        <v>46</v>
      </c>
      <c r="H729" s="1" t="s">
        <v>14</v>
      </c>
      <c r="I729" s="1" t="s">
        <v>15</v>
      </c>
      <c r="J729" s="1" t="str">
        <f t="shared" si="22"/>
        <v>delivered</v>
      </c>
      <c r="K729" s="1" t="str">
        <f>_xlfn.XLOOKUP(C729, 'Product Catalog'!$A:$A, 'Product Catalog'!$B:$B, "Unknown Product")</f>
        <v>Cable Model P67</v>
      </c>
      <c r="L729" s="1" t="str">
        <f>_xlfn.XLOOKUP(C729, 'Product Catalog'!$A:$A, 'Product Catalog'!$C:$C, "Unknown Category")</f>
        <v>Electronics</v>
      </c>
      <c r="M729" s="1">
        <f>_xlfn.XLOOKUP(C729, 'Product Catalog'!$A:$A, 'Product Catalog'!$D:$D, 0)</f>
        <v>187.9</v>
      </c>
      <c r="N729" s="1">
        <f t="shared" si="23"/>
        <v>187.9</v>
      </c>
    </row>
    <row r="730" spans="1:14" x14ac:dyDescent="0.3">
      <c r="A730" s="1" t="s">
        <v>1181</v>
      </c>
      <c r="B730" s="1" t="s">
        <v>107</v>
      </c>
      <c r="C730" s="1" t="s">
        <v>137</v>
      </c>
      <c r="D730" s="1">
        <v>5</v>
      </c>
      <c r="E730" s="12">
        <v>45894.144444444442</v>
      </c>
      <c r="F730" s="1" t="s">
        <v>19</v>
      </c>
      <c r="G730" s="1" t="s">
        <v>40</v>
      </c>
      <c r="H730" s="1" t="s">
        <v>55</v>
      </c>
      <c r="I730" s="1" t="s">
        <v>56</v>
      </c>
      <c r="J730" s="1" t="str">
        <f t="shared" si="22"/>
        <v>cancelled</v>
      </c>
      <c r="K730" s="1" t="str">
        <f>_xlfn.XLOOKUP(C730, 'Product Catalog'!$A:$A, 'Product Catalog'!$B:$B, "Unknown Product")</f>
        <v>VPN 6-Month Pass Model M90</v>
      </c>
      <c r="L730" s="1" t="str">
        <f>_xlfn.XLOOKUP(C730, 'Product Catalog'!$A:$A, 'Product Catalog'!$C:$C, "Unknown Category")</f>
        <v>Digital Services</v>
      </c>
      <c r="M730" s="1">
        <f>_xlfn.XLOOKUP(C730, 'Product Catalog'!$A:$A, 'Product Catalog'!$D:$D, 0)</f>
        <v>5.91</v>
      </c>
      <c r="N730" s="1">
        <f t="shared" si="23"/>
        <v>29.55</v>
      </c>
    </row>
    <row r="731" spans="1:14" x14ac:dyDescent="0.3">
      <c r="A731" s="1" t="s">
        <v>1182</v>
      </c>
      <c r="B731" s="1" t="s">
        <v>246</v>
      </c>
      <c r="C731" s="1" t="s">
        <v>49</v>
      </c>
      <c r="D731" s="1">
        <v>1</v>
      </c>
      <c r="E731" s="12">
        <v>45729.172222222223</v>
      </c>
      <c r="F731" s="1" t="s">
        <v>19</v>
      </c>
      <c r="G731" s="1" t="s">
        <v>31</v>
      </c>
      <c r="H731" s="1" t="s">
        <v>14</v>
      </c>
      <c r="I731" s="1" t="s">
        <v>32</v>
      </c>
      <c r="J731" s="1" t="str">
        <f t="shared" si="22"/>
        <v>SHIPPED</v>
      </c>
      <c r="K731" s="1" t="str">
        <f>_xlfn.XLOOKUP(C731, 'Product Catalog'!$A:$A, 'Product Catalog'!$B:$B, "Unknown Product")</f>
        <v>E-Book Access Model Y76</v>
      </c>
      <c r="L731" s="1" t="str">
        <f>_xlfn.XLOOKUP(C731, 'Product Catalog'!$A:$A, 'Product Catalog'!$C:$C, "Unknown Category")</f>
        <v>Digital Services</v>
      </c>
      <c r="M731" s="1">
        <f>_xlfn.XLOOKUP(C731, 'Product Catalog'!$A:$A, 'Product Catalog'!$D:$D, 0)</f>
        <v>92.33</v>
      </c>
      <c r="N731" s="1">
        <f t="shared" si="23"/>
        <v>92.33</v>
      </c>
    </row>
    <row r="732" spans="1:14" x14ac:dyDescent="0.3">
      <c r="A732" s="1" t="s">
        <v>1183</v>
      </c>
      <c r="B732" s="1" t="s">
        <v>1184</v>
      </c>
      <c r="C732" s="1" t="s">
        <v>409</v>
      </c>
      <c r="D732" s="1">
        <v>4</v>
      </c>
      <c r="E732" s="12">
        <v>45664.087500000001</v>
      </c>
      <c r="F732" s="1" t="s">
        <v>19</v>
      </c>
      <c r="G732" s="1" t="s">
        <v>50</v>
      </c>
      <c r="H732" s="1" t="s">
        <v>55</v>
      </c>
      <c r="I732" s="1" t="s">
        <v>81</v>
      </c>
      <c r="J732" s="1" t="str">
        <f t="shared" si="22"/>
        <v>REFUNDED</v>
      </c>
      <c r="K732" s="1" t="str">
        <f>_xlfn.XLOOKUP(C732, 'Product Catalog'!$A:$A, 'Product Catalog'!$B:$B, "Unknown Product")</f>
        <v>Desk Lamp Model I34</v>
      </c>
      <c r="L732" s="1" t="str">
        <f>_xlfn.XLOOKUP(C732, 'Product Catalog'!$A:$A, 'Product Catalog'!$C:$C, "Unknown Category")</f>
        <v>Home Goods</v>
      </c>
      <c r="M732" s="1">
        <f>_xlfn.XLOOKUP(C732, 'Product Catalog'!$A:$A, 'Product Catalog'!$D:$D, 0)</f>
        <v>141.91</v>
      </c>
      <c r="N732" s="1">
        <f t="shared" si="23"/>
        <v>567.64</v>
      </c>
    </row>
    <row r="733" spans="1:14" x14ac:dyDescent="0.3">
      <c r="A733" s="1" t="s">
        <v>1185</v>
      </c>
      <c r="B733" s="1" t="s">
        <v>280</v>
      </c>
      <c r="C733" s="1" t="s">
        <v>740</v>
      </c>
      <c r="D733" s="1">
        <v>1</v>
      </c>
      <c r="E733" s="12">
        <v>45771.185416666667</v>
      </c>
      <c r="F733" s="1" t="s">
        <v>19</v>
      </c>
      <c r="G733" s="1" t="s">
        <v>50</v>
      </c>
      <c r="H733" s="1" t="s">
        <v>55</v>
      </c>
      <c r="I733" s="1" t="s">
        <v>42</v>
      </c>
      <c r="J733" s="1" t="str">
        <f t="shared" si="22"/>
        <v>PENDING_REVIEW</v>
      </c>
      <c r="K733" s="1" t="str">
        <f>_xlfn.XLOOKUP(C733, 'Product Catalog'!$A:$A, 'Product Catalog'!$B:$B, "Unknown Product")</f>
        <v>Jacket Model S44</v>
      </c>
      <c r="L733" s="1" t="str">
        <f>_xlfn.XLOOKUP(C733, 'Product Catalog'!$A:$A, 'Product Catalog'!$C:$C, "Unknown Category")</f>
        <v>Apparel</v>
      </c>
      <c r="M733" s="1">
        <f>_xlfn.XLOOKUP(C733, 'Product Catalog'!$A:$A, 'Product Catalog'!$D:$D, 0)</f>
        <v>93.08</v>
      </c>
      <c r="N733" s="1">
        <f t="shared" si="23"/>
        <v>93.08</v>
      </c>
    </row>
    <row r="734" spans="1:14" x14ac:dyDescent="0.3">
      <c r="A734" s="1" t="s">
        <v>1186</v>
      </c>
      <c r="B734" s="1" t="s">
        <v>34</v>
      </c>
      <c r="C734" s="1" t="s">
        <v>459</v>
      </c>
      <c r="D734" s="1">
        <v>1</v>
      </c>
      <c r="E734" s="12">
        <v>45759.569444444445</v>
      </c>
      <c r="F734" s="1" t="s">
        <v>19</v>
      </c>
      <c r="G734" s="1" t="s">
        <v>20</v>
      </c>
      <c r="H734" s="1" t="s">
        <v>41</v>
      </c>
      <c r="I734" s="1" t="s">
        <v>102</v>
      </c>
      <c r="J734" s="1" t="str">
        <f t="shared" si="22"/>
        <v>disputed</v>
      </c>
      <c r="K734" s="1" t="str">
        <f>_xlfn.XLOOKUP(C734, 'Product Catalog'!$A:$A, 'Product Catalog'!$B:$B, "Unknown Product")</f>
        <v>Mouse Model I60</v>
      </c>
      <c r="L734" s="1" t="str">
        <f>_xlfn.XLOOKUP(C734, 'Product Catalog'!$A:$A, 'Product Catalog'!$C:$C, "Unknown Category")</f>
        <v>Electronics</v>
      </c>
      <c r="M734" s="1">
        <f>_xlfn.XLOOKUP(C734, 'Product Catalog'!$A:$A, 'Product Catalog'!$D:$D, 0)</f>
        <v>168.25</v>
      </c>
      <c r="N734" s="1">
        <f t="shared" si="23"/>
        <v>168.25</v>
      </c>
    </row>
    <row r="735" spans="1:14" x14ac:dyDescent="0.3">
      <c r="A735" s="1" t="s">
        <v>1187</v>
      </c>
      <c r="B735" s="1" t="s">
        <v>768</v>
      </c>
      <c r="C735" s="1" t="s">
        <v>237</v>
      </c>
      <c r="D735" s="1">
        <v>4</v>
      </c>
      <c r="E735" s="12">
        <v>45848.975694444445</v>
      </c>
      <c r="F735" s="1" t="s">
        <v>12</v>
      </c>
      <c r="G735" s="1" t="s">
        <v>46</v>
      </c>
      <c r="H735" s="1" t="s">
        <v>51</v>
      </c>
      <c r="I735" s="1" t="s">
        <v>102</v>
      </c>
      <c r="J735" s="1" t="str">
        <f t="shared" si="22"/>
        <v>disputed</v>
      </c>
      <c r="K735" s="1" t="str">
        <f>_xlfn.XLOOKUP(C735, 'Product Catalog'!$A:$A, 'Product Catalog'!$B:$B, "Unknown Product")</f>
        <v>Leather Handbag Model U20</v>
      </c>
      <c r="L735" s="1" t="str">
        <f>_xlfn.XLOOKUP(C735, 'Product Catalog'!$A:$A, 'Product Catalog'!$C:$C, "Unknown Category")</f>
        <v>Luxury Goods</v>
      </c>
      <c r="M735" s="1">
        <f>_xlfn.XLOOKUP(C735, 'Product Catalog'!$A:$A, 'Product Catalog'!$D:$D, 0)</f>
        <v>1806.15</v>
      </c>
      <c r="N735" s="1">
        <f t="shared" si="23"/>
        <v>7224.6</v>
      </c>
    </row>
    <row r="736" spans="1:14" x14ac:dyDescent="0.3">
      <c r="A736" s="1" t="s">
        <v>1188</v>
      </c>
      <c r="B736" s="1" t="s">
        <v>488</v>
      </c>
      <c r="C736" s="1" t="s">
        <v>154</v>
      </c>
      <c r="D736" s="1">
        <v>1</v>
      </c>
      <c r="E736" s="12">
        <v>45980.916666666664</v>
      </c>
      <c r="F736" s="1" t="s">
        <v>12</v>
      </c>
      <c r="G736" s="1" t="s">
        <v>46</v>
      </c>
      <c r="H736" s="1" t="s">
        <v>14</v>
      </c>
      <c r="I736" s="1" t="s">
        <v>15</v>
      </c>
      <c r="J736" s="1" t="str">
        <f t="shared" si="22"/>
        <v>delivered</v>
      </c>
      <c r="K736" s="1" t="str">
        <f>_xlfn.XLOOKUP(C736, 'Product Catalog'!$A:$A, 'Product Catalog'!$B:$B, "Unknown Product")</f>
        <v>Desk Lamp Model N13</v>
      </c>
      <c r="L736" s="1" t="str">
        <f>_xlfn.XLOOKUP(C736, 'Product Catalog'!$A:$A, 'Product Catalog'!$C:$C, "Unknown Category")</f>
        <v>Home Goods</v>
      </c>
      <c r="M736" s="1">
        <f>_xlfn.XLOOKUP(C736, 'Product Catalog'!$A:$A, 'Product Catalog'!$D:$D, 0)</f>
        <v>50.77</v>
      </c>
      <c r="N736" s="1">
        <f t="shared" si="23"/>
        <v>50.77</v>
      </c>
    </row>
    <row r="737" spans="1:14" x14ac:dyDescent="0.3">
      <c r="A737" s="1" t="s">
        <v>1189</v>
      </c>
      <c r="B737" s="1" t="s">
        <v>874</v>
      </c>
      <c r="C737" s="1" t="s">
        <v>122</v>
      </c>
      <c r="D737" s="1">
        <v>1</v>
      </c>
      <c r="E737" s="12">
        <v>45701.827777777777</v>
      </c>
      <c r="F737" s="1" t="s">
        <v>39</v>
      </c>
      <c r="G737" s="1" t="s">
        <v>20</v>
      </c>
      <c r="H737" s="1" t="s">
        <v>41</v>
      </c>
      <c r="I737" s="1" t="s">
        <v>42</v>
      </c>
      <c r="J737" s="1" t="str">
        <f t="shared" si="22"/>
        <v>PENDING_REVIEW</v>
      </c>
      <c r="K737" s="1" t="str">
        <f>_xlfn.XLOOKUP(C737, 'Product Catalog'!$A:$A, 'Product Catalog'!$B:$B, "Unknown Product")</f>
        <v>Gold Bracelet Model I86</v>
      </c>
      <c r="L737" s="1" t="str">
        <f>_xlfn.XLOOKUP(C737, 'Product Catalog'!$A:$A, 'Product Catalog'!$C:$C, "Unknown Category")</f>
        <v>Luxury Goods</v>
      </c>
      <c r="M737" s="1">
        <f>_xlfn.XLOOKUP(C737, 'Product Catalog'!$A:$A, 'Product Catalog'!$D:$D, 0)</f>
        <v>852.47</v>
      </c>
      <c r="N737" s="1">
        <f t="shared" si="23"/>
        <v>852.47</v>
      </c>
    </row>
    <row r="738" spans="1:14" x14ac:dyDescent="0.3">
      <c r="A738" s="1" t="s">
        <v>1190</v>
      </c>
      <c r="B738" s="1" t="s">
        <v>17</v>
      </c>
      <c r="C738" s="1" t="s">
        <v>879</v>
      </c>
      <c r="D738" s="1">
        <v>4</v>
      </c>
      <c r="E738" s="12">
        <v>45958.368055555555</v>
      </c>
      <c r="F738" s="1" t="s">
        <v>12</v>
      </c>
      <c r="G738" s="1" t="s">
        <v>50</v>
      </c>
      <c r="H738" s="1" t="s">
        <v>55</v>
      </c>
      <c r="I738" s="1" t="s">
        <v>102</v>
      </c>
      <c r="J738" s="1" t="str">
        <f t="shared" si="22"/>
        <v>disputed</v>
      </c>
      <c r="K738" s="1" t="str">
        <f>_xlfn.XLOOKUP(C738, 'Product Catalog'!$A:$A, 'Product Catalog'!$B:$B, "Unknown Product")</f>
        <v>Toaster Model I8</v>
      </c>
      <c r="L738" s="1" t="str">
        <f>_xlfn.XLOOKUP(C738, 'Product Catalog'!$A:$A, 'Product Catalog'!$C:$C, "Unknown Category")</f>
        <v>Home Goods</v>
      </c>
      <c r="M738" s="1">
        <f>_xlfn.XLOOKUP(C738, 'Product Catalog'!$A:$A, 'Product Catalog'!$D:$D, 0)</f>
        <v>44.88</v>
      </c>
      <c r="N738" s="1">
        <f t="shared" si="23"/>
        <v>179.52</v>
      </c>
    </row>
    <row r="739" spans="1:14" x14ac:dyDescent="0.3">
      <c r="A739" s="1" t="s">
        <v>1191</v>
      </c>
      <c r="B739" s="1" t="s">
        <v>553</v>
      </c>
      <c r="C739" s="1" t="s">
        <v>459</v>
      </c>
      <c r="D739" s="1">
        <v>1</v>
      </c>
      <c r="E739" s="12">
        <v>45696.030555555553</v>
      </c>
      <c r="F739" s="1" t="s">
        <v>12</v>
      </c>
      <c r="G739" s="1" t="s">
        <v>46</v>
      </c>
      <c r="H739" s="1" t="s">
        <v>24</v>
      </c>
      <c r="I739" s="1" t="s">
        <v>15</v>
      </c>
      <c r="J739" s="1" t="str">
        <f t="shared" si="22"/>
        <v>delivered</v>
      </c>
      <c r="K739" s="1" t="str">
        <f>_xlfn.XLOOKUP(C739, 'Product Catalog'!$A:$A, 'Product Catalog'!$B:$B, "Unknown Product")</f>
        <v>Mouse Model I60</v>
      </c>
      <c r="L739" s="1" t="str">
        <f>_xlfn.XLOOKUP(C739, 'Product Catalog'!$A:$A, 'Product Catalog'!$C:$C, "Unknown Category")</f>
        <v>Electronics</v>
      </c>
      <c r="M739" s="1">
        <f>_xlfn.XLOOKUP(C739, 'Product Catalog'!$A:$A, 'Product Catalog'!$D:$D, 0)</f>
        <v>168.25</v>
      </c>
      <c r="N739" s="1">
        <f t="shared" si="23"/>
        <v>168.25</v>
      </c>
    </row>
    <row r="740" spans="1:14" x14ac:dyDescent="0.3">
      <c r="A740" s="1" t="s">
        <v>1192</v>
      </c>
      <c r="B740" s="1" t="s">
        <v>468</v>
      </c>
      <c r="C740" s="1" t="s">
        <v>154</v>
      </c>
      <c r="D740" s="1">
        <v>1</v>
      </c>
      <c r="E740" s="12">
        <v>45691.280555555553</v>
      </c>
      <c r="F740" s="1" t="s">
        <v>185</v>
      </c>
      <c r="G740" s="1" t="s">
        <v>109</v>
      </c>
      <c r="H740" s="1" t="s">
        <v>41</v>
      </c>
      <c r="I740" s="1" t="s">
        <v>15</v>
      </c>
      <c r="J740" s="1" t="str">
        <f t="shared" si="22"/>
        <v>delivered</v>
      </c>
      <c r="K740" s="1" t="str">
        <f>_xlfn.XLOOKUP(C740, 'Product Catalog'!$A:$A, 'Product Catalog'!$B:$B, "Unknown Product")</f>
        <v>Desk Lamp Model N13</v>
      </c>
      <c r="L740" s="1" t="str">
        <f>_xlfn.XLOOKUP(C740, 'Product Catalog'!$A:$A, 'Product Catalog'!$C:$C, "Unknown Category")</f>
        <v>Home Goods</v>
      </c>
      <c r="M740" s="1">
        <f>_xlfn.XLOOKUP(C740, 'Product Catalog'!$A:$A, 'Product Catalog'!$D:$D, 0)</f>
        <v>50.77</v>
      </c>
      <c r="N740" s="1">
        <f t="shared" si="23"/>
        <v>50.77</v>
      </c>
    </row>
    <row r="741" spans="1:14" x14ac:dyDescent="0.3">
      <c r="A741" s="1" t="s">
        <v>1193</v>
      </c>
      <c r="B741" s="1" t="s">
        <v>326</v>
      </c>
      <c r="C741" s="1" t="s">
        <v>49</v>
      </c>
      <c r="D741" s="1">
        <v>1</v>
      </c>
      <c r="E741" s="12">
        <v>45988.630555555559</v>
      </c>
      <c r="F741" s="1" t="s">
        <v>19</v>
      </c>
      <c r="G741" s="1" t="s">
        <v>13</v>
      </c>
      <c r="H741" s="1" t="s">
        <v>14</v>
      </c>
      <c r="I741" s="1" t="s">
        <v>15</v>
      </c>
      <c r="J741" s="1" t="str">
        <f t="shared" si="22"/>
        <v>delivered</v>
      </c>
      <c r="K741" s="1" t="str">
        <f>_xlfn.XLOOKUP(C741, 'Product Catalog'!$A:$A, 'Product Catalog'!$B:$B, "Unknown Product")</f>
        <v>E-Book Access Model Y76</v>
      </c>
      <c r="L741" s="1" t="str">
        <f>_xlfn.XLOOKUP(C741, 'Product Catalog'!$A:$A, 'Product Catalog'!$C:$C, "Unknown Category")</f>
        <v>Digital Services</v>
      </c>
      <c r="M741" s="1">
        <f>_xlfn.XLOOKUP(C741, 'Product Catalog'!$A:$A, 'Product Catalog'!$D:$D, 0)</f>
        <v>92.33</v>
      </c>
      <c r="N741" s="1">
        <f t="shared" si="23"/>
        <v>92.33</v>
      </c>
    </row>
    <row r="742" spans="1:14" x14ac:dyDescent="0.3">
      <c r="A742" s="1" t="s">
        <v>1194</v>
      </c>
      <c r="B742" s="1" t="s">
        <v>660</v>
      </c>
      <c r="C742" s="1" t="s">
        <v>247</v>
      </c>
      <c r="D742" s="1">
        <v>4</v>
      </c>
      <c r="E742" s="12">
        <v>45723.130555555559</v>
      </c>
      <c r="F742" s="1" t="s">
        <v>19</v>
      </c>
      <c r="G742" s="1" t="s">
        <v>46</v>
      </c>
      <c r="H742" s="1" t="s">
        <v>41</v>
      </c>
      <c r="I742" s="1" t="s">
        <v>42</v>
      </c>
      <c r="J742" s="1" t="str">
        <f t="shared" si="22"/>
        <v>PENDING_REVIEW</v>
      </c>
      <c r="K742" s="1" t="str">
        <f>_xlfn.XLOOKUP(C742, 'Product Catalog'!$A:$A, 'Product Catalog'!$B:$B, "Unknown Product")</f>
        <v>Silk Scarf Model N117</v>
      </c>
      <c r="L742" s="1" t="str">
        <f>_xlfn.XLOOKUP(C742, 'Product Catalog'!$A:$A, 'Product Catalog'!$C:$C, "Unknown Category")</f>
        <v>Luxury Goods</v>
      </c>
      <c r="M742" s="1">
        <f>_xlfn.XLOOKUP(C742, 'Product Catalog'!$A:$A, 'Product Catalog'!$D:$D, 0)</f>
        <v>1740.35</v>
      </c>
      <c r="N742" s="1">
        <f t="shared" si="23"/>
        <v>6961.4</v>
      </c>
    </row>
    <row r="743" spans="1:14" x14ac:dyDescent="0.3">
      <c r="A743" s="1" t="s">
        <v>1195</v>
      </c>
      <c r="B743" s="1" t="s">
        <v>468</v>
      </c>
      <c r="C743" s="1" t="s">
        <v>237</v>
      </c>
      <c r="D743" s="1">
        <v>1</v>
      </c>
      <c r="E743" s="12">
        <v>45827.173611111109</v>
      </c>
      <c r="F743" s="1" t="s">
        <v>12</v>
      </c>
      <c r="G743" s="1" t="s">
        <v>109</v>
      </c>
      <c r="H743" s="1" t="s">
        <v>55</v>
      </c>
      <c r="I743" s="1" t="s">
        <v>102</v>
      </c>
      <c r="J743" s="1" t="str">
        <f t="shared" si="22"/>
        <v>disputed</v>
      </c>
      <c r="K743" s="1" t="str">
        <f>_xlfn.XLOOKUP(C743, 'Product Catalog'!$A:$A, 'Product Catalog'!$B:$B, "Unknown Product")</f>
        <v>Leather Handbag Model U20</v>
      </c>
      <c r="L743" s="1" t="str">
        <f>_xlfn.XLOOKUP(C743, 'Product Catalog'!$A:$A, 'Product Catalog'!$C:$C, "Unknown Category")</f>
        <v>Luxury Goods</v>
      </c>
      <c r="M743" s="1">
        <f>_xlfn.XLOOKUP(C743, 'Product Catalog'!$A:$A, 'Product Catalog'!$D:$D, 0)</f>
        <v>1806.15</v>
      </c>
      <c r="N743" s="1">
        <f t="shared" si="23"/>
        <v>1806.15</v>
      </c>
    </row>
    <row r="744" spans="1:14" x14ac:dyDescent="0.3">
      <c r="A744" s="1" t="s">
        <v>1196</v>
      </c>
      <c r="B744" s="1" t="s">
        <v>686</v>
      </c>
      <c r="C744" s="1" t="s">
        <v>54</v>
      </c>
      <c r="D744" s="1">
        <v>1</v>
      </c>
      <c r="E744" s="12">
        <v>45679.655555555553</v>
      </c>
      <c r="F744" s="1" t="s">
        <v>19</v>
      </c>
      <c r="G744" s="1" t="s">
        <v>13</v>
      </c>
      <c r="H744" s="1" t="s">
        <v>24</v>
      </c>
      <c r="I744" s="1" t="s">
        <v>15</v>
      </c>
      <c r="J744" s="1" t="str">
        <f t="shared" si="22"/>
        <v>delivered</v>
      </c>
      <c r="K744" s="1" t="str">
        <f>_xlfn.XLOOKUP(C744, 'Product Catalog'!$A:$A, 'Product Catalog'!$B:$B, "Unknown Product")</f>
        <v>Keyboard Model V21</v>
      </c>
      <c r="L744" s="1" t="str">
        <f>_xlfn.XLOOKUP(C744, 'Product Catalog'!$A:$A, 'Product Catalog'!$C:$C, "Unknown Category")</f>
        <v>Electronics</v>
      </c>
      <c r="M744" s="1">
        <f>_xlfn.XLOOKUP(C744, 'Product Catalog'!$A:$A, 'Product Catalog'!$D:$D, 0)</f>
        <v>208.12</v>
      </c>
      <c r="N744" s="1">
        <f t="shared" si="23"/>
        <v>208.12</v>
      </c>
    </row>
    <row r="745" spans="1:14" x14ac:dyDescent="0.3">
      <c r="A745" s="1" t="s">
        <v>1197</v>
      </c>
      <c r="B745" s="1" t="s">
        <v>553</v>
      </c>
      <c r="C745" s="1" t="s">
        <v>348</v>
      </c>
      <c r="D745" s="1">
        <v>5</v>
      </c>
      <c r="E745" s="12">
        <v>45683.238888888889</v>
      </c>
      <c r="F745" s="1" t="s">
        <v>39</v>
      </c>
      <c r="G745" s="1" t="s">
        <v>20</v>
      </c>
      <c r="H745" s="1" t="s">
        <v>41</v>
      </c>
      <c r="I745" s="1" t="s">
        <v>81</v>
      </c>
      <c r="J745" s="1" t="str">
        <f t="shared" si="22"/>
        <v>REFUNDED</v>
      </c>
      <c r="K745" s="1" t="str">
        <f>_xlfn.XLOOKUP(C745, 'Product Catalog'!$A:$A, 'Product Catalog'!$B:$B, "Unknown Product")</f>
        <v>Leather Handbag Model G84</v>
      </c>
      <c r="L745" s="1" t="str">
        <f>_xlfn.XLOOKUP(C745, 'Product Catalog'!$A:$A, 'Product Catalog'!$C:$C, "Unknown Category")</f>
        <v>Luxury Goods</v>
      </c>
      <c r="M745" s="1">
        <f>_xlfn.XLOOKUP(C745, 'Product Catalog'!$A:$A, 'Product Catalog'!$D:$D, 0)</f>
        <v>899.17</v>
      </c>
      <c r="N745" s="1">
        <f t="shared" si="23"/>
        <v>4495.8499999999995</v>
      </c>
    </row>
    <row r="746" spans="1:14" x14ac:dyDescent="0.3">
      <c r="A746" s="1" t="s">
        <v>1198</v>
      </c>
      <c r="B746" s="1" t="s">
        <v>361</v>
      </c>
      <c r="C746" s="1" t="s">
        <v>35</v>
      </c>
      <c r="D746" s="1">
        <v>4</v>
      </c>
      <c r="E746" s="12">
        <v>45951.615972222222</v>
      </c>
      <c r="F746" s="1" t="s">
        <v>170</v>
      </c>
      <c r="G746" s="1" t="s">
        <v>50</v>
      </c>
      <c r="H746" s="1" t="s">
        <v>41</v>
      </c>
      <c r="I746" s="1" t="s">
        <v>42</v>
      </c>
      <c r="J746" s="1" t="str">
        <f t="shared" si="22"/>
        <v>PENDING_REVIEW</v>
      </c>
      <c r="K746" s="1" t="str">
        <f>_xlfn.XLOOKUP(C746, 'Product Catalog'!$A:$A, 'Product Catalog'!$B:$B, "Unknown Product")</f>
        <v>Blender Model W74</v>
      </c>
      <c r="L746" s="1" t="str">
        <f>_xlfn.XLOOKUP(C746, 'Product Catalog'!$A:$A, 'Product Catalog'!$C:$C, "Unknown Category")</f>
        <v>Home Goods</v>
      </c>
      <c r="M746" s="1">
        <f>_xlfn.XLOOKUP(C746, 'Product Catalog'!$A:$A, 'Product Catalog'!$D:$D, 0)</f>
        <v>127.16</v>
      </c>
      <c r="N746" s="1">
        <f t="shared" si="23"/>
        <v>508.64</v>
      </c>
    </row>
    <row r="747" spans="1:14" x14ac:dyDescent="0.3">
      <c r="A747" s="1" t="s">
        <v>1199</v>
      </c>
      <c r="B747" s="1" t="s">
        <v>1051</v>
      </c>
      <c r="C747" s="1" t="s">
        <v>250</v>
      </c>
      <c r="D747" s="1">
        <v>1</v>
      </c>
      <c r="E747" s="12">
        <v>45860.705555555556</v>
      </c>
      <c r="F747" s="1" t="s">
        <v>19</v>
      </c>
      <c r="G747" s="1" t="s">
        <v>31</v>
      </c>
      <c r="H747" s="1" t="s">
        <v>14</v>
      </c>
      <c r="I747" s="1" t="s">
        <v>15</v>
      </c>
      <c r="J747" s="1" t="str">
        <f t="shared" si="22"/>
        <v>delivered</v>
      </c>
      <c r="K747" s="1" t="str">
        <f>_xlfn.XLOOKUP(C747, 'Product Catalog'!$A:$A, 'Product Catalog'!$B:$B, "Unknown Product")</f>
        <v>Keyboard Model U98</v>
      </c>
      <c r="L747" s="1" t="str">
        <f>_xlfn.XLOOKUP(C747, 'Product Catalog'!$A:$A, 'Product Catalog'!$C:$C, "Unknown Category")</f>
        <v>Electronics</v>
      </c>
      <c r="M747" s="1">
        <f>_xlfn.XLOOKUP(C747, 'Product Catalog'!$A:$A, 'Product Catalog'!$D:$D, 0)</f>
        <v>188.09</v>
      </c>
      <c r="N747" s="1">
        <f t="shared" si="23"/>
        <v>188.09</v>
      </c>
    </row>
    <row r="748" spans="1:14" x14ac:dyDescent="0.3">
      <c r="A748" s="1" t="s">
        <v>1200</v>
      </c>
      <c r="B748" s="1" t="s">
        <v>83</v>
      </c>
      <c r="C748" s="1" t="s">
        <v>482</v>
      </c>
      <c r="D748" s="1">
        <v>1</v>
      </c>
      <c r="E748" s="12">
        <v>45673.543749999997</v>
      </c>
      <c r="F748" s="1" t="s">
        <v>19</v>
      </c>
      <c r="G748" s="1" t="s">
        <v>20</v>
      </c>
      <c r="H748" s="1" t="s">
        <v>41</v>
      </c>
      <c r="I748" s="1" t="s">
        <v>32</v>
      </c>
      <c r="J748" s="1" t="str">
        <f t="shared" si="22"/>
        <v>SHIPPED</v>
      </c>
      <c r="K748" s="1" t="str">
        <f>_xlfn.XLOOKUP(C748, 'Product Catalog'!$A:$A, 'Product Catalog'!$B:$B, "Unknown Product")</f>
        <v>VPN 6-Month Pass Model E30</v>
      </c>
      <c r="L748" s="1" t="str">
        <f>_xlfn.XLOOKUP(C748, 'Product Catalog'!$A:$A, 'Product Catalog'!$C:$C, "Unknown Category")</f>
        <v>Digital Services</v>
      </c>
      <c r="M748" s="1">
        <f>_xlfn.XLOOKUP(C748, 'Product Catalog'!$A:$A, 'Product Catalog'!$D:$D, 0)</f>
        <v>28.63</v>
      </c>
      <c r="N748" s="1">
        <f t="shared" si="23"/>
        <v>28.63</v>
      </c>
    </row>
    <row r="749" spans="1:14" x14ac:dyDescent="0.3">
      <c r="A749" s="1" t="s">
        <v>1201</v>
      </c>
      <c r="B749" s="1" t="s">
        <v>324</v>
      </c>
      <c r="C749" s="1" t="s">
        <v>224</v>
      </c>
      <c r="D749" s="1">
        <v>1</v>
      </c>
      <c r="E749" s="12">
        <v>46007.606249999997</v>
      </c>
      <c r="F749" s="1" t="s">
        <v>19</v>
      </c>
      <c r="G749" s="1" t="s">
        <v>13</v>
      </c>
      <c r="H749" s="1" t="s">
        <v>24</v>
      </c>
      <c r="I749" s="1" t="s">
        <v>32</v>
      </c>
      <c r="J749" s="1" t="str">
        <f t="shared" si="22"/>
        <v>SHIPPED</v>
      </c>
      <c r="K749" s="1" t="str">
        <f>_xlfn.XLOOKUP(C749, 'Product Catalog'!$A:$A, 'Product Catalog'!$B:$B, "Unknown Product")</f>
        <v>Organizer Model P93</v>
      </c>
      <c r="L749" s="1" t="str">
        <f>_xlfn.XLOOKUP(C749, 'Product Catalog'!$A:$A, 'Product Catalog'!$C:$C, "Unknown Category")</f>
        <v>Home Goods</v>
      </c>
      <c r="M749" s="1">
        <f>_xlfn.XLOOKUP(C749, 'Product Catalog'!$A:$A, 'Product Catalog'!$D:$D, 0)</f>
        <v>175.55</v>
      </c>
      <c r="N749" s="1">
        <f t="shared" si="23"/>
        <v>175.55</v>
      </c>
    </row>
    <row r="750" spans="1:14" x14ac:dyDescent="0.3">
      <c r="A750" s="1" t="s">
        <v>1202</v>
      </c>
      <c r="B750" s="1" t="s">
        <v>811</v>
      </c>
      <c r="C750" s="1" t="s">
        <v>359</v>
      </c>
      <c r="D750" s="1">
        <v>1</v>
      </c>
      <c r="E750" s="12">
        <v>45746.50277777778</v>
      </c>
      <c r="F750" s="1" t="s">
        <v>185</v>
      </c>
      <c r="G750" s="1" t="s">
        <v>46</v>
      </c>
      <c r="H750" s="1" t="s">
        <v>14</v>
      </c>
      <c r="I750" s="1" t="s">
        <v>81</v>
      </c>
      <c r="J750" s="1" t="str">
        <f t="shared" si="22"/>
        <v>REFUNDED</v>
      </c>
      <c r="K750" s="1" t="str">
        <f>_xlfn.XLOOKUP(C750, 'Product Catalog'!$A:$A, 'Product Catalog'!$B:$B, "Unknown Product")</f>
        <v>Hoodie Model H111</v>
      </c>
      <c r="L750" s="1" t="str">
        <f>_xlfn.XLOOKUP(C750, 'Product Catalog'!$A:$A, 'Product Catalog'!$C:$C, "Unknown Category")</f>
        <v>Apparel</v>
      </c>
      <c r="M750" s="1">
        <f>_xlfn.XLOOKUP(C750, 'Product Catalog'!$A:$A, 'Product Catalog'!$D:$D, 0)</f>
        <v>57.44</v>
      </c>
      <c r="N750" s="1">
        <f t="shared" si="23"/>
        <v>57.44</v>
      </c>
    </row>
    <row r="751" spans="1:14" x14ac:dyDescent="0.3">
      <c r="A751" s="1" t="s">
        <v>1203</v>
      </c>
      <c r="B751" s="1" t="s">
        <v>1031</v>
      </c>
      <c r="C751" s="1" t="s">
        <v>1204</v>
      </c>
      <c r="D751" s="1">
        <v>1</v>
      </c>
      <c r="E751" s="12">
        <v>45767.265972222223</v>
      </c>
      <c r="F751" s="1" t="s">
        <v>19</v>
      </c>
      <c r="G751" s="1" t="s">
        <v>31</v>
      </c>
      <c r="H751" s="1" t="s">
        <v>14</v>
      </c>
      <c r="I751" s="1" t="s">
        <v>15</v>
      </c>
      <c r="J751" s="1" t="str">
        <f t="shared" si="22"/>
        <v>delivered</v>
      </c>
      <c r="K751" s="1" t="str">
        <f>_xlfn.XLOOKUP(C751, 'Product Catalog'!$A:$A, 'Product Catalog'!$B:$B, "Unknown Product")</f>
        <v>Jacket Model L37</v>
      </c>
      <c r="L751" s="1" t="str">
        <f>_xlfn.XLOOKUP(C751, 'Product Catalog'!$A:$A, 'Product Catalog'!$C:$C, "Unknown Category")</f>
        <v>Apparel</v>
      </c>
      <c r="M751" s="1">
        <f>_xlfn.XLOOKUP(C751, 'Product Catalog'!$A:$A, 'Product Catalog'!$D:$D, 0)</f>
        <v>114.88</v>
      </c>
      <c r="N751" s="1">
        <f t="shared" si="23"/>
        <v>114.88</v>
      </c>
    </row>
    <row r="752" spans="1:14" x14ac:dyDescent="0.3">
      <c r="A752" s="1" t="s">
        <v>1205</v>
      </c>
      <c r="B752" s="1" t="s">
        <v>417</v>
      </c>
      <c r="C752" s="1" t="s">
        <v>466</v>
      </c>
      <c r="D752" s="1">
        <v>2</v>
      </c>
      <c r="E752" s="12">
        <v>45798.397916666669</v>
      </c>
      <c r="F752" s="1" t="s">
        <v>19</v>
      </c>
      <c r="G752" s="1" t="s">
        <v>31</v>
      </c>
      <c r="H752" s="1" t="s">
        <v>41</v>
      </c>
      <c r="I752" s="1" t="s">
        <v>42</v>
      </c>
      <c r="J752" s="1" t="str">
        <f t="shared" si="22"/>
        <v>PENDING_REVIEW</v>
      </c>
      <c r="K752" s="1" t="str">
        <f>_xlfn.XLOOKUP(C752, 'Product Catalog'!$A:$A, 'Product Catalog'!$B:$B, "Unknown Product")</f>
        <v>VPN 6-Month Pass Model L11</v>
      </c>
      <c r="L752" s="1" t="str">
        <f>_xlfn.XLOOKUP(C752, 'Product Catalog'!$A:$A, 'Product Catalog'!$C:$C, "Unknown Category")</f>
        <v>Digital Services</v>
      </c>
      <c r="M752" s="1">
        <f>_xlfn.XLOOKUP(C752, 'Product Catalog'!$A:$A, 'Product Catalog'!$D:$D, 0)</f>
        <v>16.73</v>
      </c>
      <c r="N752" s="1">
        <f t="shared" si="23"/>
        <v>33.46</v>
      </c>
    </row>
    <row r="753" spans="1:14" x14ac:dyDescent="0.3">
      <c r="A753" s="1" t="s">
        <v>1206</v>
      </c>
      <c r="B753" s="1" t="s">
        <v>252</v>
      </c>
      <c r="C753" s="1" t="s">
        <v>247</v>
      </c>
      <c r="D753" s="1">
        <v>1</v>
      </c>
      <c r="E753" s="12">
        <v>45886.211111111108</v>
      </c>
      <c r="F753" s="1" t="s">
        <v>12</v>
      </c>
      <c r="G753" s="1" t="s">
        <v>31</v>
      </c>
      <c r="H753" s="1" t="s">
        <v>41</v>
      </c>
      <c r="I753" s="1" t="s">
        <v>81</v>
      </c>
      <c r="J753" s="1" t="str">
        <f t="shared" si="22"/>
        <v>REFUNDED</v>
      </c>
      <c r="K753" s="1" t="str">
        <f>_xlfn.XLOOKUP(C753, 'Product Catalog'!$A:$A, 'Product Catalog'!$B:$B, "Unknown Product")</f>
        <v>Silk Scarf Model N117</v>
      </c>
      <c r="L753" s="1" t="str">
        <f>_xlfn.XLOOKUP(C753, 'Product Catalog'!$A:$A, 'Product Catalog'!$C:$C, "Unknown Category")</f>
        <v>Luxury Goods</v>
      </c>
      <c r="M753" s="1">
        <f>_xlfn.XLOOKUP(C753, 'Product Catalog'!$A:$A, 'Product Catalog'!$D:$D, 0)</f>
        <v>1740.35</v>
      </c>
      <c r="N753" s="1">
        <f t="shared" si="23"/>
        <v>1740.35</v>
      </c>
    </row>
    <row r="754" spans="1:14" x14ac:dyDescent="0.3">
      <c r="A754" s="1" t="s">
        <v>1207</v>
      </c>
      <c r="B754" s="1" t="s">
        <v>761</v>
      </c>
      <c r="C754" s="1" t="s">
        <v>633</v>
      </c>
      <c r="D754" s="1">
        <v>3</v>
      </c>
      <c r="E754" s="12">
        <v>45675.872916666667</v>
      </c>
      <c r="F754" s="1" t="s">
        <v>19</v>
      </c>
      <c r="G754" s="1" t="s">
        <v>31</v>
      </c>
      <c r="H754" s="1" t="s">
        <v>41</v>
      </c>
      <c r="I754" s="1" t="s">
        <v>15</v>
      </c>
      <c r="J754" s="1" t="str">
        <f t="shared" si="22"/>
        <v>delivered</v>
      </c>
      <c r="K754" s="1" t="str">
        <f>_xlfn.XLOOKUP(C754, 'Product Catalog'!$A:$A, 'Product Catalog'!$B:$B, "Unknown Product")</f>
        <v>Keyboard Model X49</v>
      </c>
      <c r="L754" s="1" t="str">
        <f>_xlfn.XLOOKUP(C754, 'Product Catalog'!$A:$A, 'Product Catalog'!$C:$C, "Unknown Category")</f>
        <v>Electronics</v>
      </c>
      <c r="M754" s="1">
        <f>_xlfn.XLOOKUP(C754, 'Product Catalog'!$A:$A, 'Product Catalog'!$D:$D, 0)</f>
        <v>30.84</v>
      </c>
      <c r="N754" s="1">
        <f t="shared" si="23"/>
        <v>92.52</v>
      </c>
    </row>
    <row r="755" spans="1:14" x14ac:dyDescent="0.3">
      <c r="A755" s="1" t="s">
        <v>1208</v>
      </c>
      <c r="B755" s="1" t="s">
        <v>539</v>
      </c>
      <c r="C755" s="1" t="s">
        <v>402</v>
      </c>
      <c r="D755" s="1">
        <v>1</v>
      </c>
      <c r="E755" s="12">
        <v>45975.877083333333</v>
      </c>
      <c r="F755" s="1" t="s">
        <v>19</v>
      </c>
      <c r="G755" s="1" t="s">
        <v>46</v>
      </c>
      <c r="H755" s="1" t="s">
        <v>14</v>
      </c>
      <c r="I755" s="1" t="s">
        <v>15</v>
      </c>
      <c r="J755" s="1" t="str">
        <f t="shared" si="22"/>
        <v>delivered</v>
      </c>
      <c r="K755" s="1" t="str">
        <f>_xlfn.XLOOKUP(C755, 'Product Catalog'!$A:$A, 'Product Catalog'!$B:$B, "Unknown Product")</f>
        <v>Software License Tier A Model J139</v>
      </c>
      <c r="L755" s="1" t="str">
        <f>_xlfn.XLOOKUP(C755, 'Product Catalog'!$A:$A, 'Product Catalog'!$C:$C, "Unknown Category")</f>
        <v>Digital Services</v>
      </c>
      <c r="M755" s="1">
        <f>_xlfn.XLOOKUP(C755, 'Product Catalog'!$A:$A, 'Product Catalog'!$D:$D, 0)</f>
        <v>90.05</v>
      </c>
      <c r="N755" s="1">
        <f t="shared" si="23"/>
        <v>90.05</v>
      </c>
    </row>
    <row r="756" spans="1:14" x14ac:dyDescent="0.3">
      <c r="A756" s="1" t="s">
        <v>1209</v>
      </c>
      <c r="B756" s="1" t="s">
        <v>398</v>
      </c>
      <c r="C756" s="1" t="s">
        <v>396</v>
      </c>
      <c r="D756" s="1">
        <v>5</v>
      </c>
      <c r="E756" s="12">
        <v>45783.920138888891</v>
      </c>
      <c r="F756" s="1" t="s">
        <v>39</v>
      </c>
      <c r="G756" s="1" t="s">
        <v>40</v>
      </c>
      <c r="H756" s="1" t="s">
        <v>55</v>
      </c>
      <c r="I756" s="1" t="s">
        <v>102</v>
      </c>
      <c r="J756" s="1" t="str">
        <f t="shared" si="22"/>
        <v>disputed</v>
      </c>
      <c r="K756" s="1" t="str">
        <f>_xlfn.XLOOKUP(C756, 'Product Catalog'!$A:$A, 'Product Catalog'!$B:$B, "Unknown Product")</f>
        <v>Cap Model O14</v>
      </c>
      <c r="L756" s="1" t="str">
        <f>_xlfn.XLOOKUP(C756, 'Product Catalog'!$A:$A, 'Product Catalog'!$C:$C, "Unknown Category")</f>
        <v>Apparel</v>
      </c>
      <c r="M756" s="1">
        <f>_xlfn.XLOOKUP(C756, 'Product Catalog'!$A:$A, 'Product Catalog'!$D:$D, 0)</f>
        <v>41.83</v>
      </c>
      <c r="N756" s="1">
        <f t="shared" si="23"/>
        <v>209.14999999999998</v>
      </c>
    </row>
    <row r="757" spans="1:14" x14ac:dyDescent="0.3">
      <c r="A757" s="1" t="s">
        <v>1210</v>
      </c>
      <c r="B757" s="1" t="s">
        <v>882</v>
      </c>
      <c r="C757" s="1" t="s">
        <v>716</v>
      </c>
      <c r="D757" s="1">
        <v>1</v>
      </c>
      <c r="E757" s="12">
        <v>45809.709027777775</v>
      </c>
      <c r="F757" s="1" t="s">
        <v>19</v>
      </c>
      <c r="G757" s="1" t="s">
        <v>109</v>
      </c>
      <c r="H757" s="1" t="s">
        <v>41</v>
      </c>
      <c r="I757" s="1" t="s">
        <v>15</v>
      </c>
      <c r="J757" s="1" t="str">
        <f t="shared" si="22"/>
        <v>delivered</v>
      </c>
      <c r="K757" s="1" t="str">
        <f>_xlfn.XLOOKUP(C757, 'Product Catalog'!$A:$A, 'Product Catalog'!$B:$B, "Unknown Product")</f>
        <v>Jeans Model X101</v>
      </c>
      <c r="L757" s="1" t="str">
        <f>_xlfn.XLOOKUP(C757, 'Product Catalog'!$A:$A, 'Product Catalog'!$C:$C, "Unknown Category")</f>
        <v>Apparel</v>
      </c>
      <c r="M757" s="1">
        <f>_xlfn.XLOOKUP(C757, 'Product Catalog'!$A:$A, 'Product Catalog'!$D:$D, 0)</f>
        <v>99.82</v>
      </c>
      <c r="N757" s="1">
        <f t="shared" si="23"/>
        <v>99.82</v>
      </c>
    </row>
    <row r="758" spans="1:14" x14ac:dyDescent="0.3">
      <c r="A758" s="1" t="s">
        <v>1211</v>
      </c>
      <c r="B758" s="1" t="s">
        <v>869</v>
      </c>
      <c r="C758" s="1" t="s">
        <v>329</v>
      </c>
      <c r="D758" s="1">
        <v>1</v>
      </c>
      <c r="E758" s="12">
        <v>45868.782638888886</v>
      </c>
      <c r="F758" s="1" t="s">
        <v>12</v>
      </c>
      <c r="G758" s="1" t="s">
        <v>46</v>
      </c>
      <c r="H758" s="1" t="s">
        <v>14</v>
      </c>
      <c r="I758" s="1" t="s">
        <v>15</v>
      </c>
      <c r="J758" s="1" t="str">
        <f t="shared" si="22"/>
        <v>delivered</v>
      </c>
      <c r="K758" s="1" t="str">
        <f>_xlfn.XLOOKUP(C758, 'Product Catalog'!$A:$A, 'Product Catalog'!$B:$B, "Unknown Product")</f>
        <v>E-Book Access Model M64</v>
      </c>
      <c r="L758" s="1" t="str">
        <f>_xlfn.XLOOKUP(C758, 'Product Catalog'!$A:$A, 'Product Catalog'!$C:$C, "Unknown Category")</f>
        <v>Digital Services</v>
      </c>
      <c r="M758" s="1">
        <f>_xlfn.XLOOKUP(C758, 'Product Catalog'!$A:$A, 'Product Catalog'!$D:$D, 0)</f>
        <v>92.09</v>
      </c>
      <c r="N758" s="1">
        <f t="shared" si="23"/>
        <v>92.09</v>
      </c>
    </row>
    <row r="759" spans="1:14" x14ac:dyDescent="0.3">
      <c r="A759" s="1" t="s">
        <v>1212</v>
      </c>
      <c r="B759" s="1" t="s">
        <v>804</v>
      </c>
      <c r="C759" s="1" t="s">
        <v>27</v>
      </c>
      <c r="D759" s="1">
        <v>2</v>
      </c>
      <c r="E759" s="12">
        <v>45903.086111111108</v>
      </c>
      <c r="F759" s="1" t="s">
        <v>12</v>
      </c>
      <c r="G759" s="1" t="s">
        <v>20</v>
      </c>
      <c r="H759" s="1" t="s">
        <v>41</v>
      </c>
      <c r="I759" s="1" t="s">
        <v>15</v>
      </c>
      <c r="J759" s="1" t="str">
        <f t="shared" si="22"/>
        <v>delivered</v>
      </c>
      <c r="K759" s="1" t="str">
        <f>_xlfn.XLOOKUP(C759, 'Product Catalog'!$A:$A, 'Product Catalog'!$B:$B, "Unknown Product")</f>
        <v>Premium Stream 1M Model B53</v>
      </c>
      <c r="L759" s="1" t="str">
        <f>_xlfn.XLOOKUP(C759, 'Product Catalog'!$A:$A, 'Product Catalog'!$C:$C, "Unknown Category")</f>
        <v>Digital Services</v>
      </c>
      <c r="M759" s="1">
        <f>_xlfn.XLOOKUP(C759, 'Product Catalog'!$A:$A, 'Product Catalog'!$D:$D, 0)</f>
        <v>13.87</v>
      </c>
      <c r="N759" s="1">
        <f t="shared" si="23"/>
        <v>27.74</v>
      </c>
    </row>
    <row r="760" spans="1:14" x14ac:dyDescent="0.3">
      <c r="A760" s="1" t="s">
        <v>1213</v>
      </c>
      <c r="B760" s="1" t="s">
        <v>1164</v>
      </c>
      <c r="C760" s="1" t="s">
        <v>633</v>
      </c>
      <c r="D760" s="1">
        <v>1</v>
      </c>
      <c r="E760" s="12">
        <v>45702.397222222222</v>
      </c>
      <c r="F760" s="1" t="s">
        <v>19</v>
      </c>
      <c r="G760" s="1" t="s">
        <v>46</v>
      </c>
      <c r="H760" s="1" t="s">
        <v>14</v>
      </c>
      <c r="I760" s="1" t="s">
        <v>15</v>
      </c>
      <c r="J760" s="1" t="str">
        <f t="shared" si="22"/>
        <v>delivered</v>
      </c>
      <c r="K760" s="1" t="str">
        <f>_xlfn.XLOOKUP(C760, 'Product Catalog'!$A:$A, 'Product Catalog'!$B:$B, "Unknown Product")</f>
        <v>Keyboard Model X49</v>
      </c>
      <c r="L760" s="1" t="str">
        <f>_xlfn.XLOOKUP(C760, 'Product Catalog'!$A:$A, 'Product Catalog'!$C:$C, "Unknown Category")</f>
        <v>Electronics</v>
      </c>
      <c r="M760" s="1">
        <f>_xlfn.XLOOKUP(C760, 'Product Catalog'!$A:$A, 'Product Catalog'!$D:$D, 0)</f>
        <v>30.84</v>
      </c>
      <c r="N760" s="1">
        <f t="shared" si="23"/>
        <v>30.84</v>
      </c>
    </row>
    <row r="761" spans="1:14" x14ac:dyDescent="0.3">
      <c r="A761" s="1" t="s">
        <v>1214</v>
      </c>
      <c r="B761" s="1" t="s">
        <v>652</v>
      </c>
      <c r="C761" s="1" t="s">
        <v>137</v>
      </c>
      <c r="D761" s="1">
        <v>1</v>
      </c>
      <c r="E761" s="12">
        <v>45854.195138888892</v>
      </c>
      <c r="F761" s="1" t="s">
        <v>19</v>
      </c>
      <c r="G761" s="1" t="s">
        <v>31</v>
      </c>
      <c r="H761" s="1" t="s">
        <v>24</v>
      </c>
      <c r="I761" s="1" t="s">
        <v>15</v>
      </c>
      <c r="J761" s="1" t="str">
        <f t="shared" si="22"/>
        <v>delivered</v>
      </c>
      <c r="K761" s="1" t="str">
        <f>_xlfn.XLOOKUP(C761, 'Product Catalog'!$A:$A, 'Product Catalog'!$B:$B, "Unknown Product")</f>
        <v>VPN 6-Month Pass Model M90</v>
      </c>
      <c r="L761" s="1" t="str">
        <f>_xlfn.XLOOKUP(C761, 'Product Catalog'!$A:$A, 'Product Catalog'!$C:$C, "Unknown Category")</f>
        <v>Digital Services</v>
      </c>
      <c r="M761" s="1">
        <f>_xlfn.XLOOKUP(C761, 'Product Catalog'!$A:$A, 'Product Catalog'!$D:$D, 0)</f>
        <v>5.91</v>
      </c>
      <c r="N761" s="1">
        <f t="shared" si="23"/>
        <v>5.91</v>
      </c>
    </row>
    <row r="762" spans="1:14" x14ac:dyDescent="0.3">
      <c r="A762" s="1" t="s">
        <v>1215</v>
      </c>
      <c r="B762" s="1" t="s">
        <v>142</v>
      </c>
      <c r="C762" s="1" t="s">
        <v>105</v>
      </c>
      <c r="D762" s="1">
        <v>2</v>
      </c>
      <c r="E762" s="12">
        <v>45872.283333333333</v>
      </c>
      <c r="F762" s="1" t="s">
        <v>19</v>
      </c>
      <c r="G762" s="1" t="s">
        <v>31</v>
      </c>
      <c r="H762" s="1" t="s">
        <v>14</v>
      </c>
      <c r="I762" s="1" t="s">
        <v>15</v>
      </c>
      <c r="J762" s="1" t="str">
        <f t="shared" si="22"/>
        <v>delivered</v>
      </c>
      <c r="K762" s="1" t="str">
        <f>_xlfn.XLOOKUP(C762, 'Product Catalog'!$A:$A, 'Product Catalog'!$B:$B, "Unknown Product")</f>
        <v>Keyboard Model E4</v>
      </c>
      <c r="L762" s="1" t="str">
        <f>_xlfn.XLOOKUP(C762, 'Product Catalog'!$A:$A, 'Product Catalog'!$C:$C, "Unknown Category")</f>
        <v>Electronics</v>
      </c>
      <c r="M762" s="1">
        <f>_xlfn.XLOOKUP(C762, 'Product Catalog'!$A:$A, 'Product Catalog'!$D:$D, 0)</f>
        <v>69.680000000000007</v>
      </c>
      <c r="N762" s="1">
        <f t="shared" si="23"/>
        <v>139.36000000000001</v>
      </c>
    </row>
    <row r="763" spans="1:14" x14ac:dyDescent="0.3">
      <c r="A763" s="1" t="s">
        <v>1216</v>
      </c>
      <c r="B763" s="1" t="s">
        <v>255</v>
      </c>
      <c r="C763" s="1" t="s">
        <v>352</v>
      </c>
      <c r="D763" s="1">
        <v>1</v>
      </c>
      <c r="E763" s="12">
        <v>45987.74722222222</v>
      </c>
      <c r="F763" s="1" t="s">
        <v>19</v>
      </c>
      <c r="G763" s="1" t="s">
        <v>50</v>
      </c>
      <c r="H763" s="1" t="s">
        <v>51</v>
      </c>
      <c r="I763" s="1" t="s">
        <v>56</v>
      </c>
      <c r="J763" s="1" t="str">
        <f t="shared" si="22"/>
        <v>cancelled</v>
      </c>
      <c r="K763" s="1" t="str">
        <f>_xlfn.XLOOKUP(C763, 'Product Catalog'!$A:$A, 'Product Catalog'!$B:$B, "Unknown Product")</f>
        <v>VPN 6-Month Pass Model U46</v>
      </c>
      <c r="L763" s="1" t="str">
        <f>_xlfn.XLOOKUP(C763, 'Product Catalog'!$A:$A, 'Product Catalog'!$C:$C, "Unknown Category")</f>
        <v>Digital Services</v>
      </c>
      <c r="M763" s="1">
        <f>_xlfn.XLOOKUP(C763, 'Product Catalog'!$A:$A, 'Product Catalog'!$D:$D, 0)</f>
        <v>47.44</v>
      </c>
      <c r="N763" s="1">
        <f t="shared" si="23"/>
        <v>47.44</v>
      </c>
    </row>
    <row r="764" spans="1:14" x14ac:dyDescent="0.3">
      <c r="A764" s="1" t="s">
        <v>1217</v>
      </c>
      <c r="B764" s="1" t="s">
        <v>886</v>
      </c>
      <c r="C764" s="1" t="s">
        <v>160</v>
      </c>
      <c r="D764" s="1">
        <v>1</v>
      </c>
      <c r="E764" s="12">
        <v>45785.896527777775</v>
      </c>
      <c r="F764" s="1" t="s">
        <v>19</v>
      </c>
      <c r="G764" s="1" t="s">
        <v>50</v>
      </c>
      <c r="H764" s="1" t="s">
        <v>51</v>
      </c>
      <c r="I764" s="1" t="s">
        <v>81</v>
      </c>
      <c r="J764" s="1" t="str">
        <f t="shared" si="22"/>
        <v>REFUNDED</v>
      </c>
      <c r="K764" s="1" t="str">
        <f>_xlfn.XLOOKUP(C764, 'Product Catalog'!$A:$A, 'Product Catalog'!$B:$B, "Unknown Product")</f>
        <v>Socks Model T149</v>
      </c>
      <c r="L764" s="1" t="str">
        <f>_xlfn.XLOOKUP(C764, 'Product Catalog'!$A:$A, 'Product Catalog'!$C:$C, "Unknown Category")</f>
        <v>Apparel</v>
      </c>
      <c r="M764" s="1">
        <f>_xlfn.XLOOKUP(C764, 'Product Catalog'!$A:$A, 'Product Catalog'!$D:$D, 0)</f>
        <v>45.95</v>
      </c>
      <c r="N764" s="1">
        <f t="shared" si="23"/>
        <v>45.95</v>
      </c>
    </row>
    <row r="765" spans="1:14" x14ac:dyDescent="0.3">
      <c r="A765" s="1" t="s">
        <v>1218</v>
      </c>
      <c r="B765" s="1" t="s">
        <v>834</v>
      </c>
      <c r="C765" s="1" t="s">
        <v>224</v>
      </c>
      <c r="D765" s="1">
        <v>1</v>
      </c>
      <c r="E765" s="12">
        <v>45936.027083333334</v>
      </c>
      <c r="F765" s="1" t="s">
        <v>12</v>
      </c>
      <c r="G765" s="1" t="s">
        <v>50</v>
      </c>
      <c r="H765" s="1" t="s">
        <v>55</v>
      </c>
      <c r="I765" s="1" t="s">
        <v>42</v>
      </c>
      <c r="J765" s="1" t="str">
        <f t="shared" si="22"/>
        <v>PENDING_REVIEW</v>
      </c>
      <c r="K765" s="1" t="str">
        <f>_xlfn.XLOOKUP(C765, 'Product Catalog'!$A:$A, 'Product Catalog'!$B:$B, "Unknown Product")</f>
        <v>Organizer Model P93</v>
      </c>
      <c r="L765" s="1" t="str">
        <f>_xlfn.XLOOKUP(C765, 'Product Catalog'!$A:$A, 'Product Catalog'!$C:$C, "Unknown Category")</f>
        <v>Home Goods</v>
      </c>
      <c r="M765" s="1">
        <f>_xlfn.XLOOKUP(C765, 'Product Catalog'!$A:$A, 'Product Catalog'!$D:$D, 0)</f>
        <v>175.55</v>
      </c>
      <c r="N765" s="1">
        <f t="shared" si="23"/>
        <v>175.55</v>
      </c>
    </row>
    <row r="766" spans="1:14" x14ac:dyDescent="0.3">
      <c r="A766" s="1" t="s">
        <v>1219</v>
      </c>
      <c r="B766" s="1" t="s">
        <v>1220</v>
      </c>
      <c r="C766" s="1" t="s">
        <v>160</v>
      </c>
      <c r="D766" s="1">
        <v>1</v>
      </c>
      <c r="E766" s="12">
        <v>45853.510416666664</v>
      </c>
      <c r="F766" s="1" t="s">
        <v>12</v>
      </c>
      <c r="G766" s="1" t="s">
        <v>20</v>
      </c>
      <c r="H766" s="1" t="s">
        <v>14</v>
      </c>
      <c r="I766" s="1" t="s">
        <v>32</v>
      </c>
      <c r="J766" s="1" t="str">
        <f t="shared" si="22"/>
        <v>SHIPPED</v>
      </c>
      <c r="K766" s="1" t="str">
        <f>_xlfn.XLOOKUP(C766, 'Product Catalog'!$A:$A, 'Product Catalog'!$B:$B, "Unknown Product")</f>
        <v>Socks Model T149</v>
      </c>
      <c r="L766" s="1" t="str">
        <f>_xlfn.XLOOKUP(C766, 'Product Catalog'!$A:$A, 'Product Catalog'!$C:$C, "Unknown Category")</f>
        <v>Apparel</v>
      </c>
      <c r="M766" s="1">
        <f>_xlfn.XLOOKUP(C766, 'Product Catalog'!$A:$A, 'Product Catalog'!$D:$D, 0)</f>
        <v>45.95</v>
      </c>
      <c r="N766" s="1">
        <f t="shared" si="23"/>
        <v>45.95</v>
      </c>
    </row>
    <row r="767" spans="1:14" x14ac:dyDescent="0.3">
      <c r="A767" s="1" t="s">
        <v>1221</v>
      </c>
      <c r="B767" s="1" t="s">
        <v>902</v>
      </c>
      <c r="C767" s="1" t="s">
        <v>367</v>
      </c>
      <c r="D767" s="1">
        <v>1</v>
      </c>
      <c r="E767" s="12">
        <v>45903.774305555555</v>
      </c>
      <c r="F767" s="1" t="s">
        <v>19</v>
      </c>
      <c r="G767" s="1" t="s">
        <v>46</v>
      </c>
      <c r="H767" s="1" t="s">
        <v>24</v>
      </c>
      <c r="I767" s="1" t="s">
        <v>15</v>
      </c>
      <c r="J767" s="1" t="str">
        <f t="shared" si="22"/>
        <v>delivered</v>
      </c>
      <c r="K767" s="1" t="str">
        <f>_xlfn.XLOOKUP(C767, 'Product Catalog'!$A:$A, 'Product Catalog'!$B:$B, "Unknown Product")</f>
        <v>Cable Model P67</v>
      </c>
      <c r="L767" s="1" t="str">
        <f>_xlfn.XLOOKUP(C767, 'Product Catalog'!$A:$A, 'Product Catalog'!$C:$C, "Unknown Category")</f>
        <v>Electronics</v>
      </c>
      <c r="M767" s="1">
        <f>_xlfn.XLOOKUP(C767, 'Product Catalog'!$A:$A, 'Product Catalog'!$D:$D, 0)</f>
        <v>187.9</v>
      </c>
      <c r="N767" s="1">
        <f t="shared" si="23"/>
        <v>187.9</v>
      </c>
    </row>
    <row r="768" spans="1:14" x14ac:dyDescent="0.3">
      <c r="A768" s="1" t="s">
        <v>1222</v>
      </c>
      <c r="B768" s="1" t="s">
        <v>145</v>
      </c>
      <c r="C768" s="1" t="s">
        <v>399</v>
      </c>
      <c r="D768" s="1">
        <v>1</v>
      </c>
      <c r="E768" s="12">
        <v>45906.488888888889</v>
      </c>
      <c r="F768" s="1" t="s">
        <v>12</v>
      </c>
      <c r="G768" s="1" t="s">
        <v>13</v>
      </c>
      <c r="H768" s="1" t="s">
        <v>14</v>
      </c>
      <c r="I768" s="1" t="s">
        <v>15</v>
      </c>
      <c r="J768" s="1" t="str">
        <f t="shared" si="22"/>
        <v>delivered</v>
      </c>
      <c r="K768" s="1" t="str">
        <f>_xlfn.XLOOKUP(C768, 'Product Catalog'!$A:$A, 'Product Catalog'!$B:$B, "Unknown Product")</f>
        <v>E-Book Access Model W22</v>
      </c>
      <c r="L768" s="1" t="str">
        <f>_xlfn.XLOOKUP(C768, 'Product Catalog'!$A:$A, 'Product Catalog'!$C:$C, "Unknown Category")</f>
        <v>Digital Services</v>
      </c>
      <c r="M768" s="1">
        <f>_xlfn.XLOOKUP(C768, 'Product Catalog'!$A:$A, 'Product Catalog'!$D:$D, 0)</f>
        <v>11.22</v>
      </c>
      <c r="N768" s="1">
        <f t="shared" si="23"/>
        <v>11.22</v>
      </c>
    </row>
    <row r="769" spans="1:14" x14ac:dyDescent="0.3">
      <c r="A769" s="1" t="s">
        <v>1223</v>
      </c>
      <c r="B769" s="1" t="s">
        <v>1164</v>
      </c>
      <c r="C769" s="1" t="s">
        <v>108</v>
      </c>
      <c r="D769" s="1">
        <v>2</v>
      </c>
      <c r="E769" s="12">
        <v>45947.713888888888</v>
      </c>
      <c r="F769" s="1" t="s">
        <v>19</v>
      </c>
      <c r="G769" s="1" t="s">
        <v>20</v>
      </c>
      <c r="H769" s="1" t="s">
        <v>14</v>
      </c>
      <c r="I769" s="1" t="s">
        <v>15</v>
      </c>
      <c r="J769" s="1" t="str">
        <f t="shared" si="22"/>
        <v>delivered</v>
      </c>
      <c r="K769" s="1" t="str">
        <f>_xlfn.XLOOKUP(C769, 'Product Catalog'!$A:$A, 'Product Catalog'!$B:$B, "Unknown Product")</f>
        <v>Smartwatch Model H7</v>
      </c>
      <c r="L769" s="1" t="str">
        <f>_xlfn.XLOOKUP(C769, 'Product Catalog'!$A:$A, 'Product Catalog'!$C:$C, "Unknown Category")</f>
        <v>Electronics</v>
      </c>
      <c r="M769" s="1">
        <f>_xlfn.XLOOKUP(C769, 'Product Catalog'!$A:$A, 'Product Catalog'!$D:$D, 0)</f>
        <v>204.37</v>
      </c>
      <c r="N769" s="1">
        <f t="shared" si="23"/>
        <v>408.74</v>
      </c>
    </row>
    <row r="770" spans="1:14" x14ac:dyDescent="0.3">
      <c r="A770" s="1" t="s">
        <v>1224</v>
      </c>
      <c r="B770" s="1" t="s">
        <v>827</v>
      </c>
      <c r="C770" s="1" t="s">
        <v>691</v>
      </c>
      <c r="D770" s="1">
        <v>5</v>
      </c>
      <c r="E770" s="12">
        <v>45822.552083333336</v>
      </c>
      <c r="F770" s="1" t="s">
        <v>170</v>
      </c>
      <c r="G770" s="1" t="s">
        <v>109</v>
      </c>
      <c r="H770" s="1" t="s">
        <v>55</v>
      </c>
      <c r="I770" s="1" t="s">
        <v>102</v>
      </c>
      <c r="J770" s="1" t="str">
        <f t="shared" ref="J770:J833" si="24">TRIM(I770)</f>
        <v>disputed</v>
      </c>
      <c r="K770" s="1" t="str">
        <f>_xlfn.XLOOKUP(C770, 'Product Catalog'!$A:$A, 'Product Catalog'!$B:$B, "Unknown Product")</f>
        <v>Designer Watch Model T123</v>
      </c>
      <c r="L770" s="1" t="str">
        <f>_xlfn.XLOOKUP(C770, 'Product Catalog'!$A:$A, 'Product Catalog'!$C:$C, "Unknown Category")</f>
        <v>Luxury Goods</v>
      </c>
      <c r="M770" s="1">
        <f>_xlfn.XLOOKUP(C770, 'Product Catalog'!$A:$A, 'Product Catalog'!$D:$D, 0)</f>
        <v>1301.92</v>
      </c>
      <c r="N770" s="1">
        <f t="shared" ref="N770:N833" si="25">D770 * M770</f>
        <v>6509.6</v>
      </c>
    </row>
    <row r="771" spans="1:14" x14ac:dyDescent="0.3">
      <c r="A771" s="1" t="s">
        <v>1225</v>
      </c>
      <c r="B771" s="1" t="s">
        <v>811</v>
      </c>
      <c r="C771" s="1" t="s">
        <v>482</v>
      </c>
      <c r="D771" s="1">
        <v>5</v>
      </c>
      <c r="E771" s="12">
        <v>45796.255555555559</v>
      </c>
      <c r="F771" s="1" t="s">
        <v>39</v>
      </c>
      <c r="G771" s="1" t="s">
        <v>40</v>
      </c>
      <c r="H771" s="1" t="s">
        <v>55</v>
      </c>
      <c r="I771" s="1" t="s">
        <v>81</v>
      </c>
      <c r="J771" s="1" t="str">
        <f t="shared" si="24"/>
        <v>REFUNDED</v>
      </c>
      <c r="K771" s="1" t="str">
        <f>_xlfn.XLOOKUP(C771, 'Product Catalog'!$A:$A, 'Product Catalog'!$B:$B, "Unknown Product")</f>
        <v>VPN 6-Month Pass Model E30</v>
      </c>
      <c r="L771" s="1" t="str">
        <f>_xlfn.XLOOKUP(C771, 'Product Catalog'!$A:$A, 'Product Catalog'!$C:$C, "Unknown Category")</f>
        <v>Digital Services</v>
      </c>
      <c r="M771" s="1">
        <f>_xlfn.XLOOKUP(C771, 'Product Catalog'!$A:$A, 'Product Catalog'!$D:$D, 0)</f>
        <v>28.63</v>
      </c>
      <c r="N771" s="1">
        <f t="shared" si="25"/>
        <v>143.15</v>
      </c>
    </row>
    <row r="772" spans="1:14" x14ac:dyDescent="0.3">
      <c r="A772" s="1" t="s">
        <v>1226</v>
      </c>
      <c r="B772" s="1" t="s">
        <v>581</v>
      </c>
      <c r="C772" s="1" t="s">
        <v>11</v>
      </c>
      <c r="D772" s="1">
        <v>1</v>
      </c>
      <c r="E772" s="12">
        <v>45671.453472222223</v>
      </c>
      <c r="F772" s="1" t="s">
        <v>12</v>
      </c>
      <c r="G772" s="1" t="s">
        <v>13</v>
      </c>
      <c r="H772" s="1" t="s">
        <v>14</v>
      </c>
      <c r="I772" s="1" t="s">
        <v>15</v>
      </c>
      <c r="J772" s="1" t="str">
        <f t="shared" si="24"/>
        <v>delivered</v>
      </c>
      <c r="K772" s="1" t="str">
        <f>_xlfn.XLOOKUP(C772, 'Product Catalog'!$A:$A, 'Product Catalog'!$B:$B, "Unknown Product")</f>
        <v>Keyboard Model F57</v>
      </c>
      <c r="L772" s="1" t="str">
        <f>_xlfn.XLOOKUP(C772, 'Product Catalog'!$A:$A, 'Product Catalog'!$C:$C, "Unknown Category")</f>
        <v>Electronics</v>
      </c>
      <c r="M772" s="1">
        <f>_xlfn.XLOOKUP(C772, 'Product Catalog'!$A:$A, 'Product Catalog'!$D:$D, 0)</f>
        <v>60.02</v>
      </c>
      <c r="N772" s="1">
        <f t="shared" si="25"/>
        <v>60.02</v>
      </c>
    </row>
    <row r="773" spans="1:14" x14ac:dyDescent="0.3">
      <c r="A773" s="1" t="s">
        <v>1227</v>
      </c>
      <c r="B773" s="1" t="s">
        <v>1026</v>
      </c>
      <c r="C773" s="1" t="s">
        <v>339</v>
      </c>
      <c r="D773" s="1">
        <v>5</v>
      </c>
      <c r="E773" s="12">
        <v>45963.311111111114</v>
      </c>
      <c r="F773" s="1" t="s">
        <v>19</v>
      </c>
      <c r="G773" s="1" t="s">
        <v>40</v>
      </c>
      <c r="H773" s="1" t="s">
        <v>55</v>
      </c>
      <c r="I773" s="1" t="s">
        <v>42</v>
      </c>
      <c r="J773" s="1" t="str">
        <f t="shared" si="24"/>
        <v>PENDING_REVIEW</v>
      </c>
      <c r="K773" s="1" t="str">
        <f>_xlfn.XLOOKUP(C773, 'Product Catalog'!$A:$A, 'Product Catalog'!$B:$B, "Unknown Product")</f>
        <v>E-Book Access Model K114</v>
      </c>
      <c r="L773" s="1" t="str">
        <f>_xlfn.XLOOKUP(C773, 'Product Catalog'!$A:$A, 'Product Catalog'!$C:$C, "Unknown Category")</f>
        <v>Digital Services</v>
      </c>
      <c r="M773" s="1">
        <f>_xlfn.XLOOKUP(C773, 'Product Catalog'!$A:$A, 'Product Catalog'!$D:$D, 0)</f>
        <v>57.11</v>
      </c>
      <c r="N773" s="1">
        <f t="shared" si="25"/>
        <v>285.55</v>
      </c>
    </row>
    <row r="774" spans="1:14" x14ac:dyDescent="0.3">
      <c r="A774" s="1" t="s">
        <v>1228</v>
      </c>
      <c r="B774" s="1" t="s">
        <v>236</v>
      </c>
      <c r="C774" s="1" t="s">
        <v>677</v>
      </c>
      <c r="D774" s="1">
        <v>2</v>
      </c>
      <c r="E774" s="12">
        <v>45673.399305555555</v>
      </c>
      <c r="F774" s="1" t="s">
        <v>12</v>
      </c>
      <c r="G774" s="1" t="s">
        <v>31</v>
      </c>
      <c r="H774" s="1" t="s">
        <v>41</v>
      </c>
      <c r="I774" s="1" t="s">
        <v>15</v>
      </c>
      <c r="J774" s="1" t="str">
        <f t="shared" si="24"/>
        <v>delivered</v>
      </c>
      <c r="K774" s="1" t="str">
        <f>_xlfn.XLOOKUP(C774, 'Product Catalog'!$A:$A, 'Product Catalog'!$B:$B, "Unknown Product")</f>
        <v>Charger Model Y128</v>
      </c>
      <c r="L774" s="1" t="str">
        <f>_xlfn.XLOOKUP(C774, 'Product Catalog'!$A:$A, 'Product Catalog'!$C:$C, "Unknown Category")</f>
        <v>Electronics</v>
      </c>
      <c r="M774" s="1">
        <f>_xlfn.XLOOKUP(C774, 'Product Catalog'!$A:$A, 'Product Catalog'!$D:$D, 0)</f>
        <v>46.33</v>
      </c>
      <c r="N774" s="1">
        <f t="shared" si="25"/>
        <v>92.66</v>
      </c>
    </row>
    <row r="775" spans="1:14" x14ac:dyDescent="0.3">
      <c r="A775" s="1" t="s">
        <v>1229</v>
      </c>
      <c r="B775" s="1" t="s">
        <v>156</v>
      </c>
      <c r="C775" s="1" t="s">
        <v>203</v>
      </c>
      <c r="D775" s="1">
        <v>1</v>
      </c>
      <c r="E775" s="12">
        <v>45687.67083333333</v>
      </c>
      <c r="F775" s="1" t="s">
        <v>12</v>
      </c>
      <c r="G775" s="1" t="s">
        <v>13</v>
      </c>
      <c r="H775" s="1" t="s">
        <v>14</v>
      </c>
      <c r="I775" s="1" t="s">
        <v>15</v>
      </c>
      <c r="J775" s="1" t="str">
        <f t="shared" si="24"/>
        <v>delivered</v>
      </c>
      <c r="K775" s="1" t="str">
        <f>_xlfn.XLOOKUP(C775, 'Product Catalog'!$A:$A, 'Product Catalog'!$B:$B, "Unknown Product")</f>
        <v>Pillow Model R17</v>
      </c>
      <c r="L775" s="1" t="str">
        <f>_xlfn.XLOOKUP(C775, 'Product Catalog'!$A:$A, 'Product Catalog'!$C:$C, "Unknown Category")</f>
        <v>Home Goods</v>
      </c>
      <c r="M775" s="1">
        <f>_xlfn.XLOOKUP(C775, 'Product Catalog'!$A:$A, 'Product Catalog'!$D:$D, 0)</f>
        <v>169.86</v>
      </c>
      <c r="N775" s="1">
        <f t="shared" si="25"/>
        <v>169.86</v>
      </c>
    </row>
    <row r="776" spans="1:14" x14ac:dyDescent="0.3">
      <c r="A776" s="1" t="s">
        <v>1230</v>
      </c>
      <c r="B776" s="1" t="s">
        <v>572</v>
      </c>
      <c r="C776" s="1" t="s">
        <v>125</v>
      </c>
      <c r="D776" s="1">
        <v>1</v>
      </c>
      <c r="E776" s="12">
        <v>45929.508333333331</v>
      </c>
      <c r="F776" s="1" t="s">
        <v>12</v>
      </c>
      <c r="G776" s="1" t="s">
        <v>40</v>
      </c>
      <c r="H776" s="1" t="s">
        <v>51</v>
      </c>
      <c r="I776" s="1" t="s">
        <v>81</v>
      </c>
      <c r="J776" s="1" t="str">
        <f t="shared" si="24"/>
        <v>REFUNDED</v>
      </c>
      <c r="K776" s="1" t="str">
        <f>_xlfn.XLOOKUP(C776, 'Product Catalog'!$A:$A, 'Product Catalog'!$B:$B, "Unknown Product")</f>
        <v>Coffee Maker Model J9</v>
      </c>
      <c r="L776" s="1" t="str">
        <f>_xlfn.XLOOKUP(C776, 'Product Catalog'!$A:$A, 'Product Catalog'!$C:$C, "Unknown Category")</f>
        <v>Home Goods</v>
      </c>
      <c r="M776" s="1">
        <f>_xlfn.XLOOKUP(C776, 'Product Catalog'!$A:$A, 'Product Catalog'!$D:$D, 0)</f>
        <v>34.840000000000003</v>
      </c>
      <c r="N776" s="1">
        <f t="shared" si="25"/>
        <v>34.840000000000003</v>
      </c>
    </row>
    <row r="777" spans="1:14" x14ac:dyDescent="0.3">
      <c r="A777" s="1" t="s">
        <v>1231</v>
      </c>
      <c r="B777" s="1" t="s">
        <v>555</v>
      </c>
      <c r="C777" s="1" t="s">
        <v>498</v>
      </c>
      <c r="D777" s="1">
        <v>4</v>
      </c>
      <c r="E777" s="12">
        <v>45957.330555555556</v>
      </c>
      <c r="F777" s="1" t="s">
        <v>170</v>
      </c>
      <c r="G777" s="1" t="s">
        <v>109</v>
      </c>
      <c r="H777" s="1" t="s">
        <v>51</v>
      </c>
      <c r="I777" s="1" t="s">
        <v>56</v>
      </c>
      <c r="J777" s="1" t="str">
        <f t="shared" si="24"/>
        <v>cancelled</v>
      </c>
      <c r="K777" s="1" t="str">
        <f>_xlfn.XLOOKUP(C777, 'Product Catalog'!$A:$A, 'Product Catalog'!$B:$B, "Unknown Product")</f>
        <v>Leather Handbag Model N143</v>
      </c>
      <c r="L777" s="1" t="str">
        <f>_xlfn.XLOOKUP(C777, 'Product Catalog'!$A:$A, 'Product Catalog'!$C:$C, "Unknown Category")</f>
        <v>Luxury Goods</v>
      </c>
      <c r="M777" s="1">
        <f>_xlfn.XLOOKUP(C777, 'Product Catalog'!$A:$A, 'Product Catalog'!$D:$D, 0)</f>
        <v>1374.1</v>
      </c>
      <c r="N777" s="1">
        <f t="shared" si="25"/>
        <v>5496.4</v>
      </c>
    </row>
    <row r="778" spans="1:14" x14ac:dyDescent="0.3">
      <c r="A778" s="1" t="s">
        <v>1232</v>
      </c>
      <c r="B778" s="1" t="s">
        <v>1233</v>
      </c>
      <c r="C778" s="1" t="s">
        <v>485</v>
      </c>
      <c r="D778" s="1">
        <v>1</v>
      </c>
      <c r="E778" s="12">
        <v>45739.142361111109</v>
      </c>
      <c r="F778" s="1" t="s">
        <v>185</v>
      </c>
      <c r="G778" s="1" t="s">
        <v>109</v>
      </c>
      <c r="H778" s="1" t="s">
        <v>14</v>
      </c>
      <c r="I778" s="1" t="s">
        <v>32</v>
      </c>
      <c r="J778" s="1" t="str">
        <f t="shared" si="24"/>
        <v>SHIPPED</v>
      </c>
      <c r="K778" s="1" t="str">
        <f>_xlfn.XLOOKUP(C778, 'Product Catalog'!$A:$A, 'Product Catalog'!$B:$B, "Unknown Product")</f>
        <v>Smartwatch Model K140</v>
      </c>
      <c r="L778" s="1" t="str">
        <f>_xlfn.XLOOKUP(C778, 'Product Catalog'!$A:$A, 'Product Catalog'!$C:$C, "Unknown Category")</f>
        <v>Electronics</v>
      </c>
      <c r="M778" s="1">
        <f>_xlfn.XLOOKUP(C778, 'Product Catalog'!$A:$A, 'Product Catalog'!$D:$D, 0)</f>
        <v>221.95</v>
      </c>
      <c r="N778" s="1">
        <f t="shared" si="25"/>
        <v>221.95</v>
      </c>
    </row>
    <row r="779" spans="1:14" x14ac:dyDescent="0.3">
      <c r="A779" s="1" t="s">
        <v>1234</v>
      </c>
      <c r="B779" s="1" t="s">
        <v>258</v>
      </c>
      <c r="C779" s="1" t="s">
        <v>30</v>
      </c>
      <c r="D779" s="1">
        <v>1</v>
      </c>
      <c r="E779" s="12">
        <v>45784.934027777781</v>
      </c>
      <c r="F779" s="1" t="s">
        <v>12</v>
      </c>
      <c r="G779" s="1" t="s">
        <v>109</v>
      </c>
      <c r="H779" s="1" t="s">
        <v>14</v>
      </c>
      <c r="I779" s="1" t="s">
        <v>32</v>
      </c>
      <c r="J779" s="1" t="str">
        <f t="shared" si="24"/>
        <v>SHIPPED</v>
      </c>
      <c r="K779" s="1" t="str">
        <f>_xlfn.XLOOKUP(C779, 'Product Catalog'!$A:$A, 'Product Catalog'!$B:$B, "Unknown Product")</f>
        <v>VPN 6-Month Pass Model B131</v>
      </c>
      <c r="L779" s="1" t="str">
        <f>_xlfn.XLOOKUP(C779, 'Product Catalog'!$A:$A, 'Product Catalog'!$C:$C, "Unknown Category")</f>
        <v>Digital Services</v>
      </c>
      <c r="M779" s="1">
        <f>_xlfn.XLOOKUP(C779, 'Product Catalog'!$A:$A, 'Product Catalog'!$D:$D, 0)</f>
        <v>46.92</v>
      </c>
      <c r="N779" s="1">
        <f t="shared" si="25"/>
        <v>46.92</v>
      </c>
    </row>
    <row r="780" spans="1:14" x14ac:dyDescent="0.3">
      <c r="A780" s="1" t="s">
        <v>1235</v>
      </c>
      <c r="B780" s="1" t="s">
        <v>515</v>
      </c>
      <c r="C780" s="1" t="s">
        <v>176</v>
      </c>
      <c r="D780" s="1">
        <v>5</v>
      </c>
      <c r="E780" s="12">
        <v>45781.378472222219</v>
      </c>
      <c r="F780" s="1" t="s">
        <v>170</v>
      </c>
      <c r="G780" s="1" t="s">
        <v>13</v>
      </c>
      <c r="H780" s="1" t="s">
        <v>41</v>
      </c>
      <c r="I780" s="1" t="s">
        <v>102</v>
      </c>
      <c r="J780" s="1" t="str">
        <f t="shared" si="24"/>
        <v>disputed</v>
      </c>
      <c r="K780" s="1" t="str">
        <f>_xlfn.XLOOKUP(C780, 'Product Catalog'!$A:$A, 'Product Catalog'!$B:$B, "Unknown Product")</f>
        <v>Leather Handbag Model U124</v>
      </c>
      <c r="L780" s="1" t="str">
        <f>_xlfn.XLOOKUP(C780, 'Product Catalog'!$A:$A, 'Product Catalog'!$C:$C, "Unknown Category")</f>
        <v>Luxury Goods</v>
      </c>
      <c r="M780" s="1">
        <f>_xlfn.XLOOKUP(C780, 'Product Catalog'!$A:$A, 'Product Catalog'!$D:$D, 0)</f>
        <v>1880.36</v>
      </c>
      <c r="N780" s="1">
        <f t="shared" si="25"/>
        <v>9401.7999999999993</v>
      </c>
    </row>
    <row r="781" spans="1:14" x14ac:dyDescent="0.3">
      <c r="A781" s="1" t="s">
        <v>1236</v>
      </c>
      <c r="B781" s="1" t="s">
        <v>127</v>
      </c>
      <c r="C781" s="1" t="s">
        <v>143</v>
      </c>
      <c r="D781" s="1">
        <v>5</v>
      </c>
      <c r="E781" s="12">
        <v>45931.07916666667</v>
      </c>
      <c r="F781" s="1" t="s">
        <v>170</v>
      </c>
      <c r="G781" s="1" t="s">
        <v>31</v>
      </c>
      <c r="H781" s="1" t="s">
        <v>51</v>
      </c>
      <c r="I781" s="1" t="s">
        <v>102</v>
      </c>
      <c r="J781" s="1" t="str">
        <f t="shared" si="24"/>
        <v>disputed</v>
      </c>
      <c r="K781" s="1" t="str">
        <f>_xlfn.XLOOKUP(C781, 'Product Catalog'!$A:$A, 'Product Catalog'!$B:$B, "Unknown Product")</f>
        <v>Designer Watch Model D3</v>
      </c>
      <c r="L781" s="1" t="str">
        <f>_xlfn.XLOOKUP(C781, 'Product Catalog'!$A:$A, 'Product Catalog'!$C:$C, "Unknown Category")</f>
        <v>Luxury Goods</v>
      </c>
      <c r="M781" s="1">
        <f>_xlfn.XLOOKUP(C781, 'Product Catalog'!$A:$A, 'Product Catalog'!$D:$D, 0)</f>
        <v>1599.08</v>
      </c>
      <c r="N781" s="1">
        <f t="shared" si="25"/>
        <v>7995.4</v>
      </c>
    </row>
    <row r="782" spans="1:14" x14ac:dyDescent="0.3">
      <c r="A782" s="1" t="s">
        <v>1237</v>
      </c>
      <c r="B782" s="1" t="s">
        <v>150</v>
      </c>
      <c r="C782" s="1" t="s">
        <v>281</v>
      </c>
      <c r="D782" s="1">
        <v>2</v>
      </c>
      <c r="E782" s="12">
        <v>45770.818749999999</v>
      </c>
      <c r="F782" s="1" t="s">
        <v>12</v>
      </c>
      <c r="G782" s="1" t="s">
        <v>13</v>
      </c>
      <c r="H782" s="1" t="s">
        <v>41</v>
      </c>
      <c r="I782" s="1" t="s">
        <v>15</v>
      </c>
      <c r="J782" s="1" t="str">
        <f t="shared" si="24"/>
        <v>delivered</v>
      </c>
      <c r="K782" s="1" t="str">
        <f>_xlfn.XLOOKUP(C782, 'Product Catalog'!$A:$A, 'Product Catalog'!$B:$B, "Unknown Product")</f>
        <v>VPN 6-Month Pass Model B105</v>
      </c>
      <c r="L782" s="1" t="str">
        <f>_xlfn.XLOOKUP(C782, 'Product Catalog'!$A:$A, 'Product Catalog'!$C:$C, "Unknown Category")</f>
        <v>Digital Services</v>
      </c>
      <c r="M782" s="1">
        <f>_xlfn.XLOOKUP(C782, 'Product Catalog'!$A:$A, 'Product Catalog'!$D:$D, 0)</f>
        <v>36.130000000000003</v>
      </c>
      <c r="N782" s="1">
        <f t="shared" si="25"/>
        <v>72.260000000000005</v>
      </c>
    </row>
    <row r="783" spans="1:14" x14ac:dyDescent="0.3">
      <c r="A783" s="1" t="s">
        <v>1238</v>
      </c>
      <c r="B783" s="1" t="s">
        <v>212</v>
      </c>
      <c r="C783" s="1" t="s">
        <v>203</v>
      </c>
      <c r="D783" s="1">
        <v>5</v>
      </c>
      <c r="E783" s="12">
        <v>45856.504166666666</v>
      </c>
      <c r="F783" s="1" t="s">
        <v>39</v>
      </c>
      <c r="G783" s="1" t="s">
        <v>40</v>
      </c>
      <c r="H783" s="1" t="s">
        <v>41</v>
      </c>
      <c r="I783" s="1" t="s">
        <v>81</v>
      </c>
      <c r="J783" s="1" t="str">
        <f t="shared" si="24"/>
        <v>REFUNDED</v>
      </c>
      <c r="K783" s="1" t="str">
        <f>_xlfn.XLOOKUP(C783, 'Product Catalog'!$A:$A, 'Product Catalog'!$B:$B, "Unknown Product")</f>
        <v>Pillow Model R17</v>
      </c>
      <c r="L783" s="1" t="str">
        <f>_xlfn.XLOOKUP(C783, 'Product Catalog'!$A:$A, 'Product Catalog'!$C:$C, "Unknown Category")</f>
        <v>Home Goods</v>
      </c>
      <c r="M783" s="1">
        <f>_xlfn.XLOOKUP(C783, 'Product Catalog'!$A:$A, 'Product Catalog'!$D:$D, 0)</f>
        <v>169.86</v>
      </c>
      <c r="N783" s="1">
        <f t="shared" si="25"/>
        <v>849.30000000000007</v>
      </c>
    </row>
    <row r="784" spans="1:14" x14ac:dyDescent="0.3">
      <c r="A784" s="1" t="s">
        <v>1239</v>
      </c>
      <c r="B784" s="1" t="s">
        <v>26</v>
      </c>
      <c r="C784" s="1" t="s">
        <v>157</v>
      </c>
      <c r="D784" s="1">
        <v>1</v>
      </c>
      <c r="E784" s="12">
        <v>45746.25</v>
      </c>
      <c r="F784" s="1" t="s">
        <v>12</v>
      </c>
      <c r="G784" s="1" t="s">
        <v>109</v>
      </c>
      <c r="H784" s="1" t="s">
        <v>24</v>
      </c>
      <c r="I784" s="1" t="s">
        <v>15</v>
      </c>
      <c r="J784" s="1" t="str">
        <f t="shared" si="24"/>
        <v>delivered</v>
      </c>
      <c r="K784" s="1" t="str">
        <f>_xlfn.XLOOKUP(C784, 'Product Catalog'!$A:$A, 'Product Catalog'!$B:$B, "Unknown Product")</f>
        <v>Coffee Maker Model Q68</v>
      </c>
      <c r="L784" s="1" t="str">
        <f>_xlfn.XLOOKUP(C784, 'Product Catalog'!$A:$A, 'Product Catalog'!$C:$C, "Unknown Category")</f>
        <v>Home Goods</v>
      </c>
      <c r="M784" s="1">
        <f>_xlfn.XLOOKUP(C784, 'Product Catalog'!$A:$A, 'Product Catalog'!$D:$D, 0)</f>
        <v>28.02</v>
      </c>
      <c r="N784" s="1">
        <f t="shared" si="25"/>
        <v>28.02</v>
      </c>
    </row>
    <row r="785" spans="1:14" x14ac:dyDescent="0.3">
      <c r="A785" s="1" t="s">
        <v>1240</v>
      </c>
      <c r="B785" s="1" t="s">
        <v>189</v>
      </c>
      <c r="C785" s="1" t="s">
        <v>105</v>
      </c>
      <c r="D785" s="1">
        <v>1</v>
      </c>
      <c r="E785" s="12">
        <v>45779.842361111114</v>
      </c>
      <c r="F785" s="1" t="s">
        <v>19</v>
      </c>
      <c r="G785" s="1" t="s">
        <v>46</v>
      </c>
      <c r="H785" s="1" t="s">
        <v>14</v>
      </c>
      <c r="I785" s="1" t="s">
        <v>15</v>
      </c>
      <c r="J785" s="1" t="str">
        <f t="shared" si="24"/>
        <v>delivered</v>
      </c>
      <c r="K785" s="1" t="str">
        <f>_xlfn.XLOOKUP(C785, 'Product Catalog'!$A:$A, 'Product Catalog'!$B:$B, "Unknown Product")</f>
        <v>Keyboard Model E4</v>
      </c>
      <c r="L785" s="1" t="str">
        <f>_xlfn.XLOOKUP(C785, 'Product Catalog'!$A:$A, 'Product Catalog'!$C:$C, "Unknown Category")</f>
        <v>Electronics</v>
      </c>
      <c r="M785" s="1">
        <f>_xlfn.XLOOKUP(C785, 'Product Catalog'!$A:$A, 'Product Catalog'!$D:$D, 0)</f>
        <v>69.680000000000007</v>
      </c>
      <c r="N785" s="1">
        <f t="shared" si="25"/>
        <v>69.680000000000007</v>
      </c>
    </row>
    <row r="786" spans="1:14" x14ac:dyDescent="0.3">
      <c r="A786" s="1" t="s">
        <v>1241</v>
      </c>
      <c r="B786" s="1" t="s">
        <v>1242</v>
      </c>
      <c r="C786" s="1" t="s">
        <v>68</v>
      </c>
      <c r="D786" s="1">
        <v>4</v>
      </c>
      <c r="E786" s="12">
        <v>45820.991666666669</v>
      </c>
      <c r="F786" s="1" t="s">
        <v>12</v>
      </c>
      <c r="G786" s="1" t="s">
        <v>13</v>
      </c>
      <c r="H786" s="1" t="s">
        <v>51</v>
      </c>
      <c r="I786" s="1" t="s">
        <v>42</v>
      </c>
      <c r="J786" s="1" t="str">
        <f t="shared" si="24"/>
        <v>PENDING_REVIEW</v>
      </c>
      <c r="K786" s="1" t="str">
        <f>_xlfn.XLOOKUP(C786, 'Product Catalog'!$A:$A, 'Product Catalog'!$B:$B, "Unknown Product")</f>
        <v>Premium Perfume Model G32</v>
      </c>
      <c r="L786" s="1" t="str">
        <f>_xlfn.XLOOKUP(C786, 'Product Catalog'!$A:$A, 'Product Catalog'!$C:$C, "Unknown Category")</f>
        <v>Luxury Goods</v>
      </c>
      <c r="M786" s="1">
        <f>_xlfn.XLOOKUP(C786, 'Product Catalog'!$A:$A, 'Product Catalog'!$D:$D, 0)</f>
        <v>1990.92</v>
      </c>
      <c r="N786" s="1">
        <f t="shared" si="25"/>
        <v>7963.68</v>
      </c>
    </row>
    <row r="787" spans="1:14" x14ac:dyDescent="0.3">
      <c r="A787" s="1" t="s">
        <v>1243</v>
      </c>
      <c r="B787" s="1" t="s">
        <v>1106</v>
      </c>
      <c r="C787" s="1" t="s">
        <v>817</v>
      </c>
      <c r="D787" s="1">
        <v>1</v>
      </c>
      <c r="E787" s="12">
        <v>45841.84097222222</v>
      </c>
      <c r="F787" s="1" t="s">
        <v>19</v>
      </c>
      <c r="G787" s="1" t="s">
        <v>31</v>
      </c>
      <c r="H787" s="1" t="s">
        <v>41</v>
      </c>
      <c r="I787" s="1" t="s">
        <v>15</v>
      </c>
      <c r="J787" s="1" t="str">
        <f t="shared" si="24"/>
        <v>delivered</v>
      </c>
      <c r="K787" s="1" t="str">
        <f>_xlfn.XLOOKUP(C787, 'Product Catalog'!$A:$A, 'Product Catalog'!$B:$B, "Unknown Product")</f>
        <v>Desk Lamp Model D81</v>
      </c>
      <c r="L787" s="1" t="str">
        <f>_xlfn.XLOOKUP(C787, 'Product Catalog'!$A:$A, 'Product Catalog'!$C:$C, "Unknown Category")</f>
        <v>Home Goods</v>
      </c>
      <c r="M787" s="1">
        <f>_xlfn.XLOOKUP(C787, 'Product Catalog'!$A:$A, 'Product Catalog'!$D:$D, 0)</f>
        <v>177.42</v>
      </c>
      <c r="N787" s="1">
        <f t="shared" si="25"/>
        <v>177.42</v>
      </c>
    </row>
    <row r="788" spans="1:14" x14ac:dyDescent="0.3">
      <c r="A788" s="1" t="s">
        <v>1244</v>
      </c>
      <c r="B788" s="1" t="s">
        <v>121</v>
      </c>
      <c r="C788" s="1" t="s">
        <v>206</v>
      </c>
      <c r="D788" s="1">
        <v>1</v>
      </c>
      <c r="E788" s="12">
        <v>45673</v>
      </c>
      <c r="F788" s="1" t="s">
        <v>12</v>
      </c>
      <c r="G788" s="1" t="s">
        <v>50</v>
      </c>
      <c r="H788" s="1" t="s">
        <v>51</v>
      </c>
      <c r="I788" s="1" t="s">
        <v>56</v>
      </c>
      <c r="J788" s="1" t="str">
        <f t="shared" si="24"/>
        <v>cancelled</v>
      </c>
      <c r="K788" s="1" t="str">
        <f>_xlfn.XLOOKUP(C788, 'Product Catalog'!$A:$A, 'Product Catalog'!$B:$B, "Unknown Product")</f>
        <v>Webcam Model F31</v>
      </c>
      <c r="L788" s="1" t="str">
        <f>_xlfn.XLOOKUP(C788, 'Product Catalog'!$A:$A, 'Product Catalog'!$C:$C, "Unknown Category")</f>
        <v>Electronics</v>
      </c>
      <c r="M788" s="1">
        <f>_xlfn.XLOOKUP(C788, 'Product Catalog'!$A:$A, 'Product Catalog'!$D:$D, 0)</f>
        <v>184.37</v>
      </c>
      <c r="N788" s="1">
        <f t="shared" si="25"/>
        <v>184.37</v>
      </c>
    </row>
    <row r="789" spans="1:14" x14ac:dyDescent="0.3">
      <c r="A789" s="1" t="s">
        <v>1245</v>
      </c>
      <c r="B789" s="1" t="s">
        <v>159</v>
      </c>
      <c r="C789" s="1" t="s">
        <v>253</v>
      </c>
      <c r="D789" s="1">
        <v>3</v>
      </c>
      <c r="E789" s="12">
        <v>46016.5</v>
      </c>
      <c r="F789" s="1" t="s">
        <v>19</v>
      </c>
      <c r="G789" s="1" t="s">
        <v>13</v>
      </c>
      <c r="H789" s="1" t="s">
        <v>14</v>
      </c>
      <c r="I789" s="1" t="s">
        <v>15</v>
      </c>
      <c r="J789" s="1" t="str">
        <f t="shared" si="24"/>
        <v>delivered</v>
      </c>
      <c r="K789" s="1" t="str">
        <f>_xlfn.XLOOKUP(C789, 'Product Catalog'!$A:$A, 'Product Catalog'!$B:$B, "Unknown Product")</f>
        <v>Hoodie Model B79</v>
      </c>
      <c r="L789" s="1" t="str">
        <f>_xlfn.XLOOKUP(C789, 'Product Catalog'!$A:$A, 'Product Catalog'!$C:$C, "Unknown Category")</f>
        <v>Apparel</v>
      </c>
      <c r="M789" s="1">
        <f>_xlfn.XLOOKUP(C789, 'Product Catalog'!$A:$A, 'Product Catalog'!$D:$D, 0)</f>
        <v>106.9</v>
      </c>
      <c r="N789" s="1">
        <f t="shared" si="25"/>
        <v>320.70000000000005</v>
      </c>
    </row>
    <row r="790" spans="1:14" x14ac:dyDescent="0.3">
      <c r="A790" s="1" t="s">
        <v>1246</v>
      </c>
      <c r="B790" s="1" t="s">
        <v>414</v>
      </c>
      <c r="C790" s="1" t="s">
        <v>128</v>
      </c>
      <c r="D790" s="1">
        <v>3</v>
      </c>
      <c r="E790" s="12">
        <v>45948.801388888889</v>
      </c>
      <c r="F790" s="1" t="s">
        <v>19</v>
      </c>
      <c r="G790" s="1" t="s">
        <v>31</v>
      </c>
      <c r="H790" s="1" t="s">
        <v>24</v>
      </c>
      <c r="I790" s="1" t="s">
        <v>15</v>
      </c>
      <c r="J790" s="1" t="str">
        <f t="shared" si="24"/>
        <v>delivered</v>
      </c>
      <c r="K790" s="1" t="str">
        <f>_xlfn.XLOOKUP(C790, 'Product Catalog'!$A:$A, 'Product Catalog'!$B:$B, "Unknown Product")</f>
        <v>Organizer Model N39</v>
      </c>
      <c r="L790" s="1" t="str">
        <f>_xlfn.XLOOKUP(C790, 'Product Catalog'!$A:$A, 'Product Catalog'!$C:$C, "Unknown Category")</f>
        <v>Home Goods</v>
      </c>
      <c r="M790" s="1">
        <f>_xlfn.XLOOKUP(C790, 'Product Catalog'!$A:$A, 'Product Catalog'!$D:$D, 0)</f>
        <v>149.08000000000001</v>
      </c>
      <c r="N790" s="1">
        <f t="shared" si="25"/>
        <v>447.24</v>
      </c>
    </row>
    <row r="791" spans="1:14" x14ac:dyDescent="0.3">
      <c r="A791" s="1" t="s">
        <v>1247</v>
      </c>
      <c r="B791" s="1" t="s">
        <v>307</v>
      </c>
      <c r="C791" s="1" t="s">
        <v>38</v>
      </c>
      <c r="D791" s="1">
        <v>1</v>
      </c>
      <c r="E791" s="12">
        <v>45730.800694444442</v>
      </c>
      <c r="F791" s="1" t="s">
        <v>12</v>
      </c>
      <c r="G791" s="1" t="s">
        <v>46</v>
      </c>
      <c r="H791" s="1" t="s">
        <v>41</v>
      </c>
      <c r="I791" s="1" t="s">
        <v>15</v>
      </c>
      <c r="J791" s="1" t="str">
        <f t="shared" si="24"/>
        <v>delivered</v>
      </c>
      <c r="K791" s="1" t="str">
        <f>_xlfn.XLOOKUP(C791, 'Product Catalog'!$A:$A, 'Product Catalog'!$B:$B, "Unknown Product")</f>
        <v>VPN 6-Month Pass Model V73</v>
      </c>
      <c r="L791" s="1" t="str">
        <f>_xlfn.XLOOKUP(C791, 'Product Catalog'!$A:$A, 'Product Catalog'!$C:$C, "Unknown Category")</f>
        <v>Digital Services</v>
      </c>
      <c r="M791" s="1">
        <f>_xlfn.XLOOKUP(C791, 'Product Catalog'!$A:$A, 'Product Catalog'!$D:$D, 0)</f>
        <v>58.13</v>
      </c>
      <c r="N791" s="1">
        <f t="shared" si="25"/>
        <v>58.13</v>
      </c>
    </row>
    <row r="792" spans="1:14" x14ac:dyDescent="0.3">
      <c r="A792" s="1" t="s">
        <v>1248</v>
      </c>
      <c r="B792" s="1" t="s">
        <v>458</v>
      </c>
      <c r="C792" s="1" t="s">
        <v>758</v>
      </c>
      <c r="D792" s="1">
        <v>1</v>
      </c>
      <c r="E792" s="12">
        <v>45754.7</v>
      </c>
      <c r="F792" s="1" t="s">
        <v>19</v>
      </c>
      <c r="G792" s="1" t="s">
        <v>46</v>
      </c>
      <c r="H792" s="1" t="s">
        <v>14</v>
      </c>
      <c r="I792" s="1" t="s">
        <v>15</v>
      </c>
      <c r="J792" s="1" t="str">
        <f t="shared" si="24"/>
        <v>delivered</v>
      </c>
      <c r="K792" s="1" t="str">
        <f>_xlfn.XLOOKUP(C792, 'Product Catalog'!$A:$A, 'Product Catalog'!$B:$B, "Unknown Product")</f>
        <v>Cloud Storage Basic Model G110</v>
      </c>
      <c r="L792" s="1" t="str">
        <f>_xlfn.XLOOKUP(C792, 'Product Catalog'!$A:$A, 'Product Catalog'!$C:$C, "Unknown Category")</f>
        <v>Digital Services</v>
      </c>
      <c r="M792" s="1">
        <f>_xlfn.XLOOKUP(C792, 'Product Catalog'!$A:$A, 'Product Catalog'!$D:$D, 0)</f>
        <v>53.87</v>
      </c>
      <c r="N792" s="1">
        <f t="shared" si="25"/>
        <v>53.87</v>
      </c>
    </row>
    <row r="793" spans="1:14" x14ac:dyDescent="0.3">
      <c r="A793" s="1" t="s">
        <v>1249</v>
      </c>
      <c r="B793" s="1" t="s">
        <v>1220</v>
      </c>
      <c r="C793" s="1" t="s">
        <v>399</v>
      </c>
      <c r="D793" s="1">
        <v>1</v>
      </c>
      <c r="E793" s="12">
        <v>45935.438888888886</v>
      </c>
      <c r="F793" s="1" t="s">
        <v>12</v>
      </c>
      <c r="G793" s="1" t="s">
        <v>46</v>
      </c>
      <c r="H793" s="1" t="s">
        <v>41</v>
      </c>
      <c r="I793" s="1" t="s">
        <v>32</v>
      </c>
      <c r="J793" s="1" t="str">
        <f t="shared" si="24"/>
        <v>SHIPPED</v>
      </c>
      <c r="K793" s="1" t="str">
        <f>_xlfn.XLOOKUP(C793, 'Product Catalog'!$A:$A, 'Product Catalog'!$B:$B, "Unknown Product")</f>
        <v>E-Book Access Model W22</v>
      </c>
      <c r="L793" s="1" t="str">
        <f>_xlfn.XLOOKUP(C793, 'Product Catalog'!$A:$A, 'Product Catalog'!$C:$C, "Unknown Category")</f>
        <v>Digital Services</v>
      </c>
      <c r="M793" s="1">
        <f>_xlfn.XLOOKUP(C793, 'Product Catalog'!$A:$A, 'Product Catalog'!$D:$D, 0)</f>
        <v>11.22</v>
      </c>
      <c r="N793" s="1">
        <f t="shared" si="25"/>
        <v>11.22</v>
      </c>
    </row>
    <row r="794" spans="1:14" x14ac:dyDescent="0.3">
      <c r="A794" s="1" t="s">
        <v>1250</v>
      </c>
      <c r="B794" s="1" t="s">
        <v>83</v>
      </c>
      <c r="C794" s="1" t="s">
        <v>281</v>
      </c>
      <c r="D794" s="1">
        <v>1</v>
      </c>
      <c r="E794" s="12">
        <v>45747.697222222225</v>
      </c>
      <c r="F794" s="1" t="s">
        <v>19</v>
      </c>
      <c r="G794" s="1" t="s">
        <v>46</v>
      </c>
      <c r="H794" s="1" t="s">
        <v>24</v>
      </c>
      <c r="I794" s="1" t="s">
        <v>15</v>
      </c>
      <c r="J794" s="1" t="str">
        <f t="shared" si="24"/>
        <v>delivered</v>
      </c>
      <c r="K794" s="1" t="str">
        <f>_xlfn.XLOOKUP(C794, 'Product Catalog'!$A:$A, 'Product Catalog'!$B:$B, "Unknown Product")</f>
        <v>VPN 6-Month Pass Model B105</v>
      </c>
      <c r="L794" s="1" t="str">
        <f>_xlfn.XLOOKUP(C794, 'Product Catalog'!$A:$A, 'Product Catalog'!$C:$C, "Unknown Category")</f>
        <v>Digital Services</v>
      </c>
      <c r="M794" s="1">
        <f>_xlfn.XLOOKUP(C794, 'Product Catalog'!$A:$A, 'Product Catalog'!$D:$D, 0)</f>
        <v>36.130000000000003</v>
      </c>
      <c r="N794" s="1">
        <f t="shared" si="25"/>
        <v>36.130000000000003</v>
      </c>
    </row>
    <row r="795" spans="1:14" x14ac:dyDescent="0.3">
      <c r="A795" s="1" t="s">
        <v>1251</v>
      </c>
      <c r="B795" s="1" t="s">
        <v>307</v>
      </c>
      <c r="C795" s="1" t="s">
        <v>143</v>
      </c>
      <c r="D795" s="1">
        <v>4</v>
      </c>
      <c r="E795" s="12">
        <v>45677.12777777778</v>
      </c>
      <c r="F795" s="1" t="s">
        <v>12</v>
      </c>
      <c r="G795" s="1" t="s">
        <v>13</v>
      </c>
      <c r="H795" s="1" t="s">
        <v>55</v>
      </c>
      <c r="I795" s="1" t="s">
        <v>102</v>
      </c>
      <c r="J795" s="1" t="str">
        <f t="shared" si="24"/>
        <v>disputed</v>
      </c>
      <c r="K795" s="1" t="str">
        <f>_xlfn.XLOOKUP(C795, 'Product Catalog'!$A:$A, 'Product Catalog'!$B:$B, "Unknown Product")</f>
        <v>Designer Watch Model D3</v>
      </c>
      <c r="L795" s="1" t="str">
        <f>_xlfn.XLOOKUP(C795, 'Product Catalog'!$A:$A, 'Product Catalog'!$C:$C, "Unknown Category")</f>
        <v>Luxury Goods</v>
      </c>
      <c r="M795" s="1">
        <f>_xlfn.XLOOKUP(C795, 'Product Catalog'!$A:$A, 'Product Catalog'!$D:$D, 0)</f>
        <v>1599.08</v>
      </c>
      <c r="N795" s="1">
        <f t="shared" si="25"/>
        <v>6396.32</v>
      </c>
    </row>
    <row r="796" spans="1:14" x14ac:dyDescent="0.3">
      <c r="A796" s="1" t="s">
        <v>1252</v>
      </c>
      <c r="B796" s="1" t="s">
        <v>67</v>
      </c>
      <c r="C796" s="1" t="s">
        <v>462</v>
      </c>
      <c r="D796" s="1">
        <v>5</v>
      </c>
      <c r="E796" s="12">
        <v>45686.330555555556</v>
      </c>
      <c r="F796" s="1" t="s">
        <v>19</v>
      </c>
      <c r="G796" s="1" t="s">
        <v>50</v>
      </c>
      <c r="H796" s="1" t="s">
        <v>51</v>
      </c>
      <c r="I796" s="1" t="s">
        <v>56</v>
      </c>
      <c r="J796" s="1" t="str">
        <f t="shared" si="24"/>
        <v>cancelled</v>
      </c>
      <c r="K796" s="1" t="str">
        <f>_xlfn.XLOOKUP(C796, 'Product Catalog'!$A:$A, 'Product Catalog'!$B:$B, "Unknown Product")</f>
        <v>Mouse Model K88</v>
      </c>
      <c r="L796" s="1" t="str">
        <f>_xlfn.XLOOKUP(C796, 'Product Catalog'!$A:$A, 'Product Catalog'!$C:$C, "Unknown Category")</f>
        <v>Electronics</v>
      </c>
      <c r="M796" s="1">
        <f>_xlfn.XLOOKUP(C796, 'Product Catalog'!$A:$A, 'Product Catalog'!$D:$D, 0)</f>
        <v>93.39</v>
      </c>
      <c r="N796" s="1">
        <f t="shared" si="25"/>
        <v>466.95</v>
      </c>
    </row>
    <row r="797" spans="1:14" x14ac:dyDescent="0.3">
      <c r="A797" s="1" t="s">
        <v>1253</v>
      </c>
      <c r="B797" s="1" t="s">
        <v>246</v>
      </c>
      <c r="C797" s="1" t="s">
        <v>148</v>
      </c>
      <c r="D797" s="1">
        <v>1</v>
      </c>
      <c r="E797" s="12">
        <v>45966.311111111114</v>
      </c>
      <c r="F797" s="1" t="s">
        <v>19</v>
      </c>
      <c r="G797" s="1" t="s">
        <v>13</v>
      </c>
      <c r="H797" s="1" t="s">
        <v>14</v>
      </c>
      <c r="I797" s="1" t="s">
        <v>32</v>
      </c>
      <c r="J797" s="1" t="str">
        <f t="shared" si="24"/>
        <v>SHIPPED</v>
      </c>
      <c r="K797" s="1" t="str">
        <f>_xlfn.XLOOKUP(C797, 'Product Catalog'!$A:$A, 'Product Catalog'!$B:$B, "Unknown Product")</f>
        <v>Charger Model W100</v>
      </c>
      <c r="L797" s="1" t="str">
        <f>_xlfn.XLOOKUP(C797, 'Product Catalog'!$A:$A, 'Product Catalog'!$C:$C, "Unknown Category")</f>
        <v>Electronics</v>
      </c>
      <c r="M797" s="1">
        <f>_xlfn.XLOOKUP(C797, 'Product Catalog'!$A:$A, 'Product Catalog'!$D:$D, 0)</f>
        <v>219.96</v>
      </c>
      <c r="N797" s="1">
        <f t="shared" si="25"/>
        <v>219.96</v>
      </c>
    </row>
    <row r="798" spans="1:14" x14ac:dyDescent="0.3">
      <c r="A798" s="1" t="s">
        <v>1254</v>
      </c>
      <c r="B798" s="1" t="s">
        <v>820</v>
      </c>
      <c r="C798" s="1" t="s">
        <v>108</v>
      </c>
      <c r="D798" s="1">
        <v>1</v>
      </c>
      <c r="E798" s="12">
        <v>45668.748611111114</v>
      </c>
      <c r="F798" s="1" t="s">
        <v>19</v>
      </c>
      <c r="G798" s="1" t="s">
        <v>109</v>
      </c>
      <c r="H798" s="1" t="s">
        <v>14</v>
      </c>
      <c r="I798" s="1" t="s">
        <v>15</v>
      </c>
      <c r="J798" s="1" t="str">
        <f t="shared" si="24"/>
        <v>delivered</v>
      </c>
      <c r="K798" s="1" t="str">
        <f>_xlfn.XLOOKUP(C798, 'Product Catalog'!$A:$A, 'Product Catalog'!$B:$B, "Unknown Product")</f>
        <v>Smartwatch Model H7</v>
      </c>
      <c r="L798" s="1" t="str">
        <f>_xlfn.XLOOKUP(C798, 'Product Catalog'!$A:$A, 'Product Catalog'!$C:$C, "Unknown Category")</f>
        <v>Electronics</v>
      </c>
      <c r="M798" s="1">
        <f>_xlfn.XLOOKUP(C798, 'Product Catalog'!$A:$A, 'Product Catalog'!$D:$D, 0)</f>
        <v>204.37</v>
      </c>
      <c r="N798" s="1">
        <f t="shared" si="25"/>
        <v>204.37</v>
      </c>
    </row>
    <row r="799" spans="1:14" x14ac:dyDescent="0.3">
      <c r="A799" s="1" t="s">
        <v>1255</v>
      </c>
      <c r="B799" s="1" t="s">
        <v>189</v>
      </c>
      <c r="C799" s="1" t="s">
        <v>164</v>
      </c>
      <c r="D799" s="1">
        <v>5</v>
      </c>
      <c r="E799" s="12">
        <v>45902.000694444447</v>
      </c>
      <c r="F799" s="1" t="s">
        <v>170</v>
      </c>
      <c r="G799" s="1" t="s">
        <v>13</v>
      </c>
      <c r="H799" s="1" t="s">
        <v>41</v>
      </c>
      <c r="I799" s="1" t="s">
        <v>81</v>
      </c>
      <c r="J799" s="1" t="str">
        <f t="shared" si="24"/>
        <v>REFUNDED</v>
      </c>
      <c r="K799" s="1" t="str">
        <f>_xlfn.XLOOKUP(C799, 'Product Catalog'!$A:$A, 'Product Catalog'!$B:$B, "Unknown Product")</f>
        <v>Gold Bracelet Model A26</v>
      </c>
      <c r="L799" s="1" t="str">
        <f>_xlfn.XLOOKUP(C799, 'Product Catalog'!$A:$A, 'Product Catalog'!$C:$C, "Unknown Category")</f>
        <v>Luxury Goods</v>
      </c>
      <c r="M799" s="1">
        <f>_xlfn.XLOOKUP(C799, 'Product Catalog'!$A:$A, 'Product Catalog'!$D:$D, 0)</f>
        <v>1096.3900000000001</v>
      </c>
      <c r="N799" s="1">
        <f t="shared" si="25"/>
        <v>5481.9500000000007</v>
      </c>
    </row>
    <row r="800" spans="1:14" x14ac:dyDescent="0.3">
      <c r="A800" s="1" t="s">
        <v>1256</v>
      </c>
      <c r="B800" s="1" t="s">
        <v>187</v>
      </c>
      <c r="C800" s="1" t="s">
        <v>151</v>
      </c>
      <c r="D800" s="1">
        <v>4</v>
      </c>
      <c r="E800" s="12">
        <v>45827.872916666667</v>
      </c>
      <c r="F800" s="1" t="s">
        <v>39</v>
      </c>
      <c r="G800" s="1" t="s">
        <v>40</v>
      </c>
      <c r="H800" s="1" t="s">
        <v>55</v>
      </c>
      <c r="I800" s="1" t="s">
        <v>102</v>
      </c>
      <c r="J800" s="1" t="str">
        <f t="shared" si="24"/>
        <v>disputed</v>
      </c>
      <c r="K800" s="1" t="str">
        <f>_xlfn.XLOOKUP(C800, 'Product Catalog'!$A:$A, 'Product Catalog'!$B:$B, "Unknown Product")</f>
        <v>Hoodie Model R43</v>
      </c>
      <c r="L800" s="1" t="str">
        <f>_xlfn.XLOOKUP(C800, 'Product Catalog'!$A:$A, 'Product Catalog'!$C:$C, "Unknown Category")</f>
        <v>Apparel</v>
      </c>
      <c r="M800" s="1">
        <f>_xlfn.XLOOKUP(C800, 'Product Catalog'!$A:$A, 'Product Catalog'!$D:$D, 0)</f>
        <v>68.040000000000006</v>
      </c>
      <c r="N800" s="1">
        <f t="shared" si="25"/>
        <v>272.16000000000003</v>
      </c>
    </row>
    <row r="801" spans="1:14" x14ac:dyDescent="0.3">
      <c r="A801" s="1" t="s">
        <v>1257</v>
      </c>
      <c r="B801" s="1" t="s">
        <v>621</v>
      </c>
      <c r="C801" s="1" t="s">
        <v>268</v>
      </c>
      <c r="D801" s="1">
        <v>1</v>
      </c>
      <c r="E801" s="12">
        <v>45761.185416666667</v>
      </c>
      <c r="F801" s="1" t="s">
        <v>12</v>
      </c>
      <c r="G801" s="1" t="s">
        <v>46</v>
      </c>
      <c r="H801" s="1" t="s">
        <v>14</v>
      </c>
      <c r="I801" s="1" t="s">
        <v>15</v>
      </c>
      <c r="J801" s="1" t="str">
        <f t="shared" si="24"/>
        <v>delivered</v>
      </c>
      <c r="K801" s="1" t="str">
        <f>_xlfn.XLOOKUP(C801, 'Product Catalog'!$A:$A, 'Product Catalog'!$B:$B, "Unknown Product")</f>
        <v>Sneakers Model P119</v>
      </c>
      <c r="L801" s="1" t="str">
        <f>_xlfn.XLOOKUP(C801, 'Product Catalog'!$A:$A, 'Product Catalog'!$C:$C, "Unknown Category")</f>
        <v>Apparel</v>
      </c>
      <c r="M801" s="1">
        <f>_xlfn.XLOOKUP(C801, 'Product Catalog'!$A:$A, 'Product Catalog'!$D:$D, 0)</f>
        <v>19.329999999999998</v>
      </c>
      <c r="N801" s="1">
        <f t="shared" si="25"/>
        <v>19.329999999999998</v>
      </c>
    </row>
    <row r="802" spans="1:14" x14ac:dyDescent="0.3">
      <c r="A802" s="1" t="s">
        <v>1258</v>
      </c>
      <c r="B802" s="1" t="s">
        <v>212</v>
      </c>
      <c r="C802" s="1" t="s">
        <v>224</v>
      </c>
      <c r="D802" s="1">
        <v>3</v>
      </c>
      <c r="E802" s="12">
        <v>45832.252083333333</v>
      </c>
      <c r="F802" s="1" t="s">
        <v>12</v>
      </c>
      <c r="G802" s="1" t="s">
        <v>109</v>
      </c>
      <c r="H802" s="1" t="s">
        <v>41</v>
      </c>
      <c r="I802" s="1" t="s">
        <v>15</v>
      </c>
      <c r="J802" s="1" t="str">
        <f t="shared" si="24"/>
        <v>delivered</v>
      </c>
      <c r="K802" s="1" t="str">
        <f>_xlfn.XLOOKUP(C802, 'Product Catalog'!$A:$A, 'Product Catalog'!$B:$B, "Unknown Product")</f>
        <v>Organizer Model P93</v>
      </c>
      <c r="L802" s="1" t="str">
        <f>_xlfn.XLOOKUP(C802, 'Product Catalog'!$A:$A, 'Product Catalog'!$C:$C, "Unknown Category")</f>
        <v>Home Goods</v>
      </c>
      <c r="M802" s="1">
        <f>_xlfn.XLOOKUP(C802, 'Product Catalog'!$A:$A, 'Product Catalog'!$D:$D, 0)</f>
        <v>175.55</v>
      </c>
      <c r="N802" s="1">
        <f t="shared" si="25"/>
        <v>526.65000000000009</v>
      </c>
    </row>
    <row r="803" spans="1:14" x14ac:dyDescent="0.3">
      <c r="A803" s="1" t="s">
        <v>1259</v>
      </c>
      <c r="B803" s="1" t="s">
        <v>180</v>
      </c>
      <c r="C803" s="1" t="s">
        <v>879</v>
      </c>
      <c r="D803" s="1">
        <v>1</v>
      </c>
      <c r="E803" s="12">
        <v>45823.084027777775</v>
      </c>
      <c r="F803" s="1" t="s">
        <v>170</v>
      </c>
      <c r="G803" s="1" t="s">
        <v>40</v>
      </c>
      <c r="H803" s="1" t="s">
        <v>41</v>
      </c>
      <c r="I803" s="1" t="s">
        <v>56</v>
      </c>
      <c r="J803" s="1" t="str">
        <f t="shared" si="24"/>
        <v>cancelled</v>
      </c>
      <c r="K803" s="1" t="str">
        <f>_xlfn.XLOOKUP(C803, 'Product Catalog'!$A:$A, 'Product Catalog'!$B:$B, "Unknown Product")</f>
        <v>Toaster Model I8</v>
      </c>
      <c r="L803" s="1" t="str">
        <f>_xlfn.XLOOKUP(C803, 'Product Catalog'!$A:$A, 'Product Catalog'!$C:$C, "Unknown Category")</f>
        <v>Home Goods</v>
      </c>
      <c r="M803" s="1">
        <f>_xlfn.XLOOKUP(C803, 'Product Catalog'!$A:$A, 'Product Catalog'!$D:$D, 0)</f>
        <v>44.88</v>
      </c>
      <c r="N803" s="1">
        <f t="shared" si="25"/>
        <v>44.88</v>
      </c>
    </row>
    <row r="804" spans="1:14" x14ac:dyDescent="0.3">
      <c r="A804" s="1" t="s">
        <v>1260</v>
      </c>
      <c r="B804" s="1" t="s">
        <v>136</v>
      </c>
      <c r="C804" s="1" t="s">
        <v>181</v>
      </c>
      <c r="D804" s="1">
        <v>1</v>
      </c>
      <c r="E804" s="12">
        <v>45669.209722222222</v>
      </c>
      <c r="F804" s="1" t="s">
        <v>12</v>
      </c>
      <c r="G804" s="1" t="s">
        <v>109</v>
      </c>
      <c r="H804" s="1" t="s">
        <v>24</v>
      </c>
      <c r="I804" s="1" t="s">
        <v>15</v>
      </c>
      <c r="J804" s="1" t="str">
        <f t="shared" si="24"/>
        <v>delivered</v>
      </c>
      <c r="K804" s="1" t="str">
        <f>_xlfn.XLOOKUP(C804, 'Product Catalog'!$A:$A, 'Product Catalog'!$B:$B, "Unknown Product")</f>
        <v>Premium Stream 1M Model V99</v>
      </c>
      <c r="L804" s="1" t="str">
        <f>_xlfn.XLOOKUP(C804, 'Product Catalog'!$A:$A, 'Product Catalog'!$C:$C, "Unknown Category")</f>
        <v>Digital Services</v>
      </c>
      <c r="M804" s="1">
        <f>_xlfn.XLOOKUP(C804, 'Product Catalog'!$A:$A, 'Product Catalog'!$D:$D, 0)</f>
        <v>30.08</v>
      </c>
      <c r="N804" s="1">
        <f t="shared" si="25"/>
        <v>30.08</v>
      </c>
    </row>
    <row r="805" spans="1:14" x14ac:dyDescent="0.3">
      <c r="A805" s="1" t="s">
        <v>1261</v>
      </c>
      <c r="B805" s="1" t="s">
        <v>212</v>
      </c>
      <c r="C805" s="1" t="s">
        <v>309</v>
      </c>
      <c r="D805" s="1">
        <v>1</v>
      </c>
      <c r="E805" s="12">
        <v>45958.201388888891</v>
      </c>
      <c r="F805" s="1" t="s">
        <v>19</v>
      </c>
      <c r="G805" s="1" t="s">
        <v>31</v>
      </c>
      <c r="H805" s="1" t="s">
        <v>24</v>
      </c>
      <c r="I805" s="1" t="s">
        <v>15</v>
      </c>
      <c r="J805" s="1" t="str">
        <f t="shared" si="24"/>
        <v>delivered</v>
      </c>
      <c r="K805" s="1" t="str">
        <f>_xlfn.XLOOKUP(C805, 'Product Catalog'!$A:$A, 'Product Catalog'!$B:$B, "Unknown Product")</f>
        <v>Sneakers Model C2</v>
      </c>
      <c r="L805" s="1" t="str">
        <f>_xlfn.XLOOKUP(C805, 'Product Catalog'!$A:$A, 'Product Catalog'!$C:$C, "Unknown Category")</f>
        <v>Apparel</v>
      </c>
      <c r="M805" s="1">
        <f>_xlfn.XLOOKUP(C805, 'Product Catalog'!$A:$A, 'Product Catalog'!$D:$D, 0)</f>
        <v>21.27</v>
      </c>
      <c r="N805" s="1">
        <f t="shared" si="25"/>
        <v>21.27</v>
      </c>
    </row>
    <row r="806" spans="1:14" x14ac:dyDescent="0.3">
      <c r="A806" s="1" t="s">
        <v>1262</v>
      </c>
      <c r="B806" s="1" t="s">
        <v>434</v>
      </c>
      <c r="C806" s="1" t="s">
        <v>851</v>
      </c>
      <c r="D806" s="1">
        <v>1</v>
      </c>
      <c r="E806" s="12">
        <v>45714.747916666667</v>
      </c>
      <c r="F806" s="1" t="s">
        <v>19</v>
      </c>
      <c r="G806" s="1" t="s">
        <v>31</v>
      </c>
      <c r="H806" s="1" t="s">
        <v>14</v>
      </c>
      <c r="I806" s="1" t="s">
        <v>15</v>
      </c>
      <c r="J806" s="1" t="str">
        <f t="shared" si="24"/>
        <v>delivered</v>
      </c>
      <c r="K806" s="1" t="str">
        <f>_xlfn.XLOOKUP(C806, 'Product Catalog'!$A:$A, 'Product Catalog'!$B:$B, "Unknown Product")</f>
        <v>Charger Model H59</v>
      </c>
      <c r="L806" s="1" t="str">
        <f>_xlfn.XLOOKUP(C806, 'Product Catalog'!$A:$A, 'Product Catalog'!$C:$C, "Unknown Category")</f>
        <v>Electronics</v>
      </c>
      <c r="M806" s="1">
        <f>_xlfn.XLOOKUP(C806, 'Product Catalog'!$A:$A, 'Product Catalog'!$D:$D, 0)</f>
        <v>204.89</v>
      </c>
      <c r="N806" s="1">
        <f t="shared" si="25"/>
        <v>204.89</v>
      </c>
    </row>
    <row r="807" spans="1:14" x14ac:dyDescent="0.3">
      <c r="A807" s="1" t="s">
        <v>1263</v>
      </c>
      <c r="B807" s="1" t="s">
        <v>366</v>
      </c>
      <c r="C807" s="1" t="s">
        <v>560</v>
      </c>
      <c r="D807" s="1">
        <v>1</v>
      </c>
      <c r="E807" s="12">
        <v>45844.102777777778</v>
      </c>
      <c r="F807" s="1" t="s">
        <v>39</v>
      </c>
      <c r="G807" s="1" t="s">
        <v>50</v>
      </c>
      <c r="H807" s="1" t="s">
        <v>41</v>
      </c>
      <c r="I807" s="1" t="s">
        <v>102</v>
      </c>
      <c r="J807" s="1" t="str">
        <f t="shared" si="24"/>
        <v>disputed</v>
      </c>
      <c r="K807" s="1" t="str">
        <f>_xlfn.XLOOKUP(C807, 'Product Catalog'!$A:$A, 'Product Catalog'!$B:$B, "Unknown Product")</f>
        <v>Cloud Storage Basic Model P41</v>
      </c>
      <c r="L807" s="1" t="str">
        <f>_xlfn.XLOOKUP(C807, 'Product Catalog'!$A:$A, 'Product Catalog'!$C:$C, "Unknown Category")</f>
        <v>Digital Services</v>
      </c>
      <c r="M807" s="1">
        <f>_xlfn.XLOOKUP(C807, 'Product Catalog'!$A:$A, 'Product Catalog'!$D:$D, 0)</f>
        <v>96.93</v>
      </c>
      <c r="N807" s="1">
        <f t="shared" si="25"/>
        <v>96.93</v>
      </c>
    </row>
    <row r="808" spans="1:14" x14ac:dyDescent="0.3">
      <c r="A808" s="1" t="s">
        <v>1264</v>
      </c>
      <c r="B808" s="1" t="s">
        <v>823</v>
      </c>
      <c r="C808" s="1" t="s">
        <v>677</v>
      </c>
      <c r="D808" s="1">
        <v>1</v>
      </c>
      <c r="E808" s="12">
        <v>45849.941666666666</v>
      </c>
      <c r="F808" s="1" t="s">
        <v>19</v>
      </c>
      <c r="G808" s="1" t="s">
        <v>109</v>
      </c>
      <c r="H808" s="1" t="s">
        <v>24</v>
      </c>
      <c r="I808" s="1" t="s">
        <v>15</v>
      </c>
      <c r="J808" s="1" t="str">
        <f t="shared" si="24"/>
        <v>delivered</v>
      </c>
      <c r="K808" s="1" t="str">
        <f>_xlfn.XLOOKUP(C808, 'Product Catalog'!$A:$A, 'Product Catalog'!$B:$B, "Unknown Product")</f>
        <v>Charger Model Y128</v>
      </c>
      <c r="L808" s="1" t="str">
        <f>_xlfn.XLOOKUP(C808, 'Product Catalog'!$A:$A, 'Product Catalog'!$C:$C, "Unknown Category")</f>
        <v>Electronics</v>
      </c>
      <c r="M808" s="1">
        <f>_xlfn.XLOOKUP(C808, 'Product Catalog'!$A:$A, 'Product Catalog'!$D:$D, 0)</f>
        <v>46.33</v>
      </c>
      <c r="N808" s="1">
        <f t="shared" si="25"/>
        <v>46.33</v>
      </c>
    </row>
    <row r="809" spans="1:14" x14ac:dyDescent="0.3">
      <c r="A809" s="1" t="s">
        <v>1265</v>
      </c>
      <c r="B809" s="1" t="s">
        <v>869</v>
      </c>
      <c r="C809" s="1" t="s">
        <v>148</v>
      </c>
      <c r="D809" s="1">
        <v>1</v>
      </c>
      <c r="E809" s="12">
        <v>45860.833333333336</v>
      </c>
      <c r="F809" s="1" t="s">
        <v>39</v>
      </c>
      <c r="G809" s="1" t="s">
        <v>50</v>
      </c>
      <c r="H809" s="1" t="s">
        <v>51</v>
      </c>
      <c r="I809" s="1" t="s">
        <v>56</v>
      </c>
      <c r="J809" s="1" t="str">
        <f t="shared" si="24"/>
        <v>cancelled</v>
      </c>
      <c r="K809" s="1" t="str">
        <f>_xlfn.XLOOKUP(C809, 'Product Catalog'!$A:$A, 'Product Catalog'!$B:$B, "Unknown Product")</f>
        <v>Charger Model W100</v>
      </c>
      <c r="L809" s="1" t="str">
        <f>_xlfn.XLOOKUP(C809, 'Product Catalog'!$A:$A, 'Product Catalog'!$C:$C, "Unknown Category")</f>
        <v>Electronics</v>
      </c>
      <c r="M809" s="1">
        <f>_xlfn.XLOOKUP(C809, 'Product Catalog'!$A:$A, 'Product Catalog'!$D:$D, 0)</f>
        <v>219.96</v>
      </c>
      <c r="N809" s="1">
        <f t="shared" si="25"/>
        <v>219.96</v>
      </c>
    </row>
    <row r="810" spans="1:14" x14ac:dyDescent="0.3">
      <c r="A810" s="1" t="s">
        <v>1266</v>
      </c>
      <c r="B810" s="1" t="s">
        <v>891</v>
      </c>
      <c r="C810" s="1" t="s">
        <v>749</v>
      </c>
      <c r="D810" s="1">
        <v>2</v>
      </c>
      <c r="E810" s="12">
        <v>45709.478472222225</v>
      </c>
      <c r="F810" s="1" t="s">
        <v>19</v>
      </c>
      <c r="G810" s="1" t="s">
        <v>31</v>
      </c>
      <c r="H810" s="1" t="s">
        <v>24</v>
      </c>
      <c r="I810" s="1" t="s">
        <v>15</v>
      </c>
      <c r="J810" s="1" t="str">
        <f t="shared" si="24"/>
        <v>delivered</v>
      </c>
      <c r="K810" s="1" t="str">
        <f>_xlfn.XLOOKUP(C810, 'Product Catalog'!$A:$A, 'Product Catalog'!$B:$B, "Unknown Product")</f>
        <v>VPN 6-Month Pass Model A130</v>
      </c>
      <c r="L810" s="1" t="str">
        <f>_xlfn.XLOOKUP(C810, 'Product Catalog'!$A:$A, 'Product Catalog'!$C:$C, "Unknown Category")</f>
        <v>Digital Services</v>
      </c>
      <c r="M810" s="1">
        <f>_xlfn.XLOOKUP(C810, 'Product Catalog'!$A:$A, 'Product Catalog'!$D:$D, 0)</f>
        <v>81.61</v>
      </c>
      <c r="N810" s="1">
        <f t="shared" si="25"/>
        <v>163.22</v>
      </c>
    </row>
    <row r="811" spans="1:14" x14ac:dyDescent="0.3">
      <c r="A811" s="1" t="s">
        <v>1267</v>
      </c>
      <c r="B811" s="1" t="s">
        <v>773</v>
      </c>
      <c r="C811" s="1" t="s">
        <v>143</v>
      </c>
      <c r="D811" s="1">
        <v>5</v>
      </c>
      <c r="E811" s="12">
        <v>45812.458333333336</v>
      </c>
      <c r="F811" s="1" t="s">
        <v>12</v>
      </c>
      <c r="G811" s="1" t="s">
        <v>40</v>
      </c>
      <c r="H811" s="1" t="s">
        <v>51</v>
      </c>
      <c r="I811" s="1" t="s">
        <v>102</v>
      </c>
      <c r="J811" s="1" t="str">
        <f t="shared" si="24"/>
        <v>disputed</v>
      </c>
      <c r="K811" s="1" t="str">
        <f>_xlfn.XLOOKUP(C811, 'Product Catalog'!$A:$A, 'Product Catalog'!$B:$B, "Unknown Product")</f>
        <v>Designer Watch Model D3</v>
      </c>
      <c r="L811" s="1" t="str">
        <f>_xlfn.XLOOKUP(C811, 'Product Catalog'!$A:$A, 'Product Catalog'!$C:$C, "Unknown Category")</f>
        <v>Luxury Goods</v>
      </c>
      <c r="M811" s="1">
        <f>_xlfn.XLOOKUP(C811, 'Product Catalog'!$A:$A, 'Product Catalog'!$D:$D, 0)</f>
        <v>1599.08</v>
      </c>
      <c r="N811" s="1">
        <f t="shared" si="25"/>
        <v>7995.4</v>
      </c>
    </row>
    <row r="812" spans="1:14" x14ac:dyDescent="0.3">
      <c r="A812" s="1" t="s">
        <v>1268</v>
      </c>
      <c r="B812" s="1" t="s">
        <v>305</v>
      </c>
      <c r="C812" s="1" t="s">
        <v>30</v>
      </c>
      <c r="D812" s="1">
        <v>1</v>
      </c>
      <c r="E812" s="12">
        <v>45727.223611111112</v>
      </c>
      <c r="F812" s="1" t="s">
        <v>19</v>
      </c>
      <c r="G812" s="1" t="s">
        <v>109</v>
      </c>
      <c r="H812" s="1" t="s">
        <v>41</v>
      </c>
      <c r="I812" s="1" t="s">
        <v>15</v>
      </c>
      <c r="J812" s="1" t="str">
        <f t="shared" si="24"/>
        <v>delivered</v>
      </c>
      <c r="K812" s="1" t="str">
        <f>_xlfn.XLOOKUP(C812, 'Product Catalog'!$A:$A, 'Product Catalog'!$B:$B, "Unknown Product")</f>
        <v>VPN 6-Month Pass Model B131</v>
      </c>
      <c r="L812" s="1" t="str">
        <f>_xlfn.XLOOKUP(C812, 'Product Catalog'!$A:$A, 'Product Catalog'!$C:$C, "Unknown Category")</f>
        <v>Digital Services</v>
      </c>
      <c r="M812" s="1">
        <f>_xlfn.XLOOKUP(C812, 'Product Catalog'!$A:$A, 'Product Catalog'!$D:$D, 0)</f>
        <v>46.92</v>
      </c>
      <c r="N812" s="1">
        <f t="shared" si="25"/>
        <v>46.92</v>
      </c>
    </row>
    <row r="813" spans="1:14" x14ac:dyDescent="0.3">
      <c r="A813" s="1" t="s">
        <v>1269</v>
      </c>
      <c r="B813" s="1" t="s">
        <v>601</v>
      </c>
      <c r="C813" s="1" t="s">
        <v>250</v>
      </c>
      <c r="D813" s="1">
        <v>1</v>
      </c>
      <c r="E813" s="12">
        <v>45881.90902777778</v>
      </c>
      <c r="F813" s="1" t="s">
        <v>19</v>
      </c>
      <c r="G813" s="1" t="s">
        <v>31</v>
      </c>
      <c r="H813" s="1" t="s">
        <v>41</v>
      </c>
      <c r="I813" s="1" t="s">
        <v>15</v>
      </c>
      <c r="J813" s="1" t="str">
        <f t="shared" si="24"/>
        <v>delivered</v>
      </c>
      <c r="K813" s="1" t="str">
        <f>_xlfn.XLOOKUP(C813, 'Product Catalog'!$A:$A, 'Product Catalog'!$B:$B, "Unknown Product")</f>
        <v>Keyboard Model U98</v>
      </c>
      <c r="L813" s="1" t="str">
        <f>_xlfn.XLOOKUP(C813, 'Product Catalog'!$A:$A, 'Product Catalog'!$C:$C, "Unknown Category")</f>
        <v>Electronics</v>
      </c>
      <c r="M813" s="1">
        <f>_xlfn.XLOOKUP(C813, 'Product Catalog'!$A:$A, 'Product Catalog'!$D:$D, 0)</f>
        <v>188.09</v>
      </c>
      <c r="N813" s="1">
        <f t="shared" si="25"/>
        <v>188.09</v>
      </c>
    </row>
    <row r="814" spans="1:14" x14ac:dyDescent="0.3">
      <c r="A814" s="1" t="s">
        <v>1270</v>
      </c>
      <c r="B814" s="1" t="s">
        <v>1271</v>
      </c>
      <c r="C814" s="1" t="s">
        <v>84</v>
      </c>
      <c r="D814" s="1">
        <v>1</v>
      </c>
      <c r="E814" s="12">
        <v>45907.92291666667</v>
      </c>
      <c r="F814" s="1" t="s">
        <v>19</v>
      </c>
      <c r="G814" s="1" t="s">
        <v>109</v>
      </c>
      <c r="H814" s="1" t="s">
        <v>41</v>
      </c>
      <c r="I814" s="1" t="s">
        <v>32</v>
      </c>
      <c r="J814" s="1" t="str">
        <f t="shared" si="24"/>
        <v>SHIPPED</v>
      </c>
      <c r="K814" s="1" t="str">
        <f>_xlfn.XLOOKUP(C814, 'Product Catalog'!$A:$A, 'Product Catalog'!$B:$B, "Unknown Product")</f>
        <v>Smartwatch Model J35</v>
      </c>
      <c r="L814" s="1" t="str">
        <f>_xlfn.XLOOKUP(C814, 'Product Catalog'!$A:$A, 'Product Catalog'!$C:$C, "Unknown Category")</f>
        <v>Electronics</v>
      </c>
      <c r="M814" s="1">
        <f>_xlfn.XLOOKUP(C814, 'Product Catalog'!$A:$A, 'Product Catalog'!$D:$D, 0)</f>
        <v>161.94999999999999</v>
      </c>
      <c r="N814" s="1">
        <f t="shared" si="25"/>
        <v>161.94999999999999</v>
      </c>
    </row>
    <row r="815" spans="1:14" x14ac:dyDescent="0.3">
      <c r="A815" s="1" t="s">
        <v>1272</v>
      </c>
      <c r="B815" s="1" t="s">
        <v>1242</v>
      </c>
      <c r="C815" s="1" t="s">
        <v>200</v>
      </c>
      <c r="D815" s="1">
        <v>1</v>
      </c>
      <c r="E815" s="12">
        <v>45820.24722222222</v>
      </c>
      <c r="F815" s="1" t="s">
        <v>19</v>
      </c>
      <c r="G815" s="1" t="s">
        <v>109</v>
      </c>
      <c r="H815" s="1" t="s">
        <v>41</v>
      </c>
      <c r="I815" s="1" t="s">
        <v>15</v>
      </c>
      <c r="J815" s="1" t="str">
        <f t="shared" si="24"/>
        <v>delivered</v>
      </c>
      <c r="K815" s="1" t="str">
        <f>_xlfn.XLOOKUP(C815, 'Product Catalog'!$A:$A, 'Product Catalog'!$B:$B, "Unknown Product")</f>
        <v>Socks Model G58</v>
      </c>
      <c r="L815" s="1" t="str">
        <f>_xlfn.XLOOKUP(C815, 'Product Catalog'!$A:$A, 'Product Catalog'!$C:$C, "Unknown Category")</f>
        <v>Apparel</v>
      </c>
      <c r="M815" s="1">
        <f>_xlfn.XLOOKUP(C815, 'Product Catalog'!$A:$A, 'Product Catalog'!$D:$D, 0)</f>
        <v>30.18</v>
      </c>
      <c r="N815" s="1">
        <f t="shared" si="25"/>
        <v>30.18</v>
      </c>
    </row>
    <row r="816" spans="1:14" x14ac:dyDescent="0.3">
      <c r="A816" s="1" t="s">
        <v>1273</v>
      </c>
      <c r="B816" s="1" t="s">
        <v>1274</v>
      </c>
      <c r="C816" s="1" t="s">
        <v>622</v>
      </c>
      <c r="D816" s="1">
        <v>4</v>
      </c>
      <c r="E816" s="12">
        <v>45945.986111111109</v>
      </c>
      <c r="F816" s="1" t="s">
        <v>170</v>
      </c>
      <c r="G816" s="1" t="s">
        <v>109</v>
      </c>
      <c r="H816" s="1" t="s">
        <v>51</v>
      </c>
      <c r="I816" s="1" t="s">
        <v>56</v>
      </c>
      <c r="J816" s="1" t="str">
        <f t="shared" si="24"/>
        <v>cancelled</v>
      </c>
      <c r="K816" s="1" t="str">
        <f>_xlfn.XLOOKUP(C816, 'Product Catalog'!$A:$A, 'Product Catalog'!$B:$B, "Unknown Product")</f>
        <v>Designer Watch Model R147</v>
      </c>
      <c r="L816" s="1" t="str">
        <f>_xlfn.XLOOKUP(C816, 'Product Catalog'!$A:$A, 'Product Catalog'!$C:$C, "Unknown Category")</f>
        <v>Luxury Goods</v>
      </c>
      <c r="M816" s="1">
        <f>_xlfn.XLOOKUP(C816, 'Product Catalog'!$A:$A, 'Product Catalog'!$D:$D, 0)</f>
        <v>484.68</v>
      </c>
      <c r="N816" s="1">
        <f t="shared" si="25"/>
        <v>1938.72</v>
      </c>
    </row>
    <row r="817" spans="1:14" x14ac:dyDescent="0.3">
      <c r="A817" s="1" t="s">
        <v>1275</v>
      </c>
      <c r="B817" s="1" t="s">
        <v>83</v>
      </c>
      <c r="C817" s="1" t="s">
        <v>219</v>
      </c>
      <c r="D817" s="1">
        <v>2</v>
      </c>
      <c r="E817" s="12">
        <v>45972.506944444445</v>
      </c>
      <c r="F817" s="1" t="s">
        <v>19</v>
      </c>
      <c r="G817" s="1" t="s">
        <v>46</v>
      </c>
      <c r="H817" s="1" t="s">
        <v>14</v>
      </c>
      <c r="I817" s="1" t="s">
        <v>15</v>
      </c>
      <c r="J817" s="1" t="str">
        <f t="shared" si="24"/>
        <v>delivered</v>
      </c>
      <c r="K817" s="1" t="str">
        <f>_xlfn.XLOOKUP(C817, 'Product Catalog'!$A:$A, 'Product Catalog'!$B:$B, "Unknown Product")</f>
        <v>Cap Model P15</v>
      </c>
      <c r="L817" s="1" t="str">
        <f>_xlfn.XLOOKUP(C817, 'Product Catalog'!$A:$A, 'Product Catalog'!$C:$C, "Unknown Category")</f>
        <v>Apparel</v>
      </c>
      <c r="M817" s="1">
        <f>_xlfn.XLOOKUP(C817, 'Product Catalog'!$A:$A, 'Product Catalog'!$D:$D, 0)</f>
        <v>21.11</v>
      </c>
      <c r="N817" s="1">
        <f t="shared" si="25"/>
        <v>42.22</v>
      </c>
    </row>
    <row r="818" spans="1:14" x14ac:dyDescent="0.3">
      <c r="A818" s="1" t="s">
        <v>1276</v>
      </c>
      <c r="B818" s="1" t="s">
        <v>322</v>
      </c>
      <c r="C818" s="1" t="s">
        <v>316</v>
      </c>
      <c r="D818" s="1">
        <v>1</v>
      </c>
      <c r="E818" s="12">
        <v>45772.946527777778</v>
      </c>
      <c r="F818" s="1" t="s">
        <v>19</v>
      </c>
      <c r="G818" s="1" t="s">
        <v>20</v>
      </c>
      <c r="H818" s="1" t="s">
        <v>51</v>
      </c>
      <c r="I818" s="1" t="s">
        <v>102</v>
      </c>
      <c r="J818" s="1" t="str">
        <f t="shared" si="24"/>
        <v>disputed</v>
      </c>
      <c r="K818" s="1" t="str">
        <f>_xlfn.XLOOKUP(C818, 'Product Catalog'!$A:$A, 'Product Catalog'!$B:$B, "Unknown Product")</f>
        <v>Leather Handbag Model W48</v>
      </c>
      <c r="L818" s="1" t="str">
        <f>_xlfn.XLOOKUP(C818, 'Product Catalog'!$A:$A, 'Product Catalog'!$C:$C, "Unknown Category")</f>
        <v>Luxury Goods</v>
      </c>
      <c r="M818" s="1">
        <f>_xlfn.XLOOKUP(C818, 'Product Catalog'!$A:$A, 'Product Catalog'!$D:$D, 0)</f>
        <v>315.82</v>
      </c>
      <c r="N818" s="1">
        <f t="shared" si="25"/>
        <v>315.82</v>
      </c>
    </row>
    <row r="819" spans="1:14" x14ac:dyDescent="0.3">
      <c r="A819" s="1" t="s">
        <v>1277</v>
      </c>
      <c r="B819" s="1" t="s">
        <v>1274</v>
      </c>
      <c r="C819" s="1" t="s">
        <v>30</v>
      </c>
      <c r="D819" s="1">
        <v>2</v>
      </c>
      <c r="E819" s="12">
        <v>45959.249305555553</v>
      </c>
      <c r="F819" s="1" t="s">
        <v>12</v>
      </c>
      <c r="G819" s="1" t="s">
        <v>46</v>
      </c>
      <c r="H819" s="1" t="s">
        <v>14</v>
      </c>
      <c r="I819" s="1" t="s">
        <v>15</v>
      </c>
      <c r="J819" s="1" t="str">
        <f t="shared" si="24"/>
        <v>delivered</v>
      </c>
      <c r="K819" s="1" t="str">
        <f>_xlfn.XLOOKUP(C819, 'Product Catalog'!$A:$A, 'Product Catalog'!$B:$B, "Unknown Product")</f>
        <v>VPN 6-Month Pass Model B131</v>
      </c>
      <c r="L819" s="1" t="str">
        <f>_xlfn.XLOOKUP(C819, 'Product Catalog'!$A:$A, 'Product Catalog'!$C:$C, "Unknown Category")</f>
        <v>Digital Services</v>
      </c>
      <c r="M819" s="1">
        <f>_xlfn.XLOOKUP(C819, 'Product Catalog'!$A:$A, 'Product Catalog'!$D:$D, 0)</f>
        <v>46.92</v>
      </c>
      <c r="N819" s="1">
        <f t="shared" si="25"/>
        <v>93.84</v>
      </c>
    </row>
    <row r="820" spans="1:14" x14ac:dyDescent="0.3">
      <c r="A820" s="1" t="s">
        <v>1278</v>
      </c>
      <c r="B820" s="1" t="s">
        <v>373</v>
      </c>
      <c r="C820" s="1" t="s">
        <v>261</v>
      </c>
      <c r="D820" s="1">
        <v>1</v>
      </c>
      <c r="E820" s="12">
        <v>45851.436111111114</v>
      </c>
      <c r="F820" s="1" t="s">
        <v>12</v>
      </c>
      <c r="G820" s="1" t="s">
        <v>46</v>
      </c>
      <c r="H820" s="1" t="s">
        <v>41</v>
      </c>
      <c r="I820" s="1" t="s">
        <v>15</v>
      </c>
      <c r="J820" s="1" t="str">
        <f t="shared" si="24"/>
        <v>delivered</v>
      </c>
      <c r="K820" s="1" t="str">
        <f>_xlfn.XLOOKUP(C820, 'Product Catalog'!$A:$A, 'Product Catalog'!$B:$B, "Unknown Product")</f>
        <v>Toaster Model C80</v>
      </c>
      <c r="L820" s="1" t="str">
        <f>_xlfn.XLOOKUP(C820, 'Product Catalog'!$A:$A, 'Product Catalog'!$C:$C, "Unknown Category")</f>
        <v>Home Goods</v>
      </c>
      <c r="M820" s="1">
        <f>_xlfn.XLOOKUP(C820, 'Product Catalog'!$A:$A, 'Product Catalog'!$D:$D, 0)</f>
        <v>45.24</v>
      </c>
      <c r="N820" s="1">
        <f t="shared" si="25"/>
        <v>45.24</v>
      </c>
    </row>
    <row r="821" spans="1:14" x14ac:dyDescent="0.3">
      <c r="A821" s="1" t="s">
        <v>1279</v>
      </c>
      <c r="B821" s="1" t="s">
        <v>598</v>
      </c>
      <c r="C821" s="1" t="s">
        <v>131</v>
      </c>
      <c r="D821" s="1">
        <v>4</v>
      </c>
      <c r="E821" s="12">
        <v>46010.418749999997</v>
      </c>
      <c r="F821" s="1" t="s">
        <v>170</v>
      </c>
      <c r="G821" s="1" t="s">
        <v>40</v>
      </c>
      <c r="H821" s="1" t="s">
        <v>51</v>
      </c>
      <c r="I821" s="1" t="s">
        <v>56</v>
      </c>
      <c r="J821" s="1" t="str">
        <f t="shared" si="24"/>
        <v>cancelled</v>
      </c>
      <c r="K821" s="1" t="str">
        <f>_xlfn.XLOOKUP(C821, 'Product Catalog'!$A:$A, 'Product Catalog'!$B:$B, "Unknown Product")</f>
        <v>Keyboard Model C28</v>
      </c>
      <c r="L821" s="1" t="str">
        <f>_xlfn.XLOOKUP(C821, 'Product Catalog'!$A:$A, 'Product Catalog'!$C:$C, "Unknown Category")</f>
        <v>Electronics</v>
      </c>
      <c r="M821" s="1">
        <f>_xlfn.XLOOKUP(C821, 'Product Catalog'!$A:$A, 'Product Catalog'!$D:$D, 0)</f>
        <v>162.44999999999999</v>
      </c>
      <c r="N821" s="1">
        <f t="shared" si="25"/>
        <v>649.79999999999995</v>
      </c>
    </row>
    <row r="822" spans="1:14" x14ac:dyDescent="0.3">
      <c r="A822" s="1" t="s">
        <v>1280</v>
      </c>
      <c r="B822" s="1" t="s">
        <v>37</v>
      </c>
      <c r="C822" s="1" t="s">
        <v>49</v>
      </c>
      <c r="D822" s="1">
        <v>1</v>
      </c>
      <c r="E822" s="12">
        <v>45723.252083333333</v>
      </c>
      <c r="F822" s="1" t="s">
        <v>19</v>
      </c>
      <c r="G822" s="1" t="s">
        <v>31</v>
      </c>
      <c r="H822" s="1" t="s">
        <v>24</v>
      </c>
      <c r="I822" s="1" t="s">
        <v>15</v>
      </c>
      <c r="J822" s="1" t="str">
        <f t="shared" si="24"/>
        <v>delivered</v>
      </c>
      <c r="K822" s="1" t="str">
        <f>_xlfn.XLOOKUP(C822, 'Product Catalog'!$A:$A, 'Product Catalog'!$B:$B, "Unknown Product")</f>
        <v>E-Book Access Model Y76</v>
      </c>
      <c r="L822" s="1" t="str">
        <f>_xlfn.XLOOKUP(C822, 'Product Catalog'!$A:$A, 'Product Catalog'!$C:$C, "Unknown Category")</f>
        <v>Digital Services</v>
      </c>
      <c r="M822" s="1">
        <f>_xlfn.XLOOKUP(C822, 'Product Catalog'!$A:$A, 'Product Catalog'!$D:$D, 0)</f>
        <v>92.33</v>
      </c>
      <c r="N822" s="1">
        <f t="shared" si="25"/>
        <v>92.33</v>
      </c>
    </row>
    <row r="823" spans="1:14" x14ac:dyDescent="0.3">
      <c r="A823" s="1" t="s">
        <v>1281</v>
      </c>
      <c r="B823" s="1" t="s">
        <v>1021</v>
      </c>
      <c r="C823" s="1" t="s">
        <v>192</v>
      </c>
      <c r="D823" s="1">
        <v>1</v>
      </c>
      <c r="E823" s="12">
        <v>45658.997916666667</v>
      </c>
      <c r="F823" s="1" t="s">
        <v>19</v>
      </c>
      <c r="G823" s="1" t="s">
        <v>109</v>
      </c>
      <c r="H823" s="1" t="s">
        <v>55</v>
      </c>
      <c r="I823" s="1" t="s">
        <v>42</v>
      </c>
      <c r="J823" s="1" t="str">
        <f t="shared" si="24"/>
        <v>PENDING_REVIEW</v>
      </c>
      <c r="K823" s="1" t="str">
        <f>_xlfn.XLOOKUP(C823, 'Product Catalog'!$A:$A, 'Product Catalog'!$B:$B, "Unknown Product")</f>
        <v>Leather Handbag Model R69</v>
      </c>
      <c r="L823" s="1" t="str">
        <f>_xlfn.XLOOKUP(C823, 'Product Catalog'!$A:$A, 'Product Catalog'!$C:$C, "Unknown Category")</f>
        <v>Luxury Goods</v>
      </c>
      <c r="M823" s="1">
        <f>_xlfn.XLOOKUP(C823, 'Product Catalog'!$A:$A, 'Product Catalog'!$D:$D, 0)</f>
        <v>425.14</v>
      </c>
      <c r="N823" s="1">
        <f t="shared" si="25"/>
        <v>425.14</v>
      </c>
    </row>
    <row r="824" spans="1:14" x14ac:dyDescent="0.3">
      <c r="A824" s="1" t="s">
        <v>1282</v>
      </c>
      <c r="B824" s="1" t="s">
        <v>787</v>
      </c>
      <c r="C824" s="1" t="s">
        <v>402</v>
      </c>
      <c r="D824" s="1">
        <v>1</v>
      </c>
      <c r="E824" s="12">
        <v>45951.556250000001</v>
      </c>
      <c r="F824" s="1" t="s">
        <v>19</v>
      </c>
      <c r="G824" s="1" t="s">
        <v>109</v>
      </c>
      <c r="H824" s="1" t="s">
        <v>24</v>
      </c>
      <c r="I824" s="1" t="s">
        <v>56</v>
      </c>
      <c r="J824" s="1" t="str">
        <f t="shared" si="24"/>
        <v>cancelled</v>
      </c>
      <c r="K824" s="1" t="str">
        <f>_xlfn.XLOOKUP(C824, 'Product Catalog'!$A:$A, 'Product Catalog'!$B:$B, "Unknown Product")</f>
        <v>Software License Tier A Model J139</v>
      </c>
      <c r="L824" s="1" t="str">
        <f>_xlfn.XLOOKUP(C824, 'Product Catalog'!$A:$A, 'Product Catalog'!$C:$C, "Unknown Category")</f>
        <v>Digital Services</v>
      </c>
      <c r="M824" s="1">
        <f>_xlfn.XLOOKUP(C824, 'Product Catalog'!$A:$A, 'Product Catalog'!$D:$D, 0)</f>
        <v>90.05</v>
      </c>
      <c r="N824" s="1">
        <f t="shared" si="25"/>
        <v>90.05</v>
      </c>
    </row>
    <row r="825" spans="1:14" x14ac:dyDescent="0.3">
      <c r="A825" s="1" t="s">
        <v>1283</v>
      </c>
      <c r="B825" s="1" t="s">
        <v>139</v>
      </c>
      <c r="C825" s="1" t="s">
        <v>105</v>
      </c>
      <c r="D825" s="1">
        <v>1</v>
      </c>
      <c r="E825" s="12">
        <v>45948.04583333333</v>
      </c>
      <c r="F825" s="1" t="s">
        <v>12</v>
      </c>
      <c r="G825" s="1" t="s">
        <v>31</v>
      </c>
      <c r="H825" s="1" t="s">
        <v>41</v>
      </c>
      <c r="I825" s="1" t="s">
        <v>102</v>
      </c>
      <c r="J825" s="1" t="str">
        <f t="shared" si="24"/>
        <v>disputed</v>
      </c>
      <c r="K825" s="1" t="str">
        <f>_xlfn.XLOOKUP(C825, 'Product Catalog'!$A:$A, 'Product Catalog'!$B:$B, "Unknown Product")</f>
        <v>Keyboard Model E4</v>
      </c>
      <c r="L825" s="1" t="str">
        <f>_xlfn.XLOOKUP(C825, 'Product Catalog'!$A:$A, 'Product Catalog'!$C:$C, "Unknown Category")</f>
        <v>Electronics</v>
      </c>
      <c r="M825" s="1">
        <f>_xlfn.XLOOKUP(C825, 'Product Catalog'!$A:$A, 'Product Catalog'!$D:$D, 0)</f>
        <v>69.680000000000007</v>
      </c>
      <c r="N825" s="1">
        <f t="shared" si="25"/>
        <v>69.680000000000007</v>
      </c>
    </row>
    <row r="826" spans="1:14" x14ac:dyDescent="0.3">
      <c r="A826" s="1" t="s">
        <v>1284</v>
      </c>
      <c r="B826" s="1" t="s">
        <v>696</v>
      </c>
      <c r="C826" s="1" t="s">
        <v>542</v>
      </c>
      <c r="D826" s="1">
        <v>2</v>
      </c>
      <c r="E826" s="12">
        <v>45751.856249999997</v>
      </c>
      <c r="F826" s="1" t="s">
        <v>19</v>
      </c>
      <c r="G826" s="1" t="s">
        <v>109</v>
      </c>
      <c r="H826" s="1" t="s">
        <v>14</v>
      </c>
      <c r="I826" s="1" t="s">
        <v>15</v>
      </c>
      <c r="J826" s="1" t="str">
        <f t="shared" si="24"/>
        <v>delivered</v>
      </c>
      <c r="K826" s="1" t="str">
        <f>_xlfn.XLOOKUP(C826, 'Product Catalog'!$A:$A, 'Product Catalog'!$B:$B, "Unknown Product")</f>
        <v>Cable Model M38</v>
      </c>
      <c r="L826" s="1" t="str">
        <f>_xlfn.XLOOKUP(C826, 'Product Catalog'!$A:$A, 'Product Catalog'!$C:$C, "Unknown Category")</f>
        <v>Electronics</v>
      </c>
      <c r="M826" s="1">
        <f>_xlfn.XLOOKUP(C826, 'Product Catalog'!$A:$A, 'Product Catalog'!$D:$D, 0)</f>
        <v>91.18</v>
      </c>
      <c r="N826" s="1">
        <f t="shared" si="25"/>
        <v>182.36</v>
      </c>
    </row>
    <row r="827" spans="1:14" x14ac:dyDescent="0.3">
      <c r="A827" s="1" t="s">
        <v>1285</v>
      </c>
      <c r="B827" s="1" t="s">
        <v>94</v>
      </c>
      <c r="C827" s="1" t="s">
        <v>261</v>
      </c>
      <c r="D827" s="1">
        <v>1</v>
      </c>
      <c r="E827" s="12">
        <v>45820.869444444441</v>
      </c>
      <c r="F827" s="1" t="s">
        <v>12</v>
      </c>
      <c r="G827" s="1" t="s">
        <v>13</v>
      </c>
      <c r="H827" s="1" t="s">
        <v>41</v>
      </c>
      <c r="I827" s="1" t="s">
        <v>15</v>
      </c>
      <c r="J827" s="1" t="str">
        <f t="shared" si="24"/>
        <v>delivered</v>
      </c>
      <c r="K827" s="1" t="str">
        <f>_xlfn.XLOOKUP(C827, 'Product Catalog'!$A:$A, 'Product Catalog'!$B:$B, "Unknown Product")</f>
        <v>Toaster Model C80</v>
      </c>
      <c r="L827" s="1" t="str">
        <f>_xlfn.XLOOKUP(C827, 'Product Catalog'!$A:$A, 'Product Catalog'!$C:$C, "Unknown Category")</f>
        <v>Home Goods</v>
      </c>
      <c r="M827" s="1">
        <f>_xlfn.XLOOKUP(C827, 'Product Catalog'!$A:$A, 'Product Catalog'!$D:$D, 0)</f>
        <v>45.24</v>
      </c>
      <c r="N827" s="1">
        <f t="shared" si="25"/>
        <v>45.24</v>
      </c>
    </row>
    <row r="828" spans="1:14" x14ac:dyDescent="0.3">
      <c r="A828" s="1" t="s">
        <v>1286</v>
      </c>
      <c r="B828" s="1" t="s">
        <v>130</v>
      </c>
      <c r="C828" s="1" t="s">
        <v>380</v>
      </c>
      <c r="D828" s="1">
        <v>1</v>
      </c>
      <c r="E828" s="12">
        <v>45771.90902777778</v>
      </c>
      <c r="F828" s="1" t="s">
        <v>12</v>
      </c>
      <c r="G828" s="1" t="s">
        <v>40</v>
      </c>
      <c r="H828" s="1" t="s">
        <v>55</v>
      </c>
      <c r="I828" s="1" t="s">
        <v>102</v>
      </c>
      <c r="J828" s="1" t="str">
        <f t="shared" si="24"/>
        <v>disputed</v>
      </c>
      <c r="K828" s="1" t="str">
        <f>_xlfn.XLOOKUP(C828, 'Product Catalog'!$A:$A, 'Product Catalog'!$B:$B, "Unknown Product")</f>
        <v>Premium Stream 1M Model Z51</v>
      </c>
      <c r="L828" s="1" t="str">
        <f>_xlfn.XLOOKUP(C828, 'Product Catalog'!$A:$A, 'Product Catalog'!$C:$C, "Unknown Category")</f>
        <v>Digital Services</v>
      </c>
      <c r="M828" s="1">
        <f>_xlfn.XLOOKUP(C828, 'Product Catalog'!$A:$A, 'Product Catalog'!$D:$D, 0)</f>
        <v>55.69</v>
      </c>
      <c r="N828" s="1">
        <f t="shared" si="25"/>
        <v>55.69</v>
      </c>
    </row>
    <row r="829" spans="1:14" x14ac:dyDescent="0.3">
      <c r="A829" s="1" t="s">
        <v>1287</v>
      </c>
      <c r="B829" s="1" t="s">
        <v>491</v>
      </c>
      <c r="C829" s="1" t="s">
        <v>459</v>
      </c>
      <c r="D829" s="1">
        <v>1</v>
      </c>
      <c r="E829" s="12">
        <v>45947.147916666669</v>
      </c>
      <c r="F829" s="1" t="s">
        <v>19</v>
      </c>
      <c r="G829" s="1" t="s">
        <v>13</v>
      </c>
      <c r="H829" s="1" t="s">
        <v>41</v>
      </c>
      <c r="I829" s="1" t="s">
        <v>32</v>
      </c>
      <c r="J829" s="1" t="str">
        <f t="shared" si="24"/>
        <v>SHIPPED</v>
      </c>
      <c r="K829" s="1" t="str">
        <f>_xlfn.XLOOKUP(C829, 'Product Catalog'!$A:$A, 'Product Catalog'!$B:$B, "Unknown Product")</f>
        <v>Mouse Model I60</v>
      </c>
      <c r="L829" s="1" t="str">
        <f>_xlfn.XLOOKUP(C829, 'Product Catalog'!$A:$A, 'Product Catalog'!$C:$C, "Unknown Category")</f>
        <v>Electronics</v>
      </c>
      <c r="M829" s="1">
        <f>_xlfn.XLOOKUP(C829, 'Product Catalog'!$A:$A, 'Product Catalog'!$D:$D, 0)</f>
        <v>168.25</v>
      </c>
      <c r="N829" s="1">
        <f t="shared" si="25"/>
        <v>168.25</v>
      </c>
    </row>
    <row r="830" spans="1:14" x14ac:dyDescent="0.3">
      <c r="A830" s="1" t="s">
        <v>1288</v>
      </c>
      <c r="B830" s="1" t="s">
        <v>70</v>
      </c>
      <c r="C830" s="1" t="s">
        <v>320</v>
      </c>
      <c r="D830" s="1">
        <v>1</v>
      </c>
      <c r="E830" s="12">
        <v>45912.2</v>
      </c>
      <c r="F830" s="1" t="s">
        <v>170</v>
      </c>
      <c r="G830" s="1" t="s">
        <v>40</v>
      </c>
      <c r="H830" s="1" t="s">
        <v>51</v>
      </c>
      <c r="I830" s="1" t="s">
        <v>42</v>
      </c>
      <c r="J830" s="1" t="str">
        <f t="shared" si="24"/>
        <v>PENDING_REVIEW</v>
      </c>
      <c r="K830" s="1" t="str">
        <f>_xlfn.XLOOKUP(C830, 'Product Catalog'!$A:$A, 'Product Catalog'!$B:$B, "Unknown Product")</f>
        <v>Premium Stream 1M Model Y24</v>
      </c>
      <c r="L830" s="1" t="str">
        <f>_xlfn.XLOOKUP(C830, 'Product Catalog'!$A:$A, 'Product Catalog'!$C:$C, "Unknown Category")</f>
        <v>Digital Services</v>
      </c>
      <c r="M830" s="1">
        <f>_xlfn.XLOOKUP(C830, 'Product Catalog'!$A:$A, 'Product Catalog'!$D:$D, 0)</f>
        <v>29.9</v>
      </c>
      <c r="N830" s="1">
        <f t="shared" si="25"/>
        <v>29.9</v>
      </c>
    </row>
    <row r="831" spans="1:14" x14ac:dyDescent="0.3">
      <c r="A831" s="1" t="s">
        <v>1289</v>
      </c>
      <c r="B831" s="1" t="s">
        <v>133</v>
      </c>
      <c r="C831" s="1" t="s">
        <v>27</v>
      </c>
      <c r="D831" s="1">
        <v>2</v>
      </c>
      <c r="E831" s="12">
        <v>45827.11041666667</v>
      </c>
      <c r="F831" s="1" t="s">
        <v>12</v>
      </c>
      <c r="G831" s="1" t="s">
        <v>20</v>
      </c>
      <c r="H831" s="1" t="s">
        <v>14</v>
      </c>
      <c r="I831" s="1" t="s">
        <v>32</v>
      </c>
      <c r="J831" s="1" t="str">
        <f t="shared" si="24"/>
        <v>SHIPPED</v>
      </c>
      <c r="K831" s="1" t="str">
        <f>_xlfn.XLOOKUP(C831, 'Product Catalog'!$A:$A, 'Product Catalog'!$B:$B, "Unknown Product")</f>
        <v>Premium Stream 1M Model B53</v>
      </c>
      <c r="L831" s="1" t="str">
        <f>_xlfn.XLOOKUP(C831, 'Product Catalog'!$A:$A, 'Product Catalog'!$C:$C, "Unknown Category")</f>
        <v>Digital Services</v>
      </c>
      <c r="M831" s="1">
        <f>_xlfn.XLOOKUP(C831, 'Product Catalog'!$A:$A, 'Product Catalog'!$D:$D, 0)</f>
        <v>13.87</v>
      </c>
      <c r="N831" s="1">
        <f t="shared" si="25"/>
        <v>27.74</v>
      </c>
    </row>
    <row r="832" spans="1:14" x14ac:dyDescent="0.3">
      <c r="A832" s="1" t="s">
        <v>1290</v>
      </c>
      <c r="B832" s="1" t="s">
        <v>197</v>
      </c>
      <c r="C832" s="1" t="s">
        <v>27</v>
      </c>
      <c r="D832" s="1">
        <v>1</v>
      </c>
      <c r="E832" s="12">
        <v>45779.493055555555</v>
      </c>
      <c r="F832" s="1" t="s">
        <v>12</v>
      </c>
      <c r="G832" s="1" t="s">
        <v>46</v>
      </c>
      <c r="H832" s="1" t="s">
        <v>14</v>
      </c>
      <c r="I832" s="1" t="s">
        <v>15</v>
      </c>
      <c r="J832" s="1" t="str">
        <f t="shared" si="24"/>
        <v>delivered</v>
      </c>
      <c r="K832" s="1" t="str">
        <f>_xlfn.XLOOKUP(C832, 'Product Catalog'!$A:$A, 'Product Catalog'!$B:$B, "Unknown Product")</f>
        <v>Premium Stream 1M Model B53</v>
      </c>
      <c r="L832" s="1" t="str">
        <f>_xlfn.XLOOKUP(C832, 'Product Catalog'!$A:$A, 'Product Catalog'!$C:$C, "Unknown Category")</f>
        <v>Digital Services</v>
      </c>
      <c r="M832" s="1">
        <f>_xlfn.XLOOKUP(C832, 'Product Catalog'!$A:$A, 'Product Catalog'!$D:$D, 0)</f>
        <v>13.87</v>
      </c>
      <c r="N832" s="1">
        <f t="shared" si="25"/>
        <v>13.87</v>
      </c>
    </row>
    <row r="833" spans="1:14" x14ac:dyDescent="0.3">
      <c r="A833" s="1" t="s">
        <v>1291</v>
      </c>
      <c r="B833" s="1" t="s">
        <v>559</v>
      </c>
      <c r="C833" s="1" t="s">
        <v>592</v>
      </c>
      <c r="D833" s="1">
        <v>2</v>
      </c>
      <c r="E833" s="12">
        <v>45821.238194444442</v>
      </c>
      <c r="F833" s="1" t="s">
        <v>12</v>
      </c>
      <c r="G833" s="1" t="s">
        <v>46</v>
      </c>
      <c r="H833" s="1" t="s">
        <v>14</v>
      </c>
      <c r="I833" s="1" t="s">
        <v>15</v>
      </c>
      <c r="J833" s="1" t="str">
        <f t="shared" si="24"/>
        <v>delivered</v>
      </c>
      <c r="K833" s="1" t="str">
        <f>_xlfn.XLOOKUP(C833, 'Product Catalog'!$A:$A, 'Product Catalog'!$B:$B, "Unknown Product")</f>
        <v>Blender Model Q94</v>
      </c>
      <c r="L833" s="1" t="str">
        <f>_xlfn.XLOOKUP(C833, 'Product Catalog'!$A:$A, 'Product Catalog'!$C:$C, "Unknown Category")</f>
        <v>Home Goods</v>
      </c>
      <c r="M833" s="1">
        <f>_xlfn.XLOOKUP(C833, 'Product Catalog'!$A:$A, 'Product Catalog'!$D:$D, 0)</f>
        <v>129.13</v>
      </c>
      <c r="N833" s="1">
        <f t="shared" si="25"/>
        <v>258.26</v>
      </c>
    </row>
    <row r="834" spans="1:14" x14ac:dyDescent="0.3">
      <c r="A834" s="1" t="s">
        <v>1292</v>
      </c>
      <c r="B834" s="1" t="s">
        <v>232</v>
      </c>
      <c r="C834" s="1" t="s">
        <v>446</v>
      </c>
      <c r="D834" s="1">
        <v>1</v>
      </c>
      <c r="E834" s="12">
        <v>45983.125694444447</v>
      </c>
      <c r="F834" s="1" t="s">
        <v>170</v>
      </c>
      <c r="G834" s="1" t="s">
        <v>40</v>
      </c>
      <c r="H834" s="1" t="s">
        <v>41</v>
      </c>
      <c r="I834" s="1" t="s">
        <v>42</v>
      </c>
      <c r="J834" s="1" t="str">
        <f t="shared" ref="J834:J897" si="26">TRIM(I834)</f>
        <v>PENDING_REVIEW</v>
      </c>
      <c r="K834" s="1" t="str">
        <f>_xlfn.XLOOKUP(C834, 'Product Catalog'!$A:$A, 'Product Catalog'!$B:$B, "Unknown Product")</f>
        <v>Silk Scarf Model K36</v>
      </c>
      <c r="L834" s="1" t="str">
        <f>_xlfn.XLOOKUP(C834, 'Product Catalog'!$A:$A, 'Product Catalog'!$C:$C, "Unknown Category")</f>
        <v>Luxury Goods</v>
      </c>
      <c r="M834" s="1">
        <f>_xlfn.XLOOKUP(C834, 'Product Catalog'!$A:$A, 'Product Catalog'!$D:$D, 0)</f>
        <v>737.6</v>
      </c>
      <c r="N834" s="1">
        <f t="shared" ref="N834:N897" si="27">D834 * M834</f>
        <v>737.6</v>
      </c>
    </row>
    <row r="835" spans="1:14" x14ac:dyDescent="0.3">
      <c r="A835" s="1" t="s">
        <v>1293</v>
      </c>
      <c r="B835" s="1" t="s">
        <v>86</v>
      </c>
      <c r="C835" s="1" t="s">
        <v>622</v>
      </c>
      <c r="D835" s="1">
        <v>5</v>
      </c>
      <c r="E835" s="12">
        <v>46001.908333333333</v>
      </c>
      <c r="F835" s="1" t="s">
        <v>19</v>
      </c>
      <c r="G835" s="1" t="s">
        <v>109</v>
      </c>
      <c r="H835" s="1" t="s">
        <v>41</v>
      </c>
      <c r="I835" s="1" t="s">
        <v>102</v>
      </c>
      <c r="J835" s="1" t="str">
        <f t="shared" si="26"/>
        <v>disputed</v>
      </c>
      <c r="K835" s="1" t="str">
        <f>_xlfn.XLOOKUP(C835, 'Product Catalog'!$A:$A, 'Product Catalog'!$B:$B, "Unknown Product")</f>
        <v>Designer Watch Model R147</v>
      </c>
      <c r="L835" s="1" t="str">
        <f>_xlfn.XLOOKUP(C835, 'Product Catalog'!$A:$A, 'Product Catalog'!$C:$C, "Unknown Category")</f>
        <v>Luxury Goods</v>
      </c>
      <c r="M835" s="1">
        <f>_xlfn.XLOOKUP(C835, 'Product Catalog'!$A:$A, 'Product Catalog'!$D:$D, 0)</f>
        <v>484.68</v>
      </c>
      <c r="N835" s="1">
        <f t="shared" si="27"/>
        <v>2423.4</v>
      </c>
    </row>
    <row r="836" spans="1:14" x14ac:dyDescent="0.3">
      <c r="A836" s="1" t="s">
        <v>1294</v>
      </c>
      <c r="B836" s="1" t="s">
        <v>114</v>
      </c>
      <c r="C836" s="1" t="s">
        <v>49</v>
      </c>
      <c r="D836" s="1">
        <v>1</v>
      </c>
      <c r="E836" s="12">
        <v>45829.634722222225</v>
      </c>
      <c r="F836" s="1" t="s">
        <v>12</v>
      </c>
      <c r="G836" s="1" t="s">
        <v>109</v>
      </c>
      <c r="H836" s="1" t="s">
        <v>41</v>
      </c>
      <c r="I836" s="1" t="s">
        <v>15</v>
      </c>
      <c r="J836" s="1" t="str">
        <f t="shared" si="26"/>
        <v>delivered</v>
      </c>
      <c r="K836" s="1" t="str">
        <f>_xlfn.XLOOKUP(C836, 'Product Catalog'!$A:$A, 'Product Catalog'!$B:$B, "Unknown Product")</f>
        <v>E-Book Access Model Y76</v>
      </c>
      <c r="L836" s="1" t="str">
        <f>_xlfn.XLOOKUP(C836, 'Product Catalog'!$A:$A, 'Product Catalog'!$C:$C, "Unknown Category")</f>
        <v>Digital Services</v>
      </c>
      <c r="M836" s="1">
        <f>_xlfn.XLOOKUP(C836, 'Product Catalog'!$A:$A, 'Product Catalog'!$D:$D, 0)</f>
        <v>92.33</v>
      </c>
      <c r="N836" s="1">
        <f t="shared" si="27"/>
        <v>92.33</v>
      </c>
    </row>
    <row r="837" spans="1:14" x14ac:dyDescent="0.3">
      <c r="A837" s="1" t="s">
        <v>1295</v>
      </c>
      <c r="B837" s="1" t="s">
        <v>295</v>
      </c>
      <c r="C837" s="1" t="s">
        <v>87</v>
      </c>
      <c r="D837" s="1">
        <v>1</v>
      </c>
      <c r="E837" s="12">
        <v>45663.377083333333</v>
      </c>
      <c r="F837" s="1" t="s">
        <v>19</v>
      </c>
      <c r="G837" s="1" t="s">
        <v>46</v>
      </c>
      <c r="H837" s="1" t="s">
        <v>14</v>
      </c>
      <c r="I837" s="1" t="s">
        <v>32</v>
      </c>
      <c r="J837" s="1" t="str">
        <f t="shared" si="26"/>
        <v>SHIPPED</v>
      </c>
      <c r="K837" s="1" t="str">
        <f>_xlfn.XLOOKUP(C837, 'Product Catalog'!$A:$A, 'Product Catalog'!$B:$B, "Unknown Product")</f>
        <v>T-Shirt Model S122</v>
      </c>
      <c r="L837" s="1" t="str">
        <f>_xlfn.XLOOKUP(C837, 'Product Catalog'!$A:$A, 'Product Catalog'!$C:$C, "Unknown Category")</f>
        <v>Apparel</v>
      </c>
      <c r="M837" s="1">
        <f>_xlfn.XLOOKUP(C837, 'Product Catalog'!$A:$A, 'Product Catalog'!$D:$D, 0)</f>
        <v>15.08</v>
      </c>
      <c r="N837" s="1">
        <f t="shared" si="27"/>
        <v>15.08</v>
      </c>
    </row>
    <row r="838" spans="1:14" x14ac:dyDescent="0.3">
      <c r="A838" s="1" t="s">
        <v>1296</v>
      </c>
      <c r="B838" s="1" t="s">
        <v>147</v>
      </c>
      <c r="C838" s="1" t="s">
        <v>592</v>
      </c>
      <c r="D838" s="1">
        <v>5</v>
      </c>
      <c r="E838" s="12">
        <v>45765.354861111111</v>
      </c>
      <c r="F838" s="1" t="s">
        <v>170</v>
      </c>
      <c r="G838" s="1" t="s">
        <v>50</v>
      </c>
      <c r="H838" s="1" t="s">
        <v>51</v>
      </c>
      <c r="I838" s="1" t="s">
        <v>102</v>
      </c>
      <c r="J838" s="1" t="str">
        <f t="shared" si="26"/>
        <v>disputed</v>
      </c>
      <c r="K838" s="1" t="str">
        <f>_xlfn.XLOOKUP(C838, 'Product Catalog'!$A:$A, 'Product Catalog'!$B:$B, "Unknown Product")</f>
        <v>Blender Model Q94</v>
      </c>
      <c r="L838" s="1" t="str">
        <f>_xlfn.XLOOKUP(C838, 'Product Catalog'!$A:$A, 'Product Catalog'!$C:$C, "Unknown Category")</f>
        <v>Home Goods</v>
      </c>
      <c r="M838" s="1">
        <f>_xlfn.XLOOKUP(C838, 'Product Catalog'!$A:$A, 'Product Catalog'!$D:$D, 0)</f>
        <v>129.13</v>
      </c>
      <c r="N838" s="1">
        <f t="shared" si="27"/>
        <v>645.65</v>
      </c>
    </row>
    <row r="839" spans="1:14" x14ac:dyDescent="0.3">
      <c r="A839" s="1" t="s">
        <v>1297</v>
      </c>
      <c r="B839" s="1" t="s">
        <v>218</v>
      </c>
      <c r="C839" s="1" t="s">
        <v>293</v>
      </c>
      <c r="D839" s="1">
        <v>2</v>
      </c>
      <c r="E839" s="12">
        <v>46012.095833333333</v>
      </c>
      <c r="F839" s="1" t="s">
        <v>19</v>
      </c>
      <c r="G839" s="1" t="s">
        <v>31</v>
      </c>
      <c r="H839" s="1" t="s">
        <v>41</v>
      </c>
      <c r="I839" s="1" t="s">
        <v>15</v>
      </c>
      <c r="J839" s="1" t="str">
        <f t="shared" si="26"/>
        <v>delivered</v>
      </c>
      <c r="K839" s="1" t="str">
        <f>_xlfn.XLOOKUP(C839, 'Product Catalog'!$A:$A, 'Product Catalog'!$B:$B, "Unknown Product")</f>
        <v>Software License Tier A Model C132</v>
      </c>
      <c r="L839" s="1" t="str">
        <f>_xlfn.XLOOKUP(C839, 'Product Catalog'!$A:$A, 'Product Catalog'!$C:$C, "Unknown Category")</f>
        <v>Digital Services</v>
      </c>
      <c r="M839" s="1">
        <f>_xlfn.XLOOKUP(C839, 'Product Catalog'!$A:$A, 'Product Catalog'!$D:$D, 0)</f>
        <v>29.36</v>
      </c>
      <c r="N839" s="1">
        <f t="shared" si="27"/>
        <v>58.72</v>
      </c>
    </row>
    <row r="840" spans="1:14" x14ac:dyDescent="0.3">
      <c r="A840" s="1" t="s">
        <v>1298</v>
      </c>
      <c r="B840" s="1" t="s">
        <v>350</v>
      </c>
      <c r="C840" s="1" t="s">
        <v>721</v>
      </c>
      <c r="D840" s="1">
        <v>1</v>
      </c>
      <c r="E840" s="12">
        <v>45837.364583333336</v>
      </c>
      <c r="F840" s="1" t="s">
        <v>19</v>
      </c>
      <c r="G840" s="1" t="s">
        <v>46</v>
      </c>
      <c r="H840" s="1" t="s">
        <v>14</v>
      </c>
      <c r="I840" s="1" t="s">
        <v>15</v>
      </c>
      <c r="J840" s="1" t="str">
        <f t="shared" si="26"/>
        <v>delivered</v>
      </c>
      <c r="K840" s="1" t="str">
        <f>_xlfn.XLOOKUP(C840, 'Product Catalog'!$A:$A, 'Product Catalog'!$B:$B, "Unknown Product")</f>
        <v>Hoodie Model E134</v>
      </c>
      <c r="L840" s="1" t="str">
        <f>_xlfn.XLOOKUP(C840, 'Product Catalog'!$A:$A, 'Product Catalog'!$C:$C, "Unknown Category")</f>
        <v>Apparel</v>
      </c>
      <c r="M840" s="1">
        <f>_xlfn.XLOOKUP(C840, 'Product Catalog'!$A:$A, 'Product Catalog'!$D:$D, 0)</f>
        <v>58.39</v>
      </c>
      <c r="N840" s="1">
        <f t="shared" si="27"/>
        <v>58.39</v>
      </c>
    </row>
    <row r="841" spans="1:14" x14ac:dyDescent="0.3">
      <c r="A841" s="1" t="s">
        <v>1299</v>
      </c>
      <c r="B841" s="1" t="s">
        <v>442</v>
      </c>
      <c r="C841" s="1" t="s">
        <v>691</v>
      </c>
      <c r="D841" s="1">
        <v>4</v>
      </c>
      <c r="E841" s="12">
        <v>45713.001388888886</v>
      </c>
      <c r="F841" s="1" t="s">
        <v>39</v>
      </c>
      <c r="G841" s="1" t="s">
        <v>109</v>
      </c>
      <c r="H841" s="1" t="s">
        <v>55</v>
      </c>
      <c r="I841" s="1" t="s">
        <v>81</v>
      </c>
      <c r="J841" s="1" t="str">
        <f t="shared" si="26"/>
        <v>REFUNDED</v>
      </c>
      <c r="K841" s="1" t="str">
        <f>_xlfn.XLOOKUP(C841, 'Product Catalog'!$A:$A, 'Product Catalog'!$B:$B, "Unknown Product")</f>
        <v>Designer Watch Model T123</v>
      </c>
      <c r="L841" s="1" t="str">
        <f>_xlfn.XLOOKUP(C841, 'Product Catalog'!$A:$A, 'Product Catalog'!$C:$C, "Unknown Category")</f>
        <v>Luxury Goods</v>
      </c>
      <c r="M841" s="1">
        <f>_xlfn.XLOOKUP(C841, 'Product Catalog'!$A:$A, 'Product Catalog'!$D:$D, 0)</f>
        <v>1301.92</v>
      </c>
      <c r="N841" s="1">
        <f t="shared" si="27"/>
        <v>5207.68</v>
      </c>
    </row>
    <row r="842" spans="1:14" x14ac:dyDescent="0.3">
      <c r="A842" s="1" t="s">
        <v>1300</v>
      </c>
      <c r="B842" s="1" t="s">
        <v>422</v>
      </c>
      <c r="C842" s="1" t="s">
        <v>522</v>
      </c>
      <c r="D842" s="1">
        <v>4</v>
      </c>
      <c r="E842" s="12">
        <v>45682.548611111109</v>
      </c>
      <c r="F842" s="1" t="s">
        <v>170</v>
      </c>
      <c r="G842" s="1" t="s">
        <v>13</v>
      </c>
      <c r="H842" s="1" t="s">
        <v>55</v>
      </c>
      <c r="I842" s="1" t="s">
        <v>42</v>
      </c>
      <c r="J842" s="1" t="str">
        <f t="shared" si="26"/>
        <v>PENDING_REVIEW</v>
      </c>
      <c r="K842" s="1" t="str">
        <f>_xlfn.XLOOKUP(C842, 'Product Catalog'!$A:$A, 'Product Catalog'!$B:$B, "Unknown Product")</f>
        <v>Leather Handbag Model F5</v>
      </c>
      <c r="L842" s="1" t="str">
        <f>_xlfn.XLOOKUP(C842, 'Product Catalog'!$A:$A, 'Product Catalog'!$C:$C, "Unknown Category")</f>
        <v>Luxury Goods</v>
      </c>
      <c r="M842" s="1">
        <f>_xlfn.XLOOKUP(C842, 'Product Catalog'!$A:$A, 'Product Catalog'!$D:$D, 0)</f>
        <v>1875.24</v>
      </c>
      <c r="N842" s="1">
        <f t="shared" si="27"/>
        <v>7500.96</v>
      </c>
    </row>
    <row r="843" spans="1:14" x14ac:dyDescent="0.3">
      <c r="A843" s="1" t="s">
        <v>1301</v>
      </c>
      <c r="B843" s="1" t="s">
        <v>1114</v>
      </c>
      <c r="C843" s="1" t="s">
        <v>348</v>
      </c>
      <c r="D843" s="1">
        <v>1</v>
      </c>
      <c r="E843" s="12">
        <v>45882.59652777778</v>
      </c>
      <c r="F843" s="1" t="s">
        <v>19</v>
      </c>
      <c r="G843" s="1" t="s">
        <v>50</v>
      </c>
      <c r="H843" s="1" t="s">
        <v>55</v>
      </c>
      <c r="I843" s="1" t="s">
        <v>102</v>
      </c>
      <c r="J843" s="1" t="str">
        <f t="shared" si="26"/>
        <v>disputed</v>
      </c>
      <c r="K843" s="1" t="str">
        <f>_xlfn.XLOOKUP(C843, 'Product Catalog'!$A:$A, 'Product Catalog'!$B:$B, "Unknown Product")</f>
        <v>Leather Handbag Model G84</v>
      </c>
      <c r="L843" s="1" t="str">
        <f>_xlfn.XLOOKUP(C843, 'Product Catalog'!$A:$A, 'Product Catalog'!$C:$C, "Unknown Category")</f>
        <v>Luxury Goods</v>
      </c>
      <c r="M843" s="1">
        <f>_xlfn.XLOOKUP(C843, 'Product Catalog'!$A:$A, 'Product Catalog'!$D:$D, 0)</f>
        <v>899.17</v>
      </c>
      <c r="N843" s="1">
        <f t="shared" si="27"/>
        <v>899.17</v>
      </c>
    </row>
    <row r="844" spans="1:14" x14ac:dyDescent="0.3">
      <c r="A844" s="1" t="s">
        <v>1302</v>
      </c>
      <c r="B844" s="1" t="s">
        <v>22</v>
      </c>
      <c r="C844" s="1" t="s">
        <v>151</v>
      </c>
      <c r="D844" s="1">
        <v>1</v>
      </c>
      <c r="E844" s="12">
        <v>45743.588194444441</v>
      </c>
      <c r="F844" s="1" t="s">
        <v>12</v>
      </c>
      <c r="G844" s="1" t="s">
        <v>109</v>
      </c>
      <c r="H844" s="1" t="s">
        <v>41</v>
      </c>
      <c r="I844" s="1" t="s">
        <v>42</v>
      </c>
      <c r="J844" s="1" t="str">
        <f t="shared" si="26"/>
        <v>PENDING_REVIEW</v>
      </c>
      <c r="K844" s="1" t="str">
        <f>_xlfn.XLOOKUP(C844, 'Product Catalog'!$A:$A, 'Product Catalog'!$B:$B, "Unknown Product")</f>
        <v>Hoodie Model R43</v>
      </c>
      <c r="L844" s="1" t="str">
        <f>_xlfn.XLOOKUP(C844, 'Product Catalog'!$A:$A, 'Product Catalog'!$C:$C, "Unknown Category")</f>
        <v>Apparel</v>
      </c>
      <c r="M844" s="1">
        <f>_xlfn.XLOOKUP(C844, 'Product Catalog'!$A:$A, 'Product Catalog'!$D:$D, 0)</f>
        <v>68.040000000000006</v>
      </c>
      <c r="N844" s="1">
        <f t="shared" si="27"/>
        <v>68.040000000000006</v>
      </c>
    </row>
    <row r="845" spans="1:14" x14ac:dyDescent="0.3">
      <c r="A845" s="1" t="s">
        <v>1303</v>
      </c>
      <c r="B845" s="1" t="s">
        <v>468</v>
      </c>
      <c r="C845" s="1" t="s">
        <v>216</v>
      </c>
      <c r="D845" s="1">
        <v>1</v>
      </c>
      <c r="E845" s="12">
        <v>45910.538194444445</v>
      </c>
      <c r="F845" s="1" t="s">
        <v>12</v>
      </c>
      <c r="G845" s="1" t="s">
        <v>46</v>
      </c>
      <c r="H845" s="1" t="s">
        <v>55</v>
      </c>
      <c r="I845" s="1" t="s">
        <v>56</v>
      </c>
      <c r="J845" s="1" t="str">
        <f t="shared" si="26"/>
        <v>cancelled</v>
      </c>
      <c r="K845" s="1" t="str">
        <f>_xlfn.XLOOKUP(C845, 'Product Catalog'!$A:$A, 'Product Catalog'!$B:$B, "Unknown Product")</f>
        <v>Premium Perfume Model X23</v>
      </c>
      <c r="L845" s="1" t="str">
        <f>_xlfn.XLOOKUP(C845, 'Product Catalog'!$A:$A, 'Product Catalog'!$C:$C, "Unknown Category")</f>
        <v>Luxury Goods</v>
      </c>
      <c r="M845" s="1">
        <f>_xlfn.XLOOKUP(C845, 'Product Catalog'!$A:$A, 'Product Catalog'!$D:$D, 0)</f>
        <v>767.78</v>
      </c>
      <c r="N845" s="1">
        <f t="shared" si="27"/>
        <v>767.78</v>
      </c>
    </row>
    <row r="846" spans="1:14" x14ac:dyDescent="0.3">
      <c r="A846" s="1" t="s">
        <v>1304</v>
      </c>
      <c r="B846" s="1" t="s">
        <v>448</v>
      </c>
      <c r="C846" s="1" t="s">
        <v>244</v>
      </c>
      <c r="D846" s="1">
        <v>2</v>
      </c>
      <c r="E846" s="12">
        <v>45837.776388888888</v>
      </c>
      <c r="F846" s="1" t="s">
        <v>12</v>
      </c>
      <c r="G846" s="1" t="s">
        <v>109</v>
      </c>
      <c r="H846" s="1" t="s">
        <v>41</v>
      </c>
      <c r="I846" s="1" t="s">
        <v>15</v>
      </c>
      <c r="J846" s="1" t="str">
        <f t="shared" si="26"/>
        <v>delivered</v>
      </c>
      <c r="K846" s="1" t="str">
        <f>_xlfn.XLOOKUP(C846, 'Product Catalog'!$A:$A, 'Product Catalog'!$B:$B, "Unknown Product")</f>
        <v>Hoodie Model F135</v>
      </c>
      <c r="L846" s="1" t="str">
        <f>_xlfn.XLOOKUP(C846, 'Product Catalog'!$A:$A, 'Product Catalog'!$C:$C, "Unknown Category")</f>
        <v>Apparel</v>
      </c>
      <c r="M846" s="1">
        <f>_xlfn.XLOOKUP(C846, 'Product Catalog'!$A:$A, 'Product Catalog'!$D:$D, 0)</f>
        <v>46.94</v>
      </c>
      <c r="N846" s="1">
        <f t="shared" si="27"/>
        <v>93.88</v>
      </c>
    </row>
    <row r="847" spans="1:14" x14ac:dyDescent="0.3">
      <c r="A847" s="1" t="s">
        <v>1305</v>
      </c>
      <c r="B847" s="1" t="s">
        <v>395</v>
      </c>
      <c r="C847" s="1" t="s">
        <v>181</v>
      </c>
      <c r="D847" s="1">
        <v>1</v>
      </c>
      <c r="E847" s="12">
        <v>45850.143750000003</v>
      </c>
      <c r="F847" s="1" t="s">
        <v>19</v>
      </c>
      <c r="G847" s="1" t="s">
        <v>13</v>
      </c>
      <c r="H847" s="1" t="s">
        <v>14</v>
      </c>
      <c r="I847" s="1" t="s">
        <v>15</v>
      </c>
      <c r="J847" s="1" t="str">
        <f t="shared" si="26"/>
        <v>delivered</v>
      </c>
      <c r="K847" s="1" t="str">
        <f>_xlfn.XLOOKUP(C847, 'Product Catalog'!$A:$A, 'Product Catalog'!$B:$B, "Unknown Product")</f>
        <v>Premium Stream 1M Model V99</v>
      </c>
      <c r="L847" s="1" t="str">
        <f>_xlfn.XLOOKUP(C847, 'Product Catalog'!$A:$A, 'Product Catalog'!$C:$C, "Unknown Category")</f>
        <v>Digital Services</v>
      </c>
      <c r="M847" s="1">
        <f>_xlfn.XLOOKUP(C847, 'Product Catalog'!$A:$A, 'Product Catalog'!$D:$D, 0)</f>
        <v>30.08</v>
      </c>
      <c r="N847" s="1">
        <f t="shared" si="27"/>
        <v>30.08</v>
      </c>
    </row>
    <row r="848" spans="1:14" x14ac:dyDescent="0.3">
      <c r="A848" s="1" t="s">
        <v>1306</v>
      </c>
      <c r="B848" s="1" t="s">
        <v>804</v>
      </c>
      <c r="C848" s="1" t="s">
        <v>396</v>
      </c>
      <c r="D848" s="1">
        <v>1</v>
      </c>
      <c r="E848" s="12">
        <v>45903.821527777778</v>
      </c>
      <c r="F848" s="1" t="s">
        <v>12</v>
      </c>
      <c r="G848" s="1" t="s">
        <v>13</v>
      </c>
      <c r="H848" s="1" t="s">
        <v>14</v>
      </c>
      <c r="I848" s="1" t="s">
        <v>15</v>
      </c>
      <c r="J848" s="1" t="str">
        <f t="shared" si="26"/>
        <v>delivered</v>
      </c>
      <c r="K848" s="1" t="str">
        <f>_xlfn.XLOOKUP(C848, 'Product Catalog'!$A:$A, 'Product Catalog'!$B:$B, "Unknown Product")</f>
        <v>Cap Model O14</v>
      </c>
      <c r="L848" s="1" t="str">
        <f>_xlfn.XLOOKUP(C848, 'Product Catalog'!$A:$A, 'Product Catalog'!$C:$C, "Unknown Category")</f>
        <v>Apparel</v>
      </c>
      <c r="M848" s="1">
        <f>_xlfn.XLOOKUP(C848, 'Product Catalog'!$A:$A, 'Product Catalog'!$D:$D, 0)</f>
        <v>41.83</v>
      </c>
      <c r="N848" s="1">
        <f t="shared" si="27"/>
        <v>41.83</v>
      </c>
    </row>
    <row r="849" spans="1:14" x14ac:dyDescent="0.3">
      <c r="A849" s="1" t="s">
        <v>1307</v>
      </c>
      <c r="B849" s="1" t="s">
        <v>333</v>
      </c>
      <c r="C849" s="1" t="s">
        <v>200</v>
      </c>
      <c r="D849" s="1">
        <v>4</v>
      </c>
      <c r="E849" s="12">
        <v>45991.977083333331</v>
      </c>
      <c r="F849" s="1" t="s">
        <v>170</v>
      </c>
      <c r="G849" s="1" t="s">
        <v>50</v>
      </c>
      <c r="H849" s="1" t="s">
        <v>51</v>
      </c>
      <c r="I849" s="1" t="s">
        <v>102</v>
      </c>
      <c r="J849" s="1" t="str">
        <f t="shared" si="26"/>
        <v>disputed</v>
      </c>
      <c r="K849" s="1" t="str">
        <f>_xlfn.XLOOKUP(C849, 'Product Catalog'!$A:$A, 'Product Catalog'!$B:$B, "Unknown Product")</f>
        <v>Socks Model G58</v>
      </c>
      <c r="L849" s="1" t="str">
        <f>_xlfn.XLOOKUP(C849, 'Product Catalog'!$A:$A, 'Product Catalog'!$C:$C, "Unknown Category")</f>
        <v>Apparel</v>
      </c>
      <c r="M849" s="1">
        <f>_xlfn.XLOOKUP(C849, 'Product Catalog'!$A:$A, 'Product Catalog'!$D:$D, 0)</f>
        <v>30.18</v>
      </c>
      <c r="N849" s="1">
        <f t="shared" si="27"/>
        <v>120.72</v>
      </c>
    </row>
    <row r="850" spans="1:14" x14ac:dyDescent="0.3">
      <c r="A850" s="1" t="s">
        <v>1308</v>
      </c>
      <c r="B850" s="1" t="s">
        <v>166</v>
      </c>
      <c r="C850" s="1" t="s">
        <v>391</v>
      </c>
      <c r="D850" s="1">
        <v>5</v>
      </c>
      <c r="E850" s="12">
        <v>45773.231249999997</v>
      </c>
      <c r="F850" s="1" t="s">
        <v>39</v>
      </c>
      <c r="G850" s="1" t="s">
        <v>50</v>
      </c>
      <c r="H850" s="1" t="s">
        <v>41</v>
      </c>
      <c r="I850" s="1" t="s">
        <v>102</v>
      </c>
      <c r="J850" s="1" t="str">
        <f t="shared" si="26"/>
        <v>disputed</v>
      </c>
      <c r="K850" s="1" t="str">
        <f>_xlfn.XLOOKUP(C850, 'Product Catalog'!$A:$A, 'Product Catalog'!$B:$B, "Unknown Product")</f>
        <v>Premium Stream 1M Model P145</v>
      </c>
      <c r="L850" s="1" t="str">
        <f>_xlfn.XLOOKUP(C850, 'Product Catalog'!$A:$A, 'Product Catalog'!$C:$C, "Unknown Category")</f>
        <v>Digital Services</v>
      </c>
      <c r="M850" s="1">
        <f>_xlfn.XLOOKUP(C850, 'Product Catalog'!$A:$A, 'Product Catalog'!$D:$D, 0)</f>
        <v>84.01</v>
      </c>
      <c r="N850" s="1">
        <f t="shared" si="27"/>
        <v>420.05</v>
      </c>
    </row>
    <row r="851" spans="1:14" x14ac:dyDescent="0.3">
      <c r="A851" s="1" t="s">
        <v>1309</v>
      </c>
      <c r="B851" s="1" t="s">
        <v>437</v>
      </c>
      <c r="C851" s="1" t="s">
        <v>636</v>
      </c>
      <c r="D851" s="1">
        <v>1</v>
      </c>
      <c r="E851" s="12">
        <v>45889.104166666664</v>
      </c>
      <c r="F851" s="1" t="s">
        <v>19</v>
      </c>
      <c r="G851" s="1" t="s">
        <v>50</v>
      </c>
      <c r="H851" s="1" t="s">
        <v>55</v>
      </c>
      <c r="I851" s="1" t="s">
        <v>102</v>
      </c>
      <c r="J851" s="1" t="str">
        <f t="shared" si="26"/>
        <v>disputed</v>
      </c>
      <c r="K851" s="1" t="str">
        <f>_xlfn.XLOOKUP(C851, 'Product Catalog'!$A:$A, 'Product Catalog'!$B:$B, "Unknown Product")</f>
        <v>Leather Handbag Model O92</v>
      </c>
      <c r="L851" s="1" t="str">
        <f>_xlfn.XLOOKUP(C851, 'Product Catalog'!$A:$A, 'Product Catalog'!$C:$C, "Unknown Category")</f>
        <v>Luxury Goods</v>
      </c>
      <c r="M851" s="1">
        <f>_xlfn.XLOOKUP(C851, 'Product Catalog'!$A:$A, 'Product Catalog'!$D:$D, 0)</f>
        <v>1245.53</v>
      </c>
      <c r="N851" s="1">
        <f t="shared" si="27"/>
        <v>1245.53</v>
      </c>
    </row>
    <row r="852" spans="1:14" x14ac:dyDescent="0.3">
      <c r="A852" s="1" t="s">
        <v>1310</v>
      </c>
      <c r="B852" s="1" t="s">
        <v>891</v>
      </c>
      <c r="C852" s="1" t="s">
        <v>592</v>
      </c>
      <c r="D852" s="1">
        <v>1</v>
      </c>
      <c r="E852" s="12">
        <v>45675.418749999997</v>
      </c>
      <c r="F852" s="1" t="s">
        <v>19</v>
      </c>
      <c r="G852" s="1" t="s">
        <v>13</v>
      </c>
      <c r="H852" s="1" t="s">
        <v>14</v>
      </c>
      <c r="I852" s="1" t="s">
        <v>32</v>
      </c>
      <c r="J852" s="1" t="str">
        <f t="shared" si="26"/>
        <v>SHIPPED</v>
      </c>
      <c r="K852" s="1" t="str">
        <f>_xlfn.XLOOKUP(C852, 'Product Catalog'!$A:$A, 'Product Catalog'!$B:$B, "Unknown Product")</f>
        <v>Blender Model Q94</v>
      </c>
      <c r="L852" s="1" t="str">
        <f>_xlfn.XLOOKUP(C852, 'Product Catalog'!$A:$A, 'Product Catalog'!$C:$C, "Unknown Category")</f>
        <v>Home Goods</v>
      </c>
      <c r="M852" s="1">
        <f>_xlfn.XLOOKUP(C852, 'Product Catalog'!$A:$A, 'Product Catalog'!$D:$D, 0)</f>
        <v>129.13</v>
      </c>
      <c r="N852" s="1">
        <f t="shared" si="27"/>
        <v>129.13</v>
      </c>
    </row>
    <row r="853" spans="1:14" x14ac:dyDescent="0.3">
      <c r="A853" s="1" t="s">
        <v>1311</v>
      </c>
      <c r="B853" s="1" t="s">
        <v>638</v>
      </c>
      <c r="C853" s="1" t="s">
        <v>84</v>
      </c>
      <c r="D853" s="1">
        <v>3</v>
      </c>
      <c r="E853" s="12">
        <v>45668.452777777777</v>
      </c>
      <c r="F853" s="1" t="s">
        <v>19</v>
      </c>
      <c r="G853" s="1" t="s">
        <v>109</v>
      </c>
      <c r="H853" s="1" t="s">
        <v>14</v>
      </c>
      <c r="I853" s="1" t="s">
        <v>15</v>
      </c>
      <c r="J853" s="1" t="str">
        <f t="shared" si="26"/>
        <v>delivered</v>
      </c>
      <c r="K853" s="1" t="str">
        <f>_xlfn.XLOOKUP(C853, 'Product Catalog'!$A:$A, 'Product Catalog'!$B:$B, "Unknown Product")</f>
        <v>Smartwatch Model J35</v>
      </c>
      <c r="L853" s="1" t="str">
        <f>_xlfn.XLOOKUP(C853, 'Product Catalog'!$A:$A, 'Product Catalog'!$C:$C, "Unknown Category")</f>
        <v>Electronics</v>
      </c>
      <c r="M853" s="1">
        <f>_xlfn.XLOOKUP(C853, 'Product Catalog'!$A:$A, 'Product Catalog'!$D:$D, 0)</f>
        <v>161.94999999999999</v>
      </c>
      <c r="N853" s="1">
        <f t="shared" si="27"/>
        <v>485.84999999999997</v>
      </c>
    </row>
    <row r="854" spans="1:14" x14ac:dyDescent="0.3">
      <c r="A854" s="1" t="s">
        <v>1312</v>
      </c>
      <c r="B854" s="1" t="s">
        <v>1054</v>
      </c>
      <c r="C854" s="1" t="s">
        <v>1204</v>
      </c>
      <c r="D854" s="1">
        <v>1</v>
      </c>
      <c r="E854" s="12">
        <v>45791.148611111108</v>
      </c>
      <c r="F854" s="1" t="s">
        <v>19</v>
      </c>
      <c r="G854" s="1" t="s">
        <v>31</v>
      </c>
      <c r="H854" s="1" t="s">
        <v>24</v>
      </c>
      <c r="I854" s="1" t="s">
        <v>15</v>
      </c>
      <c r="J854" s="1" t="str">
        <f t="shared" si="26"/>
        <v>delivered</v>
      </c>
      <c r="K854" s="1" t="str">
        <f>_xlfn.XLOOKUP(C854, 'Product Catalog'!$A:$A, 'Product Catalog'!$B:$B, "Unknown Product")</f>
        <v>Jacket Model L37</v>
      </c>
      <c r="L854" s="1" t="str">
        <f>_xlfn.XLOOKUP(C854, 'Product Catalog'!$A:$A, 'Product Catalog'!$C:$C, "Unknown Category")</f>
        <v>Apparel</v>
      </c>
      <c r="M854" s="1">
        <f>_xlfn.XLOOKUP(C854, 'Product Catalog'!$A:$A, 'Product Catalog'!$D:$D, 0)</f>
        <v>114.88</v>
      </c>
      <c r="N854" s="1">
        <f t="shared" si="27"/>
        <v>114.88</v>
      </c>
    </row>
    <row r="855" spans="1:14" x14ac:dyDescent="0.3">
      <c r="A855" s="1" t="s">
        <v>1313</v>
      </c>
      <c r="B855" s="1" t="s">
        <v>963</v>
      </c>
      <c r="C855" s="1" t="s">
        <v>216</v>
      </c>
      <c r="D855" s="1">
        <v>5</v>
      </c>
      <c r="E855" s="12">
        <v>45695.486111111109</v>
      </c>
      <c r="F855" s="1" t="s">
        <v>12</v>
      </c>
      <c r="G855" s="1" t="s">
        <v>40</v>
      </c>
      <c r="H855" s="1" t="s">
        <v>41</v>
      </c>
      <c r="I855" s="1" t="s">
        <v>42</v>
      </c>
      <c r="J855" s="1" t="str">
        <f t="shared" si="26"/>
        <v>PENDING_REVIEW</v>
      </c>
      <c r="K855" s="1" t="str">
        <f>_xlfn.XLOOKUP(C855, 'Product Catalog'!$A:$A, 'Product Catalog'!$B:$B, "Unknown Product")</f>
        <v>Premium Perfume Model X23</v>
      </c>
      <c r="L855" s="1" t="str">
        <f>_xlfn.XLOOKUP(C855, 'Product Catalog'!$A:$A, 'Product Catalog'!$C:$C, "Unknown Category")</f>
        <v>Luxury Goods</v>
      </c>
      <c r="M855" s="1">
        <f>_xlfn.XLOOKUP(C855, 'Product Catalog'!$A:$A, 'Product Catalog'!$D:$D, 0)</f>
        <v>767.78</v>
      </c>
      <c r="N855" s="1">
        <f t="shared" si="27"/>
        <v>3838.8999999999996</v>
      </c>
    </row>
    <row r="856" spans="1:14" x14ac:dyDescent="0.3">
      <c r="A856" s="1" t="s">
        <v>1314</v>
      </c>
      <c r="B856" s="1" t="s">
        <v>1315</v>
      </c>
      <c r="C856" s="1" t="s">
        <v>801</v>
      </c>
      <c r="D856" s="1">
        <v>4</v>
      </c>
      <c r="E856" s="12">
        <v>45745.533333333333</v>
      </c>
      <c r="F856" s="1" t="s">
        <v>12</v>
      </c>
      <c r="G856" s="1" t="s">
        <v>109</v>
      </c>
      <c r="H856" s="1" t="s">
        <v>41</v>
      </c>
      <c r="I856" s="1" t="s">
        <v>42</v>
      </c>
      <c r="J856" s="1" t="str">
        <f t="shared" si="26"/>
        <v>PENDING_REVIEW</v>
      </c>
      <c r="K856" s="1" t="str">
        <f>_xlfn.XLOOKUP(C856, 'Product Catalog'!$A:$A, 'Product Catalog'!$B:$B, "Unknown Product")</f>
        <v>Silk Scarf Model Q146</v>
      </c>
      <c r="L856" s="1" t="str">
        <f>_xlfn.XLOOKUP(C856, 'Product Catalog'!$A:$A, 'Product Catalog'!$C:$C, "Unknown Category")</f>
        <v>Luxury Goods</v>
      </c>
      <c r="M856" s="1">
        <f>_xlfn.XLOOKUP(C856, 'Product Catalog'!$A:$A, 'Product Catalog'!$D:$D, 0)</f>
        <v>359.33</v>
      </c>
      <c r="N856" s="1">
        <f t="shared" si="27"/>
        <v>1437.32</v>
      </c>
    </row>
    <row r="857" spans="1:14" x14ac:dyDescent="0.3">
      <c r="A857" s="1" t="s">
        <v>1316</v>
      </c>
      <c r="B857" s="1" t="s">
        <v>97</v>
      </c>
      <c r="C857" s="1" t="s">
        <v>18</v>
      </c>
      <c r="D857" s="1">
        <v>1</v>
      </c>
      <c r="E857" s="12">
        <v>45740.106249999997</v>
      </c>
      <c r="F857" s="1" t="s">
        <v>19</v>
      </c>
      <c r="G857" s="1" t="s">
        <v>20</v>
      </c>
      <c r="H857" s="1" t="s">
        <v>14</v>
      </c>
      <c r="I857" s="1" t="s">
        <v>15</v>
      </c>
      <c r="J857" s="1" t="str">
        <f t="shared" si="26"/>
        <v>delivered</v>
      </c>
      <c r="K857" s="1" t="str">
        <f>_xlfn.XLOOKUP(C857, 'Product Catalog'!$A:$A, 'Product Catalog'!$B:$B, "Unknown Product")</f>
        <v>Sneakers Model H137</v>
      </c>
      <c r="L857" s="1" t="str">
        <f>_xlfn.XLOOKUP(C857, 'Product Catalog'!$A:$A, 'Product Catalog'!$C:$C, "Unknown Category")</f>
        <v>Apparel</v>
      </c>
      <c r="M857" s="1">
        <f>_xlfn.XLOOKUP(C857, 'Product Catalog'!$A:$A, 'Product Catalog'!$D:$D, 0)</f>
        <v>33.53</v>
      </c>
      <c r="N857" s="1">
        <f t="shared" si="27"/>
        <v>33.53</v>
      </c>
    </row>
    <row r="858" spans="1:14" x14ac:dyDescent="0.3">
      <c r="A858" s="1" t="s">
        <v>1317</v>
      </c>
      <c r="B858" s="1" t="s">
        <v>877</v>
      </c>
      <c r="C858" s="1" t="s">
        <v>903</v>
      </c>
      <c r="D858" s="1">
        <v>5</v>
      </c>
      <c r="E858" s="12">
        <v>45938.131944444445</v>
      </c>
      <c r="F858" s="1" t="s">
        <v>19</v>
      </c>
      <c r="G858" s="1" t="s">
        <v>50</v>
      </c>
      <c r="H858" s="1" t="s">
        <v>51</v>
      </c>
      <c r="I858" s="1" t="s">
        <v>56</v>
      </c>
      <c r="J858" s="1" t="str">
        <f t="shared" si="26"/>
        <v>cancelled</v>
      </c>
      <c r="K858" s="1" t="str">
        <f>_xlfn.XLOOKUP(C858, 'Product Catalog'!$A:$A, 'Product Catalog'!$B:$B, "Unknown Product")</f>
        <v>Coffee Maker Model Y50</v>
      </c>
      <c r="L858" s="1" t="str">
        <f>_xlfn.XLOOKUP(C858, 'Product Catalog'!$A:$A, 'Product Catalog'!$C:$C, "Unknown Category")</f>
        <v>Home Goods</v>
      </c>
      <c r="M858" s="1">
        <f>_xlfn.XLOOKUP(C858, 'Product Catalog'!$A:$A, 'Product Catalog'!$D:$D, 0)</f>
        <v>102.26</v>
      </c>
      <c r="N858" s="1">
        <f t="shared" si="27"/>
        <v>511.3</v>
      </c>
    </row>
    <row r="859" spans="1:14" x14ac:dyDescent="0.3">
      <c r="A859" s="1" t="s">
        <v>1318</v>
      </c>
      <c r="B859" s="1" t="s">
        <v>1242</v>
      </c>
      <c r="C859" s="1" t="s">
        <v>586</v>
      </c>
      <c r="D859" s="1">
        <v>1</v>
      </c>
      <c r="E859" s="12">
        <v>45831.844444444447</v>
      </c>
      <c r="F859" s="1" t="s">
        <v>19</v>
      </c>
      <c r="G859" s="1" t="s">
        <v>31</v>
      </c>
      <c r="H859" s="1" t="s">
        <v>41</v>
      </c>
      <c r="I859" s="1" t="s">
        <v>102</v>
      </c>
      <c r="J859" s="1" t="str">
        <f t="shared" si="26"/>
        <v>disputed</v>
      </c>
      <c r="K859" s="1" t="str">
        <f>_xlfn.XLOOKUP(C859, 'Product Catalog'!$A:$A, 'Product Catalog'!$B:$B, "Unknown Product")</f>
        <v>Designer Watch Model E82</v>
      </c>
      <c r="L859" s="1" t="str">
        <f>_xlfn.XLOOKUP(C859, 'Product Catalog'!$A:$A, 'Product Catalog'!$C:$C, "Unknown Category")</f>
        <v>Luxury Goods</v>
      </c>
      <c r="M859" s="1">
        <f>_xlfn.XLOOKUP(C859, 'Product Catalog'!$A:$A, 'Product Catalog'!$D:$D, 0)</f>
        <v>1769.3</v>
      </c>
      <c r="N859" s="1">
        <f t="shared" si="27"/>
        <v>1769.3</v>
      </c>
    </row>
    <row r="860" spans="1:14" x14ac:dyDescent="0.3">
      <c r="A860" s="1" t="s">
        <v>1319</v>
      </c>
      <c r="B860" s="1" t="s">
        <v>570</v>
      </c>
      <c r="C860" s="1" t="s">
        <v>68</v>
      </c>
      <c r="D860" s="1">
        <v>1</v>
      </c>
      <c r="E860" s="12">
        <v>45972.686111111114</v>
      </c>
      <c r="F860" s="1" t="s">
        <v>19</v>
      </c>
      <c r="G860" s="1" t="s">
        <v>50</v>
      </c>
      <c r="H860" s="1" t="s">
        <v>55</v>
      </c>
      <c r="I860" s="1" t="s">
        <v>81</v>
      </c>
      <c r="J860" s="1" t="str">
        <f t="shared" si="26"/>
        <v>REFUNDED</v>
      </c>
      <c r="K860" s="1" t="str">
        <f>_xlfn.XLOOKUP(C860, 'Product Catalog'!$A:$A, 'Product Catalog'!$B:$B, "Unknown Product")</f>
        <v>Premium Perfume Model G32</v>
      </c>
      <c r="L860" s="1" t="str">
        <f>_xlfn.XLOOKUP(C860, 'Product Catalog'!$A:$A, 'Product Catalog'!$C:$C, "Unknown Category")</f>
        <v>Luxury Goods</v>
      </c>
      <c r="M860" s="1">
        <f>_xlfn.XLOOKUP(C860, 'Product Catalog'!$A:$A, 'Product Catalog'!$D:$D, 0)</f>
        <v>1990.92</v>
      </c>
      <c r="N860" s="1">
        <f t="shared" si="27"/>
        <v>1990.92</v>
      </c>
    </row>
    <row r="861" spans="1:14" x14ac:dyDescent="0.3">
      <c r="A861" s="1" t="s">
        <v>1320</v>
      </c>
      <c r="B861" s="1" t="s">
        <v>166</v>
      </c>
      <c r="C861" s="1" t="s">
        <v>54</v>
      </c>
      <c r="D861" s="1">
        <v>2</v>
      </c>
      <c r="E861" s="12">
        <v>46018.043749999997</v>
      </c>
      <c r="F861" s="1" t="s">
        <v>12</v>
      </c>
      <c r="G861" s="1" t="s">
        <v>31</v>
      </c>
      <c r="H861" s="1" t="s">
        <v>24</v>
      </c>
      <c r="I861" s="1" t="s">
        <v>32</v>
      </c>
      <c r="J861" s="1" t="str">
        <f t="shared" si="26"/>
        <v>SHIPPED</v>
      </c>
      <c r="K861" s="1" t="str">
        <f>_xlfn.XLOOKUP(C861, 'Product Catalog'!$A:$A, 'Product Catalog'!$B:$B, "Unknown Product")</f>
        <v>Keyboard Model V21</v>
      </c>
      <c r="L861" s="1" t="str">
        <f>_xlfn.XLOOKUP(C861, 'Product Catalog'!$A:$A, 'Product Catalog'!$C:$C, "Unknown Category")</f>
        <v>Electronics</v>
      </c>
      <c r="M861" s="1">
        <f>_xlfn.XLOOKUP(C861, 'Product Catalog'!$A:$A, 'Product Catalog'!$D:$D, 0)</f>
        <v>208.12</v>
      </c>
      <c r="N861" s="1">
        <f t="shared" si="27"/>
        <v>416.24</v>
      </c>
    </row>
    <row r="862" spans="1:14" x14ac:dyDescent="0.3">
      <c r="A862" s="1" t="s">
        <v>1321</v>
      </c>
      <c r="B862" s="1" t="s">
        <v>698</v>
      </c>
      <c r="C862" s="1" t="s">
        <v>586</v>
      </c>
      <c r="D862" s="1">
        <v>1</v>
      </c>
      <c r="E862" s="12">
        <v>45878.929166666669</v>
      </c>
      <c r="F862" s="1" t="s">
        <v>12</v>
      </c>
      <c r="G862" s="1" t="s">
        <v>109</v>
      </c>
      <c r="H862" s="1" t="s">
        <v>55</v>
      </c>
      <c r="I862" s="1" t="s">
        <v>56</v>
      </c>
      <c r="J862" s="1" t="str">
        <f t="shared" si="26"/>
        <v>cancelled</v>
      </c>
      <c r="K862" s="1" t="str">
        <f>_xlfn.XLOOKUP(C862, 'Product Catalog'!$A:$A, 'Product Catalog'!$B:$B, "Unknown Product")</f>
        <v>Designer Watch Model E82</v>
      </c>
      <c r="L862" s="1" t="str">
        <f>_xlfn.XLOOKUP(C862, 'Product Catalog'!$A:$A, 'Product Catalog'!$C:$C, "Unknown Category")</f>
        <v>Luxury Goods</v>
      </c>
      <c r="M862" s="1">
        <f>_xlfn.XLOOKUP(C862, 'Product Catalog'!$A:$A, 'Product Catalog'!$D:$D, 0)</f>
        <v>1769.3</v>
      </c>
      <c r="N862" s="1">
        <f t="shared" si="27"/>
        <v>1769.3</v>
      </c>
    </row>
    <row r="863" spans="1:14" x14ac:dyDescent="0.3">
      <c r="A863" s="1" t="s">
        <v>1322</v>
      </c>
      <c r="B863" s="1" t="s">
        <v>638</v>
      </c>
      <c r="C863" s="1" t="s">
        <v>265</v>
      </c>
      <c r="D863" s="1">
        <v>2</v>
      </c>
      <c r="E863" s="12">
        <v>45742.863194444442</v>
      </c>
      <c r="F863" s="1" t="s">
        <v>12</v>
      </c>
      <c r="G863" s="1" t="s">
        <v>31</v>
      </c>
      <c r="H863" s="1" t="s">
        <v>14</v>
      </c>
      <c r="I863" s="1" t="s">
        <v>15</v>
      </c>
      <c r="J863" s="1" t="str">
        <f t="shared" si="26"/>
        <v>delivered</v>
      </c>
      <c r="K863" s="1" t="str">
        <f>_xlfn.XLOOKUP(C863, 'Product Catalog'!$A:$A, 'Product Catalog'!$B:$B, "Unknown Product")</f>
        <v>Sneakers Model R121</v>
      </c>
      <c r="L863" s="1" t="str">
        <f>_xlfn.XLOOKUP(C863, 'Product Catalog'!$A:$A, 'Product Catalog'!$C:$C, "Unknown Category")</f>
        <v>Apparel</v>
      </c>
      <c r="M863" s="1">
        <f>_xlfn.XLOOKUP(C863, 'Product Catalog'!$A:$A, 'Product Catalog'!$D:$D, 0)</f>
        <v>44.15</v>
      </c>
      <c r="N863" s="1">
        <f t="shared" si="27"/>
        <v>88.3</v>
      </c>
    </row>
    <row r="864" spans="1:14" x14ac:dyDescent="0.3">
      <c r="A864" s="1" t="s">
        <v>1323</v>
      </c>
      <c r="B864" s="1" t="s">
        <v>313</v>
      </c>
      <c r="C864" s="1" t="s">
        <v>749</v>
      </c>
      <c r="D864" s="1">
        <v>5</v>
      </c>
      <c r="E864" s="12">
        <v>45880.222916666666</v>
      </c>
      <c r="F864" s="1" t="s">
        <v>19</v>
      </c>
      <c r="G864" s="1" t="s">
        <v>50</v>
      </c>
      <c r="H864" s="1" t="s">
        <v>51</v>
      </c>
      <c r="I864" s="1" t="s">
        <v>81</v>
      </c>
      <c r="J864" s="1" t="str">
        <f t="shared" si="26"/>
        <v>REFUNDED</v>
      </c>
      <c r="K864" s="1" t="str">
        <f>_xlfn.XLOOKUP(C864, 'Product Catalog'!$A:$A, 'Product Catalog'!$B:$B, "Unknown Product")</f>
        <v>VPN 6-Month Pass Model A130</v>
      </c>
      <c r="L864" s="1" t="str">
        <f>_xlfn.XLOOKUP(C864, 'Product Catalog'!$A:$A, 'Product Catalog'!$C:$C, "Unknown Category")</f>
        <v>Digital Services</v>
      </c>
      <c r="M864" s="1">
        <f>_xlfn.XLOOKUP(C864, 'Product Catalog'!$A:$A, 'Product Catalog'!$D:$D, 0)</f>
        <v>81.61</v>
      </c>
      <c r="N864" s="1">
        <f t="shared" si="27"/>
        <v>408.05</v>
      </c>
    </row>
    <row r="865" spans="1:14" x14ac:dyDescent="0.3">
      <c r="A865" s="1" t="s">
        <v>1324</v>
      </c>
      <c r="B865" s="1" t="s">
        <v>319</v>
      </c>
      <c r="C865" s="1" t="s">
        <v>782</v>
      </c>
      <c r="D865" s="1">
        <v>1</v>
      </c>
      <c r="E865" s="12">
        <v>45685.143750000003</v>
      </c>
      <c r="F865" s="1" t="s">
        <v>185</v>
      </c>
      <c r="G865" s="1" t="s">
        <v>13</v>
      </c>
      <c r="H865" s="1" t="s">
        <v>41</v>
      </c>
      <c r="I865" s="1" t="s">
        <v>56</v>
      </c>
      <c r="J865" s="1" t="str">
        <f t="shared" si="26"/>
        <v>cancelled</v>
      </c>
      <c r="K865" s="1" t="str">
        <f>_xlfn.XLOOKUP(C865, 'Product Catalog'!$A:$A, 'Product Catalog'!$B:$B, "Unknown Product")</f>
        <v>Headphones Model V47</v>
      </c>
      <c r="L865" s="1" t="str">
        <f>_xlfn.XLOOKUP(C865, 'Product Catalog'!$A:$A, 'Product Catalog'!$C:$C, "Unknown Category")</f>
        <v>Electronics</v>
      </c>
      <c r="M865" s="1">
        <f>_xlfn.XLOOKUP(C865, 'Product Catalog'!$A:$A, 'Product Catalog'!$D:$D, 0)</f>
        <v>19.940000000000001</v>
      </c>
      <c r="N865" s="1">
        <f t="shared" si="27"/>
        <v>19.940000000000001</v>
      </c>
    </row>
    <row r="866" spans="1:14" x14ac:dyDescent="0.3">
      <c r="A866" s="1" t="s">
        <v>1325</v>
      </c>
      <c r="B866" s="1" t="s">
        <v>150</v>
      </c>
      <c r="C866" s="1" t="s">
        <v>357</v>
      </c>
      <c r="D866" s="1">
        <v>1</v>
      </c>
      <c r="E866" s="12">
        <v>45827.291666666664</v>
      </c>
      <c r="F866" s="1" t="s">
        <v>12</v>
      </c>
      <c r="G866" s="1" t="s">
        <v>20</v>
      </c>
      <c r="H866" s="1" t="s">
        <v>41</v>
      </c>
      <c r="I866" s="1" t="s">
        <v>102</v>
      </c>
      <c r="J866" s="1" t="str">
        <f t="shared" si="26"/>
        <v>disputed</v>
      </c>
      <c r="K866" s="1" t="str">
        <f>_xlfn.XLOOKUP(C866, 'Product Catalog'!$A:$A, 'Product Catalog'!$B:$B, "Unknown Product")</f>
        <v>Blender Model C106</v>
      </c>
      <c r="L866" s="1" t="str">
        <f>_xlfn.XLOOKUP(C866, 'Product Catalog'!$A:$A, 'Product Catalog'!$C:$C, "Unknown Category")</f>
        <v>Home Goods</v>
      </c>
      <c r="M866" s="1">
        <f>_xlfn.XLOOKUP(C866, 'Product Catalog'!$A:$A, 'Product Catalog'!$D:$D, 0)</f>
        <v>112.89</v>
      </c>
      <c r="N866" s="1">
        <f t="shared" si="27"/>
        <v>112.89</v>
      </c>
    </row>
    <row r="867" spans="1:14" x14ac:dyDescent="0.3">
      <c r="A867" s="1" t="s">
        <v>1326</v>
      </c>
      <c r="B867" s="1" t="s">
        <v>228</v>
      </c>
      <c r="C867" s="1" t="s">
        <v>253</v>
      </c>
      <c r="D867" s="1">
        <v>5</v>
      </c>
      <c r="E867" s="12">
        <v>45755.581944444442</v>
      </c>
      <c r="F867" s="1" t="s">
        <v>19</v>
      </c>
      <c r="G867" s="1" t="s">
        <v>50</v>
      </c>
      <c r="H867" s="1" t="s">
        <v>41</v>
      </c>
      <c r="I867" s="1" t="s">
        <v>81</v>
      </c>
      <c r="J867" s="1" t="str">
        <f t="shared" si="26"/>
        <v>REFUNDED</v>
      </c>
      <c r="K867" s="1" t="str">
        <f>_xlfn.XLOOKUP(C867, 'Product Catalog'!$A:$A, 'Product Catalog'!$B:$B, "Unknown Product")</f>
        <v>Hoodie Model B79</v>
      </c>
      <c r="L867" s="1" t="str">
        <f>_xlfn.XLOOKUP(C867, 'Product Catalog'!$A:$A, 'Product Catalog'!$C:$C, "Unknown Category")</f>
        <v>Apparel</v>
      </c>
      <c r="M867" s="1">
        <f>_xlfn.XLOOKUP(C867, 'Product Catalog'!$A:$A, 'Product Catalog'!$D:$D, 0)</f>
        <v>106.9</v>
      </c>
      <c r="N867" s="1">
        <f t="shared" si="27"/>
        <v>534.5</v>
      </c>
    </row>
    <row r="868" spans="1:14" x14ac:dyDescent="0.3">
      <c r="A868" s="1" t="s">
        <v>1327</v>
      </c>
      <c r="B868" s="1" t="s">
        <v>734</v>
      </c>
      <c r="C868" s="1" t="s">
        <v>54</v>
      </c>
      <c r="D868" s="1">
        <v>1</v>
      </c>
      <c r="E868" s="12">
        <v>46014.787499999999</v>
      </c>
      <c r="F868" s="1" t="s">
        <v>19</v>
      </c>
      <c r="G868" s="1" t="s">
        <v>46</v>
      </c>
      <c r="H868" s="1" t="s">
        <v>41</v>
      </c>
      <c r="I868" s="1" t="s">
        <v>15</v>
      </c>
      <c r="J868" s="1" t="str">
        <f t="shared" si="26"/>
        <v>delivered</v>
      </c>
      <c r="K868" s="1" t="str">
        <f>_xlfn.XLOOKUP(C868, 'Product Catalog'!$A:$A, 'Product Catalog'!$B:$B, "Unknown Product")</f>
        <v>Keyboard Model V21</v>
      </c>
      <c r="L868" s="1" t="str">
        <f>_xlfn.XLOOKUP(C868, 'Product Catalog'!$A:$A, 'Product Catalog'!$C:$C, "Unknown Category")</f>
        <v>Electronics</v>
      </c>
      <c r="M868" s="1">
        <f>_xlfn.XLOOKUP(C868, 'Product Catalog'!$A:$A, 'Product Catalog'!$D:$D, 0)</f>
        <v>208.12</v>
      </c>
      <c r="N868" s="1">
        <f t="shared" si="27"/>
        <v>208.12</v>
      </c>
    </row>
    <row r="869" spans="1:14" x14ac:dyDescent="0.3">
      <c r="A869" s="1" t="s">
        <v>1328</v>
      </c>
      <c r="B869" s="1" t="s">
        <v>643</v>
      </c>
      <c r="C869" s="1" t="s">
        <v>452</v>
      </c>
      <c r="D869" s="1">
        <v>1</v>
      </c>
      <c r="E869" s="12">
        <v>45934.377083333333</v>
      </c>
      <c r="F869" s="1" t="s">
        <v>12</v>
      </c>
      <c r="G869" s="1" t="s">
        <v>109</v>
      </c>
      <c r="H869" s="1" t="s">
        <v>41</v>
      </c>
      <c r="I869" s="1" t="s">
        <v>15</v>
      </c>
      <c r="J869" s="1" t="str">
        <f t="shared" si="26"/>
        <v>delivered</v>
      </c>
      <c r="K869" s="1" t="str">
        <f>_xlfn.XLOOKUP(C869, 'Product Catalog'!$A:$A, 'Product Catalog'!$B:$B, "Unknown Product")</f>
        <v>E-Book Access Model U150</v>
      </c>
      <c r="L869" s="1" t="str">
        <f>_xlfn.XLOOKUP(C869, 'Product Catalog'!$A:$A, 'Product Catalog'!$C:$C, "Unknown Category")</f>
        <v>Digital Services</v>
      </c>
      <c r="M869" s="1">
        <f>_xlfn.XLOOKUP(C869, 'Product Catalog'!$A:$A, 'Product Catalog'!$D:$D, 0)</f>
        <v>75.69</v>
      </c>
      <c r="N869" s="1">
        <f t="shared" si="27"/>
        <v>75.69</v>
      </c>
    </row>
    <row r="870" spans="1:14" x14ac:dyDescent="0.3">
      <c r="A870" s="1" t="s">
        <v>1329</v>
      </c>
      <c r="B870" s="1" t="s">
        <v>603</v>
      </c>
      <c r="C870" s="1" t="s">
        <v>622</v>
      </c>
      <c r="D870" s="1">
        <v>5</v>
      </c>
      <c r="E870" s="12">
        <v>45996.4</v>
      </c>
      <c r="F870" s="1" t="s">
        <v>19</v>
      </c>
      <c r="G870" s="1" t="s">
        <v>50</v>
      </c>
      <c r="H870" s="1" t="s">
        <v>41</v>
      </c>
      <c r="I870" s="1" t="s">
        <v>102</v>
      </c>
      <c r="J870" s="1" t="str">
        <f t="shared" si="26"/>
        <v>disputed</v>
      </c>
      <c r="K870" s="1" t="str">
        <f>_xlfn.XLOOKUP(C870, 'Product Catalog'!$A:$A, 'Product Catalog'!$B:$B, "Unknown Product")</f>
        <v>Designer Watch Model R147</v>
      </c>
      <c r="L870" s="1" t="str">
        <f>_xlfn.XLOOKUP(C870, 'Product Catalog'!$A:$A, 'Product Catalog'!$C:$C, "Unknown Category")</f>
        <v>Luxury Goods</v>
      </c>
      <c r="M870" s="1">
        <f>_xlfn.XLOOKUP(C870, 'Product Catalog'!$A:$A, 'Product Catalog'!$D:$D, 0)</f>
        <v>484.68</v>
      </c>
      <c r="N870" s="1">
        <f t="shared" si="27"/>
        <v>2423.4</v>
      </c>
    </row>
    <row r="871" spans="1:14" x14ac:dyDescent="0.3">
      <c r="A871" s="1" t="s">
        <v>1330</v>
      </c>
      <c r="B871" s="1" t="s">
        <v>290</v>
      </c>
      <c r="C871" s="1" t="s">
        <v>399</v>
      </c>
      <c r="D871" s="1">
        <v>1</v>
      </c>
      <c r="E871" s="12">
        <v>45810.337500000001</v>
      </c>
      <c r="F871" s="1" t="s">
        <v>19</v>
      </c>
      <c r="G871" s="1" t="s">
        <v>13</v>
      </c>
      <c r="H871" s="1" t="s">
        <v>41</v>
      </c>
      <c r="I871" s="1" t="s">
        <v>15</v>
      </c>
      <c r="J871" s="1" t="str">
        <f t="shared" si="26"/>
        <v>delivered</v>
      </c>
      <c r="K871" s="1" t="str">
        <f>_xlfn.XLOOKUP(C871, 'Product Catalog'!$A:$A, 'Product Catalog'!$B:$B, "Unknown Product")</f>
        <v>E-Book Access Model W22</v>
      </c>
      <c r="L871" s="1" t="str">
        <f>_xlfn.XLOOKUP(C871, 'Product Catalog'!$A:$A, 'Product Catalog'!$C:$C, "Unknown Category")</f>
        <v>Digital Services</v>
      </c>
      <c r="M871" s="1">
        <f>_xlfn.XLOOKUP(C871, 'Product Catalog'!$A:$A, 'Product Catalog'!$D:$D, 0)</f>
        <v>11.22</v>
      </c>
      <c r="N871" s="1">
        <f t="shared" si="27"/>
        <v>11.22</v>
      </c>
    </row>
    <row r="872" spans="1:14" x14ac:dyDescent="0.3">
      <c r="A872" s="1" t="s">
        <v>1331</v>
      </c>
      <c r="B872" s="1" t="s">
        <v>555</v>
      </c>
      <c r="C872" s="1" t="s">
        <v>485</v>
      </c>
      <c r="D872" s="1">
        <v>1</v>
      </c>
      <c r="E872" s="12">
        <v>45707.070138888892</v>
      </c>
      <c r="F872" s="1" t="s">
        <v>12</v>
      </c>
      <c r="G872" s="1" t="s">
        <v>13</v>
      </c>
      <c r="H872" s="1" t="s">
        <v>14</v>
      </c>
      <c r="I872" s="1" t="s">
        <v>15</v>
      </c>
      <c r="J872" s="1" t="str">
        <f t="shared" si="26"/>
        <v>delivered</v>
      </c>
      <c r="K872" s="1" t="str">
        <f>_xlfn.XLOOKUP(C872, 'Product Catalog'!$A:$A, 'Product Catalog'!$B:$B, "Unknown Product")</f>
        <v>Smartwatch Model K140</v>
      </c>
      <c r="L872" s="1" t="str">
        <f>_xlfn.XLOOKUP(C872, 'Product Catalog'!$A:$A, 'Product Catalog'!$C:$C, "Unknown Category")</f>
        <v>Electronics</v>
      </c>
      <c r="M872" s="1">
        <f>_xlfn.XLOOKUP(C872, 'Product Catalog'!$A:$A, 'Product Catalog'!$D:$D, 0)</f>
        <v>221.95</v>
      </c>
      <c r="N872" s="1">
        <f t="shared" si="27"/>
        <v>221.95</v>
      </c>
    </row>
    <row r="873" spans="1:14" x14ac:dyDescent="0.3">
      <c r="A873" s="1" t="s">
        <v>1332</v>
      </c>
      <c r="B873" s="1" t="s">
        <v>442</v>
      </c>
      <c r="C873" s="1" t="s">
        <v>473</v>
      </c>
      <c r="D873" s="1">
        <v>1</v>
      </c>
      <c r="E873" s="12">
        <v>45859.8125</v>
      </c>
      <c r="F873" s="1" t="s">
        <v>19</v>
      </c>
      <c r="G873" s="1" t="s">
        <v>20</v>
      </c>
      <c r="H873" s="1" t="s">
        <v>24</v>
      </c>
      <c r="I873" s="1" t="s">
        <v>15</v>
      </c>
      <c r="J873" s="1" t="str">
        <f t="shared" si="26"/>
        <v>delivered</v>
      </c>
      <c r="K873" s="1" t="str">
        <f>_xlfn.XLOOKUP(C873, 'Product Catalog'!$A:$A, 'Product Catalog'!$B:$B, "Unknown Product")</f>
        <v>Desk Lamp Model I138</v>
      </c>
      <c r="L873" s="1" t="str">
        <f>_xlfn.XLOOKUP(C873, 'Product Catalog'!$A:$A, 'Product Catalog'!$C:$C, "Unknown Category")</f>
        <v>Home Goods</v>
      </c>
      <c r="M873" s="1">
        <f>_xlfn.XLOOKUP(C873, 'Product Catalog'!$A:$A, 'Product Catalog'!$D:$D, 0)</f>
        <v>94.55</v>
      </c>
      <c r="N873" s="1">
        <f t="shared" si="27"/>
        <v>94.55</v>
      </c>
    </row>
    <row r="874" spans="1:14" x14ac:dyDescent="0.3">
      <c r="A874" s="1" t="s">
        <v>1333</v>
      </c>
      <c r="B874" s="1" t="s">
        <v>997</v>
      </c>
      <c r="C874" s="1" t="s">
        <v>316</v>
      </c>
      <c r="D874" s="1">
        <v>1</v>
      </c>
      <c r="E874" s="12">
        <v>45939.697916666664</v>
      </c>
      <c r="F874" s="1" t="s">
        <v>12</v>
      </c>
      <c r="G874" s="1" t="s">
        <v>109</v>
      </c>
      <c r="H874" s="1" t="s">
        <v>51</v>
      </c>
      <c r="I874" s="1" t="s">
        <v>56</v>
      </c>
      <c r="J874" s="1" t="str">
        <f t="shared" si="26"/>
        <v>cancelled</v>
      </c>
      <c r="K874" s="1" t="str">
        <f>_xlfn.XLOOKUP(C874, 'Product Catalog'!$A:$A, 'Product Catalog'!$B:$B, "Unknown Product")</f>
        <v>Leather Handbag Model W48</v>
      </c>
      <c r="L874" s="1" t="str">
        <f>_xlfn.XLOOKUP(C874, 'Product Catalog'!$A:$A, 'Product Catalog'!$C:$C, "Unknown Category")</f>
        <v>Luxury Goods</v>
      </c>
      <c r="M874" s="1">
        <f>_xlfn.XLOOKUP(C874, 'Product Catalog'!$A:$A, 'Product Catalog'!$D:$D, 0)</f>
        <v>315.82</v>
      </c>
      <c r="N874" s="1">
        <f t="shared" si="27"/>
        <v>315.82</v>
      </c>
    </row>
    <row r="875" spans="1:14" x14ac:dyDescent="0.3">
      <c r="A875" s="1" t="s">
        <v>1334</v>
      </c>
      <c r="B875" s="1" t="s">
        <v>228</v>
      </c>
      <c r="C875" s="1" t="s">
        <v>348</v>
      </c>
      <c r="D875" s="1">
        <v>4</v>
      </c>
      <c r="E875" s="12">
        <v>45736.07708333333</v>
      </c>
      <c r="F875" s="1" t="s">
        <v>19</v>
      </c>
      <c r="G875" s="1" t="s">
        <v>46</v>
      </c>
      <c r="H875" s="1" t="s">
        <v>41</v>
      </c>
      <c r="I875" s="1" t="s">
        <v>102</v>
      </c>
      <c r="J875" s="1" t="str">
        <f t="shared" si="26"/>
        <v>disputed</v>
      </c>
      <c r="K875" s="1" t="str">
        <f>_xlfn.XLOOKUP(C875, 'Product Catalog'!$A:$A, 'Product Catalog'!$B:$B, "Unknown Product")</f>
        <v>Leather Handbag Model G84</v>
      </c>
      <c r="L875" s="1" t="str">
        <f>_xlfn.XLOOKUP(C875, 'Product Catalog'!$A:$A, 'Product Catalog'!$C:$C, "Unknown Category")</f>
        <v>Luxury Goods</v>
      </c>
      <c r="M875" s="1">
        <f>_xlfn.XLOOKUP(C875, 'Product Catalog'!$A:$A, 'Product Catalog'!$D:$D, 0)</f>
        <v>899.17</v>
      </c>
      <c r="N875" s="1">
        <f t="shared" si="27"/>
        <v>3596.68</v>
      </c>
    </row>
    <row r="876" spans="1:14" x14ac:dyDescent="0.3">
      <c r="A876" s="1" t="s">
        <v>1335</v>
      </c>
      <c r="B876" s="1" t="s">
        <v>139</v>
      </c>
      <c r="C876" s="1" t="s">
        <v>498</v>
      </c>
      <c r="D876" s="1">
        <v>1</v>
      </c>
      <c r="E876" s="12">
        <v>45842.004861111112</v>
      </c>
      <c r="F876" s="1" t="s">
        <v>39</v>
      </c>
      <c r="G876" s="1" t="s">
        <v>13</v>
      </c>
      <c r="H876" s="1" t="s">
        <v>51</v>
      </c>
      <c r="I876" s="1" t="s">
        <v>42</v>
      </c>
      <c r="J876" s="1" t="str">
        <f t="shared" si="26"/>
        <v>PENDING_REVIEW</v>
      </c>
      <c r="K876" s="1" t="str">
        <f>_xlfn.XLOOKUP(C876, 'Product Catalog'!$A:$A, 'Product Catalog'!$B:$B, "Unknown Product")</f>
        <v>Leather Handbag Model N143</v>
      </c>
      <c r="L876" s="1" t="str">
        <f>_xlfn.XLOOKUP(C876, 'Product Catalog'!$A:$A, 'Product Catalog'!$C:$C, "Unknown Category")</f>
        <v>Luxury Goods</v>
      </c>
      <c r="M876" s="1">
        <f>_xlfn.XLOOKUP(C876, 'Product Catalog'!$A:$A, 'Product Catalog'!$D:$D, 0)</f>
        <v>1374.1</v>
      </c>
      <c r="N876" s="1">
        <f t="shared" si="27"/>
        <v>1374.1</v>
      </c>
    </row>
    <row r="877" spans="1:14" x14ac:dyDescent="0.3">
      <c r="A877" s="1" t="s">
        <v>1336</v>
      </c>
      <c r="B877" s="1" t="s">
        <v>1337</v>
      </c>
      <c r="C877" s="1" t="s">
        <v>80</v>
      </c>
      <c r="D877" s="1">
        <v>1</v>
      </c>
      <c r="E877" s="12">
        <v>45876.124305555553</v>
      </c>
      <c r="F877" s="1" t="s">
        <v>170</v>
      </c>
      <c r="G877" s="1" t="s">
        <v>50</v>
      </c>
      <c r="H877" s="1" t="s">
        <v>55</v>
      </c>
      <c r="I877" s="1" t="s">
        <v>42</v>
      </c>
      <c r="J877" s="1" t="str">
        <f t="shared" si="26"/>
        <v>PENDING_REVIEW</v>
      </c>
      <c r="K877" s="1" t="str">
        <f>_xlfn.XLOOKUP(C877, 'Product Catalog'!$A:$A, 'Product Catalog'!$B:$B, "Unknown Product")</f>
        <v>Leather Handbag Model S18</v>
      </c>
      <c r="L877" s="1" t="str">
        <f>_xlfn.XLOOKUP(C877, 'Product Catalog'!$A:$A, 'Product Catalog'!$C:$C, "Unknown Category")</f>
        <v>Luxury Goods</v>
      </c>
      <c r="M877" s="1">
        <f>_xlfn.XLOOKUP(C877, 'Product Catalog'!$A:$A, 'Product Catalog'!$D:$D, 0)</f>
        <v>1475.11</v>
      </c>
      <c r="N877" s="1">
        <f t="shared" si="27"/>
        <v>1475.11</v>
      </c>
    </row>
    <row r="878" spans="1:14" x14ac:dyDescent="0.3">
      <c r="A878" s="1" t="s">
        <v>1338</v>
      </c>
      <c r="B878" s="1" t="s">
        <v>280</v>
      </c>
      <c r="C878" s="1" t="s">
        <v>316</v>
      </c>
      <c r="D878" s="1">
        <v>1</v>
      </c>
      <c r="E878" s="12">
        <v>45808.940972222219</v>
      </c>
      <c r="F878" s="1" t="s">
        <v>12</v>
      </c>
      <c r="G878" s="1" t="s">
        <v>20</v>
      </c>
      <c r="H878" s="1" t="s">
        <v>55</v>
      </c>
      <c r="I878" s="1" t="s">
        <v>56</v>
      </c>
      <c r="J878" s="1" t="str">
        <f t="shared" si="26"/>
        <v>cancelled</v>
      </c>
      <c r="K878" s="1" t="str">
        <f>_xlfn.XLOOKUP(C878, 'Product Catalog'!$A:$A, 'Product Catalog'!$B:$B, "Unknown Product")</f>
        <v>Leather Handbag Model W48</v>
      </c>
      <c r="L878" s="1" t="str">
        <f>_xlfn.XLOOKUP(C878, 'Product Catalog'!$A:$A, 'Product Catalog'!$C:$C, "Unknown Category")</f>
        <v>Luxury Goods</v>
      </c>
      <c r="M878" s="1">
        <f>_xlfn.XLOOKUP(C878, 'Product Catalog'!$A:$A, 'Product Catalog'!$D:$D, 0)</f>
        <v>315.82</v>
      </c>
      <c r="N878" s="1">
        <f t="shared" si="27"/>
        <v>315.82</v>
      </c>
    </row>
    <row r="879" spans="1:14" x14ac:dyDescent="0.3">
      <c r="A879" s="1" t="s">
        <v>1339</v>
      </c>
      <c r="B879" s="1" t="s">
        <v>1088</v>
      </c>
      <c r="C879" s="1" t="s">
        <v>293</v>
      </c>
      <c r="D879" s="1">
        <v>1</v>
      </c>
      <c r="E879" s="12">
        <v>45978.853472222225</v>
      </c>
      <c r="F879" s="1" t="s">
        <v>12</v>
      </c>
      <c r="G879" s="1" t="s">
        <v>31</v>
      </c>
      <c r="H879" s="1" t="s">
        <v>41</v>
      </c>
      <c r="I879" s="1" t="s">
        <v>15</v>
      </c>
      <c r="J879" s="1" t="str">
        <f t="shared" si="26"/>
        <v>delivered</v>
      </c>
      <c r="K879" s="1" t="str">
        <f>_xlfn.XLOOKUP(C879, 'Product Catalog'!$A:$A, 'Product Catalog'!$B:$B, "Unknown Product")</f>
        <v>Software License Tier A Model C132</v>
      </c>
      <c r="L879" s="1" t="str">
        <f>_xlfn.XLOOKUP(C879, 'Product Catalog'!$A:$A, 'Product Catalog'!$C:$C, "Unknown Category")</f>
        <v>Digital Services</v>
      </c>
      <c r="M879" s="1">
        <f>_xlfn.XLOOKUP(C879, 'Product Catalog'!$A:$A, 'Product Catalog'!$D:$D, 0)</f>
        <v>29.36</v>
      </c>
      <c r="N879" s="1">
        <f t="shared" si="27"/>
        <v>29.36</v>
      </c>
    </row>
    <row r="880" spans="1:14" x14ac:dyDescent="0.3">
      <c r="A880" s="1" t="s">
        <v>1340</v>
      </c>
      <c r="B880" s="1" t="s">
        <v>491</v>
      </c>
      <c r="C880" s="1" t="s">
        <v>758</v>
      </c>
      <c r="D880" s="1">
        <v>1</v>
      </c>
      <c r="E880" s="12">
        <v>45903.283333333333</v>
      </c>
      <c r="F880" s="1" t="s">
        <v>19</v>
      </c>
      <c r="G880" s="1" t="s">
        <v>46</v>
      </c>
      <c r="H880" s="1" t="s">
        <v>14</v>
      </c>
      <c r="I880" s="1" t="s">
        <v>32</v>
      </c>
      <c r="J880" s="1" t="str">
        <f t="shared" si="26"/>
        <v>SHIPPED</v>
      </c>
      <c r="K880" s="1" t="str">
        <f>_xlfn.XLOOKUP(C880, 'Product Catalog'!$A:$A, 'Product Catalog'!$B:$B, "Unknown Product")</f>
        <v>Cloud Storage Basic Model G110</v>
      </c>
      <c r="L880" s="1" t="str">
        <f>_xlfn.XLOOKUP(C880, 'Product Catalog'!$A:$A, 'Product Catalog'!$C:$C, "Unknown Category")</f>
        <v>Digital Services</v>
      </c>
      <c r="M880" s="1">
        <f>_xlfn.XLOOKUP(C880, 'Product Catalog'!$A:$A, 'Product Catalog'!$D:$D, 0)</f>
        <v>53.87</v>
      </c>
      <c r="N880" s="1">
        <f t="shared" si="27"/>
        <v>53.87</v>
      </c>
    </row>
    <row r="881" spans="1:14" x14ac:dyDescent="0.3">
      <c r="A881" s="1" t="s">
        <v>1341</v>
      </c>
      <c r="B881" s="1" t="s">
        <v>53</v>
      </c>
      <c r="C881" s="1" t="s">
        <v>278</v>
      </c>
      <c r="D881" s="1">
        <v>4</v>
      </c>
      <c r="E881" s="12">
        <v>45707.036111111112</v>
      </c>
      <c r="F881" s="1" t="s">
        <v>170</v>
      </c>
      <c r="G881" s="1" t="s">
        <v>40</v>
      </c>
      <c r="H881" s="1" t="s">
        <v>55</v>
      </c>
      <c r="I881" s="1" t="s">
        <v>102</v>
      </c>
      <c r="J881" s="1" t="str">
        <f t="shared" si="26"/>
        <v>disputed</v>
      </c>
      <c r="K881" s="1" t="str">
        <f>_xlfn.XLOOKUP(C881, 'Product Catalog'!$A:$A, 'Product Catalog'!$B:$B, "Unknown Product")</f>
        <v>Premium Stream 1M Model L115</v>
      </c>
      <c r="L881" s="1" t="str">
        <f>_xlfn.XLOOKUP(C881, 'Product Catalog'!$A:$A, 'Product Catalog'!$C:$C, "Unknown Category")</f>
        <v>Digital Services</v>
      </c>
      <c r="M881" s="1">
        <f>_xlfn.XLOOKUP(C881, 'Product Catalog'!$A:$A, 'Product Catalog'!$D:$D, 0)</f>
        <v>62.86</v>
      </c>
      <c r="N881" s="1">
        <f t="shared" si="27"/>
        <v>251.44</v>
      </c>
    </row>
    <row r="882" spans="1:14" x14ac:dyDescent="0.3">
      <c r="A882" s="1" t="s">
        <v>1342</v>
      </c>
      <c r="B882" s="1" t="s">
        <v>61</v>
      </c>
      <c r="C882" s="1" t="s">
        <v>780</v>
      </c>
      <c r="D882" s="1">
        <v>1</v>
      </c>
      <c r="E882" s="12">
        <v>45763.242361111108</v>
      </c>
      <c r="F882" s="1" t="s">
        <v>19</v>
      </c>
      <c r="G882" s="1" t="s">
        <v>46</v>
      </c>
      <c r="H882" s="1" t="s">
        <v>14</v>
      </c>
      <c r="I882" s="1" t="s">
        <v>15</v>
      </c>
      <c r="J882" s="1" t="str">
        <f t="shared" si="26"/>
        <v>delivered</v>
      </c>
      <c r="K882" s="1" t="str">
        <f>_xlfn.XLOOKUP(C882, 'Product Catalog'!$A:$A, 'Product Catalog'!$B:$B, "Unknown Product")</f>
        <v>Organizer Model D133</v>
      </c>
      <c r="L882" s="1" t="str">
        <f>_xlfn.XLOOKUP(C882, 'Product Catalog'!$A:$A, 'Product Catalog'!$C:$C, "Unknown Category")</f>
        <v>Home Goods</v>
      </c>
      <c r="M882" s="1">
        <f>_xlfn.XLOOKUP(C882, 'Product Catalog'!$A:$A, 'Product Catalog'!$D:$D, 0)</f>
        <v>144.43</v>
      </c>
      <c r="N882" s="1">
        <f t="shared" si="27"/>
        <v>144.43</v>
      </c>
    </row>
    <row r="883" spans="1:14" x14ac:dyDescent="0.3">
      <c r="A883" s="1" t="s">
        <v>1343</v>
      </c>
      <c r="B883" s="1" t="s">
        <v>544</v>
      </c>
      <c r="C883" s="1" t="s">
        <v>213</v>
      </c>
      <c r="D883" s="1">
        <v>1</v>
      </c>
      <c r="E883" s="12">
        <v>45984.414583333331</v>
      </c>
      <c r="F883" s="1" t="s">
        <v>19</v>
      </c>
      <c r="G883" s="1" t="s">
        <v>20</v>
      </c>
      <c r="H883" s="1" t="s">
        <v>41</v>
      </c>
      <c r="I883" s="1" t="s">
        <v>32</v>
      </c>
      <c r="J883" s="1" t="str">
        <f t="shared" si="26"/>
        <v>SHIPPED</v>
      </c>
      <c r="K883" s="1" t="str">
        <f>_xlfn.XLOOKUP(C883, 'Product Catalog'!$A:$A, 'Product Catalog'!$B:$B, "Unknown Product")</f>
        <v>Cloud Storage Basic Model L63</v>
      </c>
      <c r="L883" s="1" t="str">
        <f>_xlfn.XLOOKUP(C883, 'Product Catalog'!$A:$A, 'Product Catalog'!$C:$C, "Unknown Category")</f>
        <v>Digital Services</v>
      </c>
      <c r="M883" s="1">
        <f>_xlfn.XLOOKUP(C883, 'Product Catalog'!$A:$A, 'Product Catalog'!$D:$D, 0)</f>
        <v>20.48</v>
      </c>
      <c r="N883" s="1">
        <f t="shared" si="27"/>
        <v>20.48</v>
      </c>
    </row>
    <row r="884" spans="1:14" x14ac:dyDescent="0.3">
      <c r="A884" s="1" t="s">
        <v>1344</v>
      </c>
      <c r="B884" s="1" t="s">
        <v>544</v>
      </c>
      <c r="C884" s="1" t="s">
        <v>296</v>
      </c>
      <c r="D884" s="1">
        <v>4</v>
      </c>
      <c r="E884" s="12">
        <v>45699.67291666667</v>
      </c>
      <c r="F884" s="1" t="s">
        <v>170</v>
      </c>
      <c r="G884" s="1" t="s">
        <v>40</v>
      </c>
      <c r="H884" s="1" t="s">
        <v>55</v>
      </c>
      <c r="I884" s="1" t="s">
        <v>81</v>
      </c>
      <c r="J884" s="1" t="str">
        <f t="shared" si="26"/>
        <v>REFUNDED</v>
      </c>
      <c r="K884" s="1" t="str">
        <f>_xlfn.XLOOKUP(C884, 'Product Catalog'!$A:$A, 'Product Catalog'!$B:$B, "Unknown Product")</f>
        <v>Socks Model K62</v>
      </c>
      <c r="L884" s="1" t="str">
        <f>_xlfn.XLOOKUP(C884, 'Product Catalog'!$A:$A, 'Product Catalog'!$C:$C, "Unknown Category")</f>
        <v>Apparel</v>
      </c>
      <c r="M884" s="1">
        <f>_xlfn.XLOOKUP(C884, 'Product Catalog'!$A:$A, 'Product Catalog'!$D:$D, 0)</f>
        <v>63.42</v>
      </c>
      <c r="N884" s="1">
        <f t="shared" si="27"/>
        <v>253.68</v>
      </c>
    </row>
    <row r="885" spans="1:14" x14ac:dyDescent="0.3">
      <c r="A885" s="1" t="s">
        <v>1345</v>
      </c>
      <c r="B885" s="1" t="s">
        <v>366</v>
      </c>
      <c r="C885" s="1" t="s">
        <v>367</v>
      </c>
      <c r="D885" s="1">
        <v>4</v>
      </c>
      <c r="E885" s="12">
        <v>45717.438194444447</v>
      </c>
      <c r="F885" s="1" t="s">
        <v>39</v>
      </c>
      <c r="G885" s="1" t="s">
        <v>50</v>
      </c>
      <c r="H885" s="1" t="s">
        <v>51</v>
      </c>
      <c r="I885" s="1" t="s">
        <v>56</v>
      </c>
      <c r="J885" s="1" t="str">
        <f t="shared" si="26"/>
        <v>cancelled</v>
      </c>
      <c r="K885" s="1" t="str">
        <f>_xlfn.XLOOKUP(C885, 'Product Catalog'!$A:$A, 'Product Catalog'!$B:$B, "Unknown Product")</f>
        <v>Cable Model P67</v>
      </c>
      <c r="L885" s="1" t="str">
        <f>_xlfn.XLOOKUP(C885, 'Product Catalog'!$A:$A, 'Product Catalog'!$C:$C, "Unknown Category")</f>
        <v>Electronics</v>
      </c>
      <c r="M885" s="1">
        <f>_xlfn.XLOOKUP(C885, 'Product Catalog'!$A:$A, 'Product Catalog'!$D:$D, 0)</f>
        <v>187.9</v>
      </c>
      <c r="N885" s="1">
        <f t="shared" si="27"/>
        <v>751.6</v>
      </c>
    </row>
    <row r="886" spans="1:14" x14ac:dyDescent="0.3">
      <c r="A886" s="1" t="s">
        <v>1346</v>
      </c>
      <c r="B886" s="1" t="s">
        <v>199</v>
      </c>
      <c r="C886" s="1" t="s">
        <v>935</v>
      </c>
      <c r="D886" s="1">
        <v>1</v>
      </c>
      <c r="E886" s="12">
        <v>45861.669444444444</v>
      </c>
      <c r="F886" s="1" t="s">
        <v>19</v>
      </c>
      <c r="G886" s="1" t="s">
        <v>13</v>
      </c>
      <c r="H886" s="1" t="s">
        <v>24</v>
      </c>
      <c r="I886" s="1" t="s">
        <v>56</v>
      </c>
      <c r="J886" s="1" t="str">
        <f t="shared" si="26"/>
        <v>cancelled</v>
      </c>
      <c r="K886" s="1" t="str">
        <f>_xlfn.XLOOKUP(C886, 'Product Catalog'!$A:$A, 'Product Catalog'!$B:$B, "Unknown Product")</f>
        <v>Cloud Storage Basic Model L141</v>
      </c>
      <c r="L886" s="1" t="str">
        <f>_xlfn.XLOOKUP(C886, 'Product Catalog'!$A:$A, 'Product Catalog'!$C:$C, "Unknown Category")</f>
        <v>Digital Services</v>
      </c>
      <c r="M886" s="1">
        <f>_xlfn.XLOOKUP(C886, 'Product Catalog'!$A:$A, 'Product Catalog'!$D:$D, 0)</f>
        <v>93.62</v>
      </c>
      <c r="N886" s="1">
        <f t="shared" si="27"/>
        <v>93.62</v>
      </c>
    </row>
    <row r="887" spans="1:14" x14ac:dyDescent="0.3">
      <c r="A887" s="1" t="s">
        <v>1347</v>
      </c>
      <c r="B887" s="1" t="s">
        <v>666</v>
      </c>
      <c r="C887" s="1" t="s">
        <v>244</v>
      </c>
      <c r="D887" s="1">
        <v>4</v>
      </c>
      <c r="E887" s="12">
        <v>45908.939583333333</v>
      </c>
      <c r="F887" s="1" t="s">
        <v>12</v>
      </c>
      <c r="G887" s="1" t="s">
        <v>40</v>
      </c>
      <c r="H887" s="1" t="s">
        <v>41</v>
      </c>
      <c r="I887" s="1" t="s">
        <v>42</v>
      </c>
      <c r="J887" s="1" t="str">
        <f t="shared" si="26"/>
        <v>PENDING_REVIEW</v>
      </c>
      <c r="K887" s="1" t="str">
        <f>_xlfn.XLOOKUP(C887, 'Product Catalog'!$A:$A, 'Product Catalog'!$B:$B, "Unknown Product")</f>
        <v>Hoodie Model F135</v>
      </c>
      <c r="L887" s="1" t="str">
        <f>_xlfn.XLOOKUP(C887, 'Product Catalog'!$A:$A, 'Product Catalog'!$C:$C, "Unknown Category")</f>
        <v>Apparel</v>
      </c>
      <c r="M887" s="1">
        <f>_xlfn.XLOOKUP(C887, 'Product Catalog'!$A:$A, 'Product Catalog'!$D:$D, 0)</f>
        <v>46.94</v>
      </c>
      <c r="N887" s="1">
        <f t="shared" si="27"/>
        <v>187.76</v>
      </c>
    </row>
    <row r="888" spans="1:14" x14ac:dyDescent="0.3">
      <c r="A888" s="1" t="s">
        <v>1348</v>
      </c>
      <c r="B888" s="1" t="s">
        <v>897</v>
      </c>
      <c r="C888" s="1" t="s">
        <v>485</v>
      </c>
      <c r="D888" s="1">
        <v>1</v>
      </c>
      <c r="E888" s="12">
        <v>45793.129166666666</v>
      </c>
      <c r="F888" s="1" t="s">
        <v>19</v>
      </c>
      <c r="G888" s="1" t="s">
        <v>13</v>
      </c>
      <c r="H888" s="1" t="s">
        <v>24</v>
      </c>
      <c r="I888" s="1" t="s">
        <v>42</v>
      </c>
      <c r="J888" s="1" t="str">
        <f t="shared" si="26"/>
        <v>PENDING_REVIEW</v>
      </c>
      <c r="K888" s="1" t="str">
        <f>_xlfn.XLOOKUP(C888, 'Product Catalog'!$A:$A, 'Product Catalog'!$B:$B, "Unknown Product")</f>
        <v>Smartwatch Model K140</v>
      </c>
      <c r="L888" s="1" t="str">
        <f>_xlfn.XLOOKUP(C888, 'Product Catalog'!$A:$A, 'Product Catalog'!$C:$C, "Unknown Category")</f>
        <v>Electronics</v>
      </c>
      <c r="M888" s="1">
        <f>_xlfn.XLOOKUP(C888, 'Product Catalog'!$A:$A, 'Product Catalog'!$D:$D, 0)</f>
        <v>221.95</v>
      </c>
      <c r="N888" s="1">
        <f t="shared" si="27"/>
        <v>221.95</v>
      </c>
    </row>
    <row r="889" spans="1:14" x14ac:dyDescent="0.3">
      <c r="A889" s="1" t="s">
        <v>1349</v>
      </c>
      <c r="B889" s="1" t="s">
        <v>943</v>
      </c>
      <c r="C889" s="1" t="s">
        <v>334</v>
      </c>
      <c r="D889" s="1">
        <v>1</v>
      </c>
      <c r="E889" s="12">
        <v>45986.773611111108</v>
      </c>
      <c r="F889" s="1" t="s">
        <v>12</v>
      </c>
      <c r="G889" s="1" t="s">
        <v>46</v>
      </c>
      <c r="H889" s="1" t="s">
        <v>14</v>
      </c>
      <c r="I889" s="1" t="s">
        <v>15</v>
      </c>
      <c r="J889" s="1" t="str">
        <f t="shared" si="26"/>
        <v>delivered</v>
      </c>
      <c r="K889" s="1" t="str">
        <f>_xlfn.XLOOKUP(C889, 'Product Catalog'!$A:$A, 'Product Catalog'!$B:$B, "Unknown Product")</f>
        <v>Jeans Model Q42</v>
      </c>
      <c r="L889" s="1" t="str">
        <f>_xlfn.XLOOKUP(C889, 'Product Catalog'!$A:$A, 'Product Catalog'!$C:$C, "Unknown Category")</f>
        <v>Apparel</v>
      </c>
      <c r="M889" s="1">
        <f>_xlfn.XLOOKUP(C889, 'Product Catalog'!$A:$A, 'Product Catalog'!$D:$D, 0)</f>
        <v>82.57</v>
      </c>
      <c r="N889" s="1">
        <f t="shared" si="27"/>
        <v>82.57</v>
      </c>
    </row>
    <row r="890" spans="1:14" x14ac:dyDescent="0.3">
      <c r="A890" s="1" t="s">
        <v>1350</v>
      </c>
      <c r="B890" s="1" t="s">
        <v>369</v>
      </c>
      <c r="C890" s="1" t="s">
        <v>247</v>
      </c>
      <c r="D890" s="1">
        <v>5</v>
      </c>
      <c r="E890" s="12">
        <v>45856.262499999997</v>
      </c>
      <c r="F890" s="1" t="s">
        <v>19</v>
      </c>
      <c r="G890" s="1" t="s">
        <v>50</v>
      </c>
      <c r="H890" s="1" t="s">
        <v>51</v>
      </c>
      <c r="I890" s="1" t="s">
        <v>81</v>
      </c>
      <c r="J890" s="1" t="str">
        <f t="shared" si="26"/>
        <v>REFUNDED</v>
      </c>
      <c r="K890" s="1" t="str">
        <f>_xlfn.XLOOKUP(C890, 'Product Catalog'!$A:$A, 'Product Catalog'!$B:$B, "Unknown Product")</f>
        <v>Silk Scarf Model N117</v>
      </c>
      <c r="L890" s="1" t="str">
        <f>_xlfn.XLOOKUP(C890, 'Product Catalog'!$A:$A, 'Product Catalog'!$C:$C, "Unknown Category")</f>
        <v>Luxury Goods</v>
      </c>
      <c r="M890" s="1">
        <f>_xlfn.XLOOKUP(C890, 'Product Catalog'!$A:$A, 'Product Catalog'!$D:$D, 0)</f>
        <v>1740.35</v>
      </c>
      <c r="N890" s="1">
        <f t="shared" si="27"/>
        <v>8701.75</v>
      </c>
    </row>
    <row r="891" spans="1:14" x14ac:dyDescent="0.3">
      <c r="A891" s="1" t="s">
        <v>1351</v>
      </c>
      <c r="B891" s="1" t="s">
        <v>972</v>
      </c>
      <c r="C891" s="1" t="s">
        <v>203</v>
      </c>
      <c r="D891" s="1">
        <v>2</v>
      </c>
      <c r="E891" s="12">
        <v>45847.542361111111</v>
      </c>
      <c r="F891" s="1" t="s">
        <v>19</v>
      </c>
      <c r="G891" s="1" t="s">
        <v>13</v>
      </c>
      <c r="H891" s="1" t="s">
        <v>14</v>
      </c>
      <c r="I891" s="1" t="s">
        <v>15</v>
      </c>
      <c r="J891" s="1" t="str">
        <f t="shared" si="26"/>
        <v>delivered</v>
      </c>
      <c r="K891" s="1" t="str">
        <f>_xlfn.XLOOKUP(C891, 'Product Catalog'!$A:$A, 'Product Catalog'!$B:$B, "Unknown Product")</f>
        <v>Pillow Model R17</v>
      </c>
      <c r="L891" s="1" t="str">
        <f>_xlfn.XLOOKUP(C891, 'Product Catalog'!$A:$A, 'Product Catalog'!$C:$C, "Unknown Category")</f>
        <v>Home Goods</v>
      </c>
      <c r="M891" s="1">
        <f>_xlfn.XLOOKUP(C891, 'Product Catalog'!$A:$A, 'Product Catalog'!$D:$D, 0)</f>
        <v>169.86</v>
      </c>
      <c r="N891" s="1">
        <f t="shared" si="27"/>
        <v>339.72</v>
      </c>
    </row>
    <row r="892" spans="1:14" x14ac:dyDescent="0.3">
      <c r="A892" s="1" t="s">
        <v>1352</v>
      </c>
      <c r="B892" s="1" t="s">
        <v>502</v>
      </c>
      <c r="C892" s="1" t="s">
        <v>131</v>
      </c>
      <c r="D892" s="1">
        <v>3</v>
      </c>
      <c r="E892" s="12">
        <v>45847.265277777777</v>
      </c>
      <c r="F892" s="1" t="s">
        <v>19</v>
      </c>
      <c r="G892" s="1" t="s">
        <v>13</v>
      </c>
      <c r="H892" s="1" t="s">
        <v>41</v>
      </c>
      <c r="I892" s="1" t="s">
        <v>42</v>
      </c>
      <c r="J892" s="1" t="str">
        <f t="shared" si="26"/>
        <v>PENDING_REVIEW</v>
      </c>
      <c r="K892" s="1" t="str">
        <f>_xlfn.XLOOKUP(C892, 'Product Catalog'!$A:$A, 'Product Catalog'!$B:$B, "Unknown Product")</f>
        <v>Keyboard Model C28</v>
      </c>
      <c r="L892" s="1" t="str">
        <f>_xlfn.XLOOKUP(C892, 'Product Catalog'!$A:$A, 'Product Catalog'!$C:$C, "Unknown Category")</f>
        <v>Electronics</v>
      </c>
      <c r="M892" s="1">
        <f>_xlfn.XLOOKUP(C892, 'Product Catalog'!$A:$A, 'Product Catalog'!$D:$D, 0)</f>
        <v>162.44999999999999</v>
      </c>
      <c r="N892" s="1">
        <f t="shared" si="27"/>
        <v>487.34999999999997</v>
      </c>
    </row>
    <row r="893" spans="1:14" x14ac:dyDescent="0.3">
      <c r="A893" s="1" t="s">
        <v>1353</v>
      </c>
      <c r="B893" s="1" t="s">
        <v>773</v>
      </c>
      <c r="C893" s="1" t="s">
        <v>278</v>
      </c>
      <c r="D893" s="1">
        <v>1</v>
      </c>
      <c r="E893" s="12">
        <v>45886.063194444447</v>
      </c>
      <c r="F893" s="1" t="s">
        <v>19</v>
      </c>
      <c r="G893" s="1" t="s">
        <v>46</v>
      </c>
      <c r="H893" s="1" t="s">
        <v>14</v>
      </c>
      <c r="I893" s="1" t="s">
        <v>15</v>
      </c>
      <c r="J893" s="1" t="str">
        <f t="shared" si="26"/>
        <v>delivered</v>
      </c>
      <c r="K893" s="1" t="str">
        <f>_xlfn.XLOOKUP(C893, 'Product Catalog'!$A:$A, 'Product Catalog'!$B:$B, "Unknown Product")</f>
        <v>Premium Stream 1M Model L115</v>
      </c>
      <c r="L893" s="1" t="str">
        <f>_xlfn.XLOOKUP(C893, 'Product Catalog'!$A:$A, 'Product Catalog'!$C:$C, "Unknown Category")</f>
        <v>Digital Services</v>
      </c>
      <c r="M893" s="1">
        <f>_xlfn.XLOOKUP(C893, 'Product Catalog'!$A:$A, 'Product Catalog'!$D:$D, 0)</f>
        <v>62.86</v>
      </c>
      <c r="N893" s="1">
        <f t="shared" si="27"/>
        <v>62.86</v>
      </c>
    </row>
    <row r="894" spans="1:14" x14ac:dyDescent="0.3">
      <c r="A894" s="1" t="s">
        <v>1354</v>
      </c>
      <c r="B894" s="1" t="s">
        <v>34</v>
      </c>
      <c r="C894" s="1" t="s">
        <v>636</v>
      </c>
      <c r="D894" s="1">
        <v>4</v>
      </c>
      <c r="E894" s="12">
        <v>45792.625</v>
      </c>
      <c r="F894" s="1" t="s">
        <v>170</v>
      </c>
      <c r="G894" s="1" t="s">
        <v>13</v>
      </c>
      <c r="H894" s="1" t="s">
        <v>55</v>
      </c>
      <c r="I894" s="1" t="s">
        <v>42</v>
      </c>
      <c r="J894" s="1" t="str">
        <f t="shared" si="26"/>
        <v>PENDING_REVIEW</v>
      </c>
      <c r="K894" s="1" t="str">
        <f>_xlfn.XLOOKUP(C894, 'Product Catalog'!$A:$A, 'Product Catalog'!$B:$B, "Unknown Product")</f>
        <v>Leather Handbag Model O92</v>
      </c>
      <c r="L894" s="1" t="str">
        <f>_xlfn.XLOOKUP(C894, 'Product Catalog'!$A:$A, 'Product Catalog'!$C:$C, "Unknown Category")</f>
        <v>Luxury Goods</v>
      </c>
      <c r="M894" s="1">
        <f>_xlfn.XLOOKUP(C894, 'Product Catalog'!$A:$A, 'Product Catalog'!$D:$D, 0)</f>
        <v>1245.53</v>
      </c>
      <c r="N894" s="1">
        <f t="shared" si="27"/>
        <v>4982.12</v>
      </c>
    </row>
    <row r="895" spans="1:14" x14ac:dyDescent="0.3">
      <c r="A895" s="1" t="s">
        <v>1355</v>
      </c>
      <c r="B895" s="1" t="s">
        <v>1356</v>
      </c>
      <c r="C895" s="1" t="s">
        <v>560</v>
      </c>
      <c r="D895" s="1">
        <v>1</v>
      </c>
      <c r="E895" s="12">
        <v>45896.374305555553</v>
      </c>
      <c r="F895" s="1" t="s">
        <v>12</v>
      </c>
      <c r="G895" s="1" t="s">
        <v>109</v>
      </c>
      <c r="H895" s="1" t="s">
        <v>14</v>
      </c>
      <c r="I895" s="1" t="s">
        <v>15</v>
      </c>
      <c r="J895" s="1" t="str">
        <f t="shared" si="26"/>
        <v>delivered</v>
      </c>
      <c r="K895" s="1" t="str">
        <f>_xlfn.XLOOKUP(C895, 'Product Catalog'!$A:$A, 'Product Catalog'!$B:$B, "Unknown Product")</f>
        <v>Cloud Storage Basic Model P41</v>
      </c>
      <c r="L895" s="1" t="str">
        <f>_xlfn.XLOOKUP(C895, 'Product Catalog'!$A:$A, 'Product Catalog'!$C:$C, "Unknown Category")</f>
        <v>Digital Services</v>
      </c>
      <c r="M895" s="1">
        <f>_xlfn.XLOOKUP(C895, 'Product Catalog'!$A:$A, 'Product Catalog'!$D:$D, 0)</f>
        <v>96.93</v>
      </c>
      <c r="N895" s="1">
        <f t="shared" si="27"/>
        <v>96.93</v>
      </c>
    </row>
    <row r="896" spans="1:14" x14ac:dyDescent="0.3">
      <c r="A896" s="1" t="s">
        <v>1357</v>
      </c>
      <c r="B896" s="1" t="s">
        <v>432</v>
      </c>
      <c r="C896" s="1" t="s">
        <v>122</v>
      </c>
      <c r="D896" s="1">
        <v>1</v>
      </c>
      <c r="E896" s="12">
        <v>45773.381944444445</v>
      </c>
      <c r="F896" s="1" t="s">
        <v>19</v>
      </c>
      <c r="G896" s="1" t="s">
        <v>20</v>
      </c>
      <c r="H896" s="1" t="s">
        <v>51</v>
      </c>
      <c r="I896" s="1" t="s">
        <v>56</v>
      </c>
      <c r="J896" s="1" t="str">
        <f t="shared" si="26"/>
        <v>cancelled</v>
      </c>
      <c r="K896" s="1" t="str">
        <f>_xlfn.XLOOKUP(C896, 'Product Catalog'!$A:$A, 'Product Catalog'!$B:$B, "Unknown Product")</f>
        <v>Gold Bracelet Model I86</v>
      </c>
      <c r="L896" s="1" t="str">
        <f>_xlfn.XLOOKUP(C896, 'Product Catalog'!$A:$A, 'Product Catalog'!$C:$C, "Unknown Category")</f>
        <v>Luxury Goods</v>
      </c>
      <c r="M896" s="1">
        <f>_xlfn.XLOOKUP(C896, 'Product Catalog'!$A:$A, 'Product Catalog'!$D:$D, 0)</f>
        <v>852.47</v>
      </c>
      <c r="N896" s="1">
        <f t="shared" si="27"/>
        <v>852.47</v>
      </c>
    </row>
    <row r="897" spans="1:14" x14ac:dyDescent="0.3">
      <c r="A897" s="1" t="s">
        <v>1358</v>
      </c>
      <c r="B897" s="1" t="s">
        <v>609</v>
      </c>
      <c r="C897" s="1" t="s">
        <v>84</v>
      </c>
      <c r="D897" s="1">
        <v>1</v>
      </c>
      <c r="E897" s="12">
        <v>45946.087500000001</v>
      </c>
      <c r="F897" s="1" t="s">
        <v>12</v>
      </c>
      <c r="G897" s="1" t="s">
        <v>20</v>
      </c>
      <c r="H897" s="1" t="s">
        <v>41</v>
      </c>
      <c r="I897" s="1" t="s">
        <v>15</v>
      </c>
      <c r="J897" s="1" t="str">
        <f t="shared" si="26"/>
        <v>delivered</v>
      </c>
      <c r="K897" s="1" t="str">
        <f>_xlfn.XLOOKUP(C897, 'Product Catalog'!$A:$A, 'Product Catalog'!$B:$B, "Unknown Product")</f>
        <v>Smartwatch Model J35</v>
      </c>
      <c r="L897" s="1" t="str">
        <f>_xlfn.XLOOKUP(C897, 'Product Catalog'!$A:$A, 'Product Catalog'!$C:$C, "Unknown Category")</f>
        <v>Electronics</v>
      </c>
      <c r="M897" s="1">
        <f>_xlfn.XLOOKUP(C897, 'Product Catalog'!$A:$A, 'Product Catalog'!$D:$D, 0)</f>
        <v>161.94999999999999</v>
      </c>
      <c r="N897" s="1">
        <f t="shared" si="27"/>
        <v>161.94999999999999</v>
      </c>
    </row>
    <row r="898" spans="1:14" x14ac:dyDescent="0.3">
      <c r="A898" s="1" t="s">
        <v>1359</v>
      </c>
      <c r="B898" s="1" t="s">
        <v>1104</v>
      </c>
      <c r="C898" s="1" t="s">
        <v>84</v>
      </c>
      <c r="D898" s="1">
        <v>1</v>
      </c>
      <c r="E898" s="12">
        <v>45735.990277777775</v>
      </c>
      <c r="F898" s="1" t="s">
        <v>19</v>
      </c>
      <c r="G898" s="1" t="s">
        <v>46</v>
      </c>
      <c r="H898" s="1" t="s">
        <v>41</v>
      </c>
      <c r="I898" s="1" t="s">
        <v>15</v>
      </c>
      <c r="J898" s="1" t="str">
        <f t="shared" ref="J898:J961" si="28">TRIM(I898)</f>
        <v>delivered</v>
      </c>
      <c r="K898" s="1" t="str">
        <f>_xlfn.XLOOKUP(C898, 'Product Catalog'!$A:$A, 'Product Catalog'!$B:$B, "Unknown Product")</f>
        <v>Smartwatch Model J35</v>
      </c>
      <c r="L898" s="1" t="str">
        <f>_xlfn.XLOOKUP(C898, 'Product Catalog'!$A:$A, 'Product Catalog'!$C:$C, "Unknown Category")</f>
        <v>Electronics</v>
      </c>
      <c r="M898" s="1">
        <f>_xlfn.XLOOKUP(C898, 'Product Catalog'!$A:$A, 'Product Catalog'!$D:$D, 0)</f>
        <v>161.94999999999999</v>
      </c>
      <c r="N898" s="1">
        <f t="shared" ref="N898:N961" si="29">D898 * M898</f>
        <v>161.94999999999999</v>
      </c>
    </row>
    <row r="899" spans="1:14" x14ac:dyDescent="0.3">
      <c r="A899" s="1" t="s">
        <v>1360</v>
      </c>
      <c r="B899" s="1" t="s">
        <v>456</v>
      </c>
      <c r="C899" s="1" t="s">
        <v>314</v>
      </c>
      <c r="D899" s="1">
        <v>2</v>
      </c>
      <c r="E899" s="12">
        <v>45999.137499999997</v>
      </c>
      <c r="F899" s="1" t="s">
        <v>19</v>
      </c>
      <c r="G899" s="1" t="s">
        <v>109</v>
      </c>
      <c r="H899" s="1" t="s">
        <v>41</v>
      </c>
      <c r="I899" s="1" t="s">
        <v>15</v>
      </c>
      <c r="J899" s="1" t="str">
        <f t="shared" si="28"/>
        <v>delivered</v>
      </c>
      <c r="K899" s="1" t="str">
        <f>_xlfn.XLOOKUP(C899, 'Product Catalog'!$A:$A, 'Product Catalog'!$B:$B, "Unknown Product")</f>
        <v>Smartwatch Model A104</v>
      </c>
      <c r="L899" s="1" t="str">
        <f>_xlfn.XLOOKUP(C899, 'Product Catalog'!$A:$A, 'Product Catalog'!$C:$C, "Unknown Category")</f>
        <v>Electronics</v>
      </c>
      <c r="M899" s="1">
        <f>_xlfn.XLOOKUP(C899, 'Product Catalog'!$A:$A, 'Product Catalog'!$D:$D, 0)</f>
        <v>80.59</v>
      </c>
      <c r="N899" s="1">
        <f t="shared" si="29"/>
        <v>161.18</v>
      </c>
    </row>
    <row r="900" spans="1:14" x14ac:dyDescent="0.3">
      <c r="A900" s="1" t="s">
        <v>1361</v>
      </c>
      <c r="B900" s="1" t="s">
        <v>747</v>
      </c>
      <c r="C900" s="1" t="s">
        <v>556</v>
      </c>
      <c r="D900" s="1">
        <v>2</v>
      </c>
      <c r="E900" s="12">
        <v>45701.95</v>
      </c>
      <c r="F900" s="1" t="s">
        <v>12</v>
      </c>
      <c r="G900" s="1" t="s">
        <v>13</v>
      </c>
      <c r="H900" s="1" t="s">
        <v>14</v>
      </c>
      <c r="I900" s="1" t="s">
        <v>15</v>
      </c>
      <c r="J900" s="1" t="str">
        <f t="shared" si="28"/>
        <v>delivered</v>
      </c>
      <c r="K900" s="1" t="str">
        <f>_xlfn.XLOOKUP(C900, 'Product Catalog'!$A:$A, 'Product Catalog'!$B:$B, "Unknown Product")</f>
        <v>Mug Model C54</v>
      </c>
      <c r="L900" s="1" t="str">
        <f>_xlfn.XLOOKUP(C900, 'Product Catalog'!$A:$A, 'Product Catalog'!$C:$C, "Unknown Category")</f>
        <v>Home Goods</v>
      </c>
      <c r="M900" s="1">
        <f>_xlfn.XLOOKUP(C900, 'Product Catalog'!$A:$A, 'Product Catalog'!$D:$D, 0)</f>
        <v>85.78</v>
      </c>
      <c r="N900" s="1">
        <f t="shared" si="29"/>
        <v>171.56</v>
      </c>
    </row>
    <row r="901" spans="1:14" x14ac:dyDescent="0.3">
      <c r="A901" s="1" t="s">
        <v>1362</v>
      </c>
      <c r="B901" s="1" t="s">
        <v>417</v>
      </c>
      <c r="C901" s="1" t="s">
        <v>314</v>
      </c>
      <c r="D901" s="1">
        <v>1</v>
      </c>
      <c r="E901" s="12">
        <v>45834.769444444442</v>
      </c>
      <c r="F901" s="1" t="s">
        <v>19</v>
      </c>
      <c r="G901" s="1" t="s">
        <v>109</v>
      </c>
      <c r="H901" s="1" t="s">
        <v>14</v>
      </c>
      <c r="I901" s="1" t="s">
        <v>15</v>
      </c>
      <c r="J901" s="1" t="str">
        <f t="shared" si="28"/>
        <v>delivered</v>
      </c>
      <c r="K901" s="1" t="str">
        <f>_xlfn.XLOOKUP(C901, 'Product Catalog'!$A:$A, 'Product Catalog'!$B:$B, "Unknown Product")</f>
        <v>Smartwatch Model A104</v>
      </c>
      <c r="L901" s="1" t="str">
        <f>_xlfn.XLOOKUP(C901, 'Product Catalog'!$A:$A, 'Product Catalog'!$C:$C, "Unknown Category")</f>
        <v>Electronics</v>
      </c>
      <c r="M901" s="1">
        <f>_xlfn.XLOOKUP(C901, 'Product Catalog'!$A:$A, 'Product Catalog'!$D:$D, 0)</f>
        <v>80.59</v>
      </c>
      <c r="N901" s="1">
        <f t="shared" si="29"/>
        <v>80.59</v>
      </c>
    </row>
    <row r="902" spans="1:14" x14ac:dyDescent="0.3">
      <c r="A902" s="1" t="s">
        <v>1363</v>
      </c>
      <c r="B902" s="1" t="s">
        <v>10</v>
      </c>
      <c r="C902" s="1" t="s">
        <v>95</v>
      </c>
      <c r="D902" s="1">
        <v>5</v>
      </c>
      <c r="E902" s="12">
        <v>45869.838194444441</v>
      </c>
      <c r="F902" s="1" t="s">
        <v>39</v>
      </c>
      <c r="G902" s="1" t="s">
        <v>50</v>
      </c>
      <c r="H902" s="1" t="s">
        <v>41</v>
      </c>
      <c r="I902" s="1" t="s">
        <v>102</v>
      </c>
      <c r="J902" s="1" t="str">
        <f t="shared" si="28"/>
        <v>disputed</v>
      </c>
      <c r="K902" s="1" t="str">
        <f>_xlfn.XLOOKUP(C902, 'Product Catalog'!$A:$A, 'Product Catalog'!$B:$B, "Unknown Product")</f>
        <v>Jacket Model U72</v>
      </c>
      <c r="L902" s="1" t="str">
        <f>_xlfn.XLOOKUP(C902, 'Product Catalog'!$A:$A, 'Product Catalog'!$C:$C, "Unknown Category")</f>
        <v>Apparel</v>
      </c>
      <c r="M902" s="1">
        <f>_xlfn.XLOOKUP(C902, 'Product Catalog'!$A:$A, 'Product Catalog'!$D:$D, 0)</f>
        <v>75.400000000000006</v>
      </c>
      <c r="N902" s="1">
        <f t="shared" si="29"/>
        <v>377</v>
      </c>
    </row>
    <row r="903" spans="1:14" x14ac:dyDescent="0.3">
      <c r="A903" s="1" t="s">
        <v>1364</v>
      </c>
      <c r="B903" s="1" t="s">
        <v>444</v>
      </c>
      <c r="C903" s="1" t="s">
        <v>49</v>
      </c>
      <c r="D903" s="1">
        <v>1</v>
      </c>
      <c r="E903" s="12">
        <v>45774.786805555559</v>
      </c>
      <c r="F903" s="1" t="s">
        <v>12</v>
      </c>
      <c r="G903" s="1" t="s">
        <v>31</v>
      </c>
      <c r="H903" s="1" t="s">
        <v>41</v>
      </c>
      <c r="I903" s="1" t="s">
        <v>15</v>
      </c>
      <c r="J903" s="1" t="str">
        <f t="shared" si="28"/>
        <v>delivered</v>
      </c>
      <c r="K903" s="1" t="str">
        <f>_xlfn.XLOOKUP(C903, 'Product Catalog'!$A:$A, 'Product Catalog'!$B:$B, "Unknown Product")</f>
        <v>E-Book Access Model Y76</v>
      </c>
      <c r="L903" s="1" t="str">
        <f>_xlfn.XLOOKUP(C903, 'Product Catalog'!$A:$A, 'Product Catalog'!$C:$C, "Unknown Category")</f>
        <v>Digital Services</v>
      </c>
      <c r="M903" s="1">
        <f>_xlfn.XLOOKUP(C903, 'Product Catalog'!$A:$A, 'Product Catalog'!$D:$D, 0)</f>
        <v>92.33</v>
      </c>
      <c r="N903" s="1">
        <f t="shared" si="29"/>
        <v>92.33</v>
      </c>
    </row>
    <row r="904" spans="1:14" x14ac:dyDescent="0.3">
      <c r="A904" s="1" t="s">
        <v>1365</v>
      </c>
      <c r="B904" s="1" t="s">
        <v>601</v>
      </c>
      <c r="C904" s="1" t="s">
        <v>45</v>
      </c>
      <c r="D904" s="1">
        <v>1</v>
      </c>
      <c r="E904" s="12">
        <v>45689.55</v>
      </c>
      <c r="F904" s="1" t="s">
        <v>19</v>
      </c>
      <c r="G904" s="1" t="s">
        <v>20</v>
      </c>
      <c r="H904" s="1" t="s">
        <v>41</v>
      </c>
      <c r="I904" s="1" t="s">
        <v>15</v>
      </c>
      <c r="J904" s="1" t="str">
        <f t="shared" si="28"/>
        <v>delivered</v>
      </c>
      <c r="K904" s="1" t="str">
        <f>_xlfn.XLOOKUP(C904, 'Product Catalog'!$A:$A, 'Product Catalog'!$B:$B, "Unknown Product")</f>
        <v>Jacket Model N91</v>
      </c>
      <c r="L904" s="1" t="str">
        <f>_xlfn.XLOOKUP(C904, 'Product Catalog'!$A:$A, 'Product Catalog'!$C:$C, "Unknown Category")</f>
        <v>Apparel</v>
      </c>
      <c r="M904" s="1">
        <f>_xlfn.XLOOKUP(C904, 'Product Catalog'!$A:$A, 'Product Catalog'!$D:$D, 0)</f>
        <v>13.96</v>
      </c>
      <c r="N904" s="1">
        <f t="shared" si="29"/>
        <v>13.96</v>
      </c>
    </row>
    <row r="905" spans="1:14" x14ac:dyDescent="0.3">
      <c r="A905" s="1" t="s">
        <v>1366</v>
      </c>
      <c r="B905" s="1" t="s">
        <v>17</v>
      </c>
      <c r="C905" s="1" t="s">
        <v>301</v>
      </c>
      <c r="D905" s="1">
        <v>2</v>
      </c>
      <c r="E905" s="12">
        <v>45925.595138888886</v>
      </c>
      <c r="F905" s="1" t="s">
        <v>19</v>
      </c>
      <c r="G905" s="1" t="s">
        <v>109</v>
      </c>
      <c r="H905" s="1" t="s">
        <v>41</v>
      </c>
      <c r="I905" s="1" t="s">
        <v>15</v>
      </c>
      <c r="J905" s="1" t="str">
        <f t="shared" si="28"/>
        <v>delivered</v>
      </c>
      <c r="K905" s="1" t="str">
        <f>_xlfn.XLOOKUP(C905, 'Product Catalog'!$A:$A, 'Product Catalog'!$B:$B, "Unknown Product")</f>
        <v>Mouse Model D107</v>
      </c>
      <c r="L905" s="1" t="str">
        <f>_xlfn.XLOOKUP(C905, 'Product Catalog'!$A:$A, 'Product Catalog'!$C:$C, "Unknown Category")</f>
        <v>Electronics</v>
      </c>
      <c r="M905" s="1">
        <f>_xlfn.XLOOKUP(C905, 'Product Catalog'!$A:$A, 'Product Catalog'!$D:$D, 0)</f>
        <v>155.19</v>
      </c>
      <c r="N905" s="1">
        <f t="shared" si="29"/>
        <v>310.38</v>
      </c>
    </row>
    <row r="906" spans="1:14" x14ac:dyDescent="0.3">
      <c r="A906" s="1" t="s">
        <v>1367</v>
      </c>
      <c r="B906" s="1" t="s">
        <v>829</v>
      </c>
      <c r="C906" s="1" t="s">
        <v>11</v>
      </c>
      <c r="D906" s="1">
        <v>1</v>
      </c>
      <c r="E906" s="12">
        <v>45932.977083333331</v>
      </c>
      <c r="F906" s="1" t="s">
        <v>170</v>
      </c>
      <c r="G906" s="1" t="s">
        <v>50</v>
      </c>
      <c r="H906" s="1" t="s">
        <v>41</v>
      </c>
      <c r="I906" s="1" t="s">
        <v>56</v>
      </c>
      <c r="J906" s="1" t="str">
        <f t="shared" si="28"/>
        <v>cancelled</v>
      </c>
      <c r="K906" s="1" t="str">
        <f>_xlfn.XLOOKUP(C906, 'Product Catalog'!$A:$A, 'Product Catalog'!$B:$B, "Unknown Product")</f>
        <v>Keyboard Model F57</v>
      </c>
      <c r="L906" s="1" t="str">
        <f>_xlfn.XLOOKUP(C906, 'Product Catalog'!$A:$A, 'Product Catalog'!$C:$C, "Unknown Category")</f>
        <v>Electronics</v>
      </c>
      <c r="M906" s="1">
        <f>_xlfn.XLOOKUP(C906, 'Product Catalog'!$A:$A, 'Product Catalog'!$D:$D, 0)</f>
        <v>60.02</v>
      </c>
      <c r="N906" s="1">
        <f t="shared" si="29"/>
        <v>60.02</v>
      </c>
    </row>
    <row r="907" spans="1:14" x14ac:dyDescent="0.3">
      <c r="A907" s="1" t="s">
        <v>1368</v>
      </c>
      <c r="B907" s="1" t="s">
        <v>533</v>
      </c>
      <c r="C907" s="1" t="s">
        <v>677</v>
      </c>
      <c r="D907" s="1">
        <v>2</v>
      </c>
      <c r="E907" s="12">
        <v>45901.813888888886</v>
      </c>
      <c r="F907" s="1" t="s">
        <v>12</v>
      </c>
      <c r="G907" s="1" t="s">
        <v>46</v>
      </c>
      <c r="H907" s="1" t="s">
        <v>14</v>
      </c>
      <c r="I907" s="1" t="s">
        <v>15</v>
      </c>
      <c r="J907" s="1" t="str">
        <f t="shared" si="28"/>
        <v>delivered</v>
      </c>
      <c r="K907" s="1" t="str">
        <f>_xlfn.XLOOKUP(C907, 'Product Catalog'!$A:$A, 'Product Catalog'!$B:$B, "Unknown Product")</f>
        <v>Charger Model Y128</v>
      </c>
      <c r="L907" s="1" t="str">
        <f>_xlfn.XLOOKUP(C907, 'Product Catalog'!$A:$A, 'Product Catalog'!$C:$C, "Unknown Category")</f>
        <v>Electronics</v>
      </c>
      <c r="M907" s="1">
        <f>_xlfn.XLOOKUP(C907, 'Product Catalog'!$A:$A, 'Product Catalog'!$D:$D, 0)</f>
        <v>46.33</v>
      </c>
      <c r="N907" s="1">
        <f t="shared" si="29"/>
        <v>92.66</v>
      </c>
    </row>
    <row r="908" spans="1:14" x14ac:dyDescent="0.3">
      <c r="A908" s="1" t="s">
        <v>1369</v>
      </c>
      <c r="B908" s="1" t="s">
        <v>37</v>
      </c>
      <c r="C908" s="1" t="s">
        <v>35</v>
      </c>
      <c r="D908" s="1">
        <v>2</v>
      </c>
      <c r="E908" s="12">
        <v>45778.677083333336</v>
      </c>
      <c r="F908" s="1" t="s">
        <v>12</v>
      </c>
      <c r="G908" s="1" t="s">
        <v>20</v>
      </c>
      <c r="H908" s="1" t="s">
        <v>41</v>
      </c>
      <c r="I908" s="1" t="s">
        <v>15</v>
      </c>
      <c r="J908" s="1" t="str">
        <f t="shared" si="28"/>
        <v>delivered</v>
      </c>
      <c r="K908" s="1" t="str">
        <f>_xlfn.XLOOKUP(C908, 'Product Catalog'!$A:$A, 'Product Catalog'!$B:$B, "Unknown Product")</f>
        <v>Blender Model W74</v>
      </c>
      <c r="L908" s="1" t="str">
        <f>_xlfn.XLOOKUP(C908, 'Product Catalog'!$A:$A, 'Product Catalog'!$C:$C, "Unknown Category")</f>
        <v>Home Goods</v>
      </c>
      <c r="M908" s="1">
        <f>_xlfn.XLOOKUP(C908, 'Product Catalog'!$A:$A, 'Product Catalog'!$D:$D, 0)</f>
        <v>127.16</v>
      </c>
      <c r="N908" s="1">
        <f t="shared" si="29"/>
        <v>254.32</v>
      </c>
    </row>
    <row r="909" spans="1:14" x14ac:dyDescent="0.3">
      <c r="A909" s="1" t="s">
        <v>1370</v>
      </c>
      <c r="B909" s="1" t="s">
        <v>891</v>
      </c>
      <c r="C909" s="1" t="s">
        <v>54</v>
      </c>
      <c r="D909" s="1">
        <v>1</v>
      </c>
      <c r="E909" s="12">
        <v>45811.111805555556</v>
      </c>
      <c r="F909" s="1" t="s">
        <v>19</v>
      </c>
      <c r="G909" s="1" t="s">
        <v>46</v>
      </c>
      <c r="H909" s="1" t="s">
        <v>14</v>
      </c>
      <c r="I909" s="1" t="s">
        <v>15</v>
      </c>
      <c r="J909" s="1" t="str">
        <f t="shared" si="28"/>
        <v>delivered</v>
      </c>
      <c r="K909" s="1" t="str">
        <f>_xlfn.XLOOKUP(C909, 'Product Catalog'!$A:$A, 'Product Catalog'!$B:$B, "Unknown Product")</f>
        <v>Keyboard Model V21</v>
      </c>
      <c r="L909" s="1" t="str">
        <f>_xlfn.XLOOKUP(C909, 'Product Catalog'!$A:$A, 'Product Catalog'!$C:$C, "Unknown Category")</f>
        <v>Electronics</v>
      </c>
      <c r="M909" s="1">
        <f>_xlfn.XLOOKUP(C909, 'Product Catalog'!$A:$A, 'Product Catalog'!$D:$D, 0)</f>
        <v>208.12</v>
      </c>
      <c r="N909" s="1">
        <f t="shared" si="29"/>
        <v>208.12</v>
      </c>
    </row>
    <row r="910" spans="1:14" x14ac:dyDescent="0.3">
      <c r="A910" s="1" t="s">
        <v>1371</v>
      </c>
      <c r="B910" s="1" t="s">
        <v>1372</v>
      </c>
      <c r="C910" s="1" t="s">
        <v>71</v>
      </c>
      <c r="D910" s="1">
        <v>1</v>
      </c>
      <c r="E910" s="12">
        <v>45860.049305555556</v>
      </c>
      <c r="F910" s="1" t="s">
        <v>19</v>
      </c>
      <c r="G910" s="1" t="s">
        <v>109</v>
      </c>
      <c r="H910" s="1" t="s">
        <v>14</v>
      </c>
      <c r="I910" s="1" t="s">
        <v>15</v>
      </c>
      <c r="J910" s="1" t="str">
        <f t="shared" si="28"/>
        <v>delivered</v>
      </c>
      <c r="K910" s="1" t="str">
        <f>_xlfn.XLOOKUP(C910, 'Product Catalog'!$A:$A, 'Product Catalog'!$B:$B, "Unknown Product")</f>
        <v>VPN 6-Month Pass Model D29</v>
      </c>
      <c r="L910" s="1" t="str">
        <f>_xlfn.XLOOKUP(C910, 'Product Catalog'!$A:$A, 'Product Catalog'!$C:$C, "Unknown Category")</f>
        <v>Digital Services</v>
      </c>
      <c r="M910" s="1">
        <f>_xlfn.XLOOKUP(C910, 'Product Catalog'!$A:$A, 'Product Catalog'!$D:$D, 0)</f>
        <v>10.97</v>
      </c>
      <c r="N910" s="1">
        <f t="shared" si="29"/>
        <v>10.97</v>
      </c>
    </row>
    <row r="911" spans="1:14" x14ac:dyDescent="0.3">
      <c r="A911" s="1" t="s">
        <v>1373</v>
      </c>
      <c r="B911" s="1" t="s">
        <v>1026</v>
      </c>
      <c r="C911" s="1" t="s">
        <v>522</v>
      </c>
      <c r="D911" s="1">
        <v>4</v>
      </c>
      <c r="E911" s="12">
        <v>45915.811805555553</v>
      </c>
      <c r="F911" s="1" t="s">
        <v>170</v>
      </c>
      <c r="G911" s="1" t="s">
        <v>31</v>
      </c>
      <c r="H911" s="1" t="s">
        <v>41</v>
      </c>
      <c r="I911" s="1" t="s">
        <v>56</v>
      </c>
      <c r="J911" s="1" t="str">
        <f t="shared" si="28"/>
        <v>cancelled</v>
      </c>
      <c r="K911" s="1" t="str">
        <f>_xlfn.XLOOKUP(C911, 'Product Catalog'!$A:$A, 'Product Catalog'!$B:$B, "Unknown Product")</f>
        <v>Leather Handbag Model F5</v>
      </c>
      <c r="L911" s="1" t="str">
        <f>_xlfn.XLOOKUP(C911, 'Product Catalog'!$A:$A, 'Product Catalog'!$C:$C, "Unknown Category")</f>
        <v>Luxury Goods</v>
      </c>
      <c r="M911" s="1">
        <f>_xlfn.XLOOKUP(C911, 'Product Catalog'!$A:$A, 'Product Catalog'!$D:$D, 0)</f>
        <v>1875.24</v>
      </c>
      <c r="N911" s="1">
        <f t="shared" si="29"/>
        <v>7500.96</v>
      </c>
    </row>
    <row r="912" spans="1:14" x14ac:dyDescent="0.3">
      <c r="A912" s="1" t="s">
        <v>1374</v>
      </c>
      <c r="B912" s="1" t="s">
        <v>280</v>
      </c>
      <c r="C912" s="1" t="s">
        <v>278</v>
      </c>
      <c r="D912" s="1">
        <v>1</v>
      </c>
      <c r="E912" s="12">
        <v>45922.8125</v>
      </c>
      <c r="F912" s="1" t="s">
        <v>12</v>
      </c>
      <c r="G912" s="1" t="s">
        <v>20</v>
      </c>
      <c r="H912" s="1" t="s">
        <v>24</v>
      </c>
      <c r="I912" s="1" t="s">
        <v>15</v>
      </c>
      <c r="J912" s="1" t="str">
        <f t="shared" si="28"/>
        <v>delivered</v>
      </c>
      <c r="K912" s="1" t="str">
        <f>_xlfn.XLOOKUP(C912, 'Product Catalog'!$A:$A, 'Product Catalog'!$B:$B, "Unknown Product")</f>
        <v>Premium Stream 1M Model L115</v>
      </c>
      <c r="L912" s="1" t="str">
        <f>_xlfn.XLOOKUP(C912, 'Product Catalog'!$A:$A, 'Product Catalog'!$C:$C, "Unknown Category")</f>
        <v>Digital Services</v>
      </c>
      <c r="M912" s="1">
        <f>_xlfn.XLOOKUP(C912, 'Product Catalog'!$A:$A, 'Product Catalog'!$D:$D, 0)</f>
        <v>62.86</v>
      </c>
      <c r="N912" s="1">
        <f t="shared" si="29"/>
        <v>62.86</v>
      </c>
    </row>
    <row r="913" spans="1:14" x14ac:dyDescent="0.3">
      <c r="A913" s="1" t="s">
        <v>1375</v>
      </c>
      <c r="B913" s="1" t="s">
        <v>891</v>
      </c>
      <c r="C913" s="1" t="s">
        <v>143</v>
      </c>
      <c r="D913" s="1">
        <v>5</v>
      </c>
      <c r="E913" s="12">
        <v>46004.881944444445</v>
      </c>
      <c r="F913" s="1" t="s">
        <v>19</v>
      </c>
      <c r="G913" s="1" t="s">
        <v>20</v>
      </c>
      <c r="H913" s="1" t="s">
        <v>41</v>
      </c>
      <c r="I913" s="1" t="s">
        <v>81</v>
      </c>
      <c r="J913" s="1" t="str">
        <f t="shared" si="28"/>
        <v>REFUNDED</v>
      </c>
      <c r="K913" s="1" t="str">
        <f>_xlfn.XLOOKUP(C913, 'Product Catalog'!$A:$A, 'Product Catalog'!$B:$B, "Unknown Product")</f>
        <v>Designer Watch Model D3</v>
      </c>
      <c r="L913" s="1" t="str">
        <f>_xlfn.XLOOKUP(C913, 'Product Catalog'!$A:$A, 'Product Catalog'!$C:$C, "Unknown Category")</f>
        <v>Luxury Goods</v>
      </c>
      <c r="M913" s="1">
        <f>_xlfn.XLOOKUP(C913, 'Product Catalog'!$A:$A, 'Product Catalog'!$D:$D, 0)</f>
        <v>1599.08</v>
      </c>
      <c r="N913" s="1">
        <f t="shared" si="29"/>
        <v>7995.4</v>
      </c>
    </row>
    <row r="914" spans="1:14" x14ac:dyDescent="0.3">
      <c r="A914" s="1" t="s">
        <v>1376</v>
      </c>
      <c r="B914" s="1" t="s">
        <v>1233</v>
      </c>
      <c r="C914" s="1" t="s">
        <v>560</v>
      </c>
      <c r="D914" s="1">
        <v>5</v>
      </c>
      <c r="E914" s="12">
        <v>45733.17083333333</v>
      </c>
      <c r="F914" s="1" t="s">
        <v>12</v>
      </c>
      <c r="G914" s="1" t="s">
        <v>50</v>
      </c>
      <c r="H914" s="1" t="s">
        <v>55</v>
      </c>
      <c r="I914" s="1" t="s">
        <v>81</v>
      </c>
      <c r="J914" s="1" t="str">
        <f t="shared" si="28"/>
        <v>REFUNDED</v>
      </c>
      <c r="K914" s="1" t="str">
        <f>_xlfn.XLOOKUP(C914, 'Product Catalog'!$A:$A, 'Product Catalog'!$B:$B, "Unknown Product")</f>
        <v>Cloud Storage Basic Model P41</v>
      </c>
      <c r="L914" s="1" t="str">
        <f>_xlfn.XLOOKUP(C914, 'Product Catalog'!$A:$A, 'Product Catalog'!$C:$C, "Unknown Category")</f>
        <v>Digital Services</v>
      </c>
      <c r="M914" s="1">
        <f>_xlfn.XLOOKUP(C914, 'Product Catalog'!$A:$A, 'Product Catalog'!$D:$D, 0)</f>
        <v>96.93</v>
      </c>
      <c r="N914" s="1">
        <f t="shared" si="29"/>
        <v>484.65000000000003</v>
      </c>
    </row>
    <row r="915" spans="1:14" x14ac:dyDescent="0.3">
      <c r="A915" s="1" t="s">
        <v>1377</v>
      </c>
      <c r="B915" s="1" t="s">
        <v>124</v>
      </c>
      <c r="C915" s="1" t="s">
        <v>296</v>
      </c>
      <c r="D915" s="1">
        <v>1</v>
      </c>
      <c r="E915" s="12">
        <v>45887.245833333334</v>
      </c>
      <c r="F915" s="1" t="s">
        <v>19</v>
      </c>
      <c r="G915" s="1" t="s">
        <v>13</v>
      </c>
      <c r="H915" s="1" t="s">
        <v>41</v>
      </c>
      <c r="I915" s="1" t="s">
        <v>15</v>
      </c>
      <c r="J915" s="1" t="str">
        <f t="shared" si="28"/>
        <v>delivered</v>
      </c>
      <c r="K915" s="1" t="str">
        <f>_xlfn.XLOOKUP(C915, 'Product Catalog'!$A:$A, 'Product Catalog'!$B:$B, "Unknown Product")</f>
        <v>Socks Model K62</v>
      </c>
      <c r="L915" s="1" t="str">
        <f>_xlfn.XLOOKUP(C915, 'Product Catalog'!$A:$A, 'Product Catalog'!$C:$C, "Unknown Category")</f>
        <v>Apparel</v>
      </c>
      <c r="M915" s="1">
        <f>_xlfn.XLOOKUP(C915, 'Product Catalog'!$A:$A, 'Product Catalog'!$D:$D, 0)</f>
        <v>63.42</v>
      </c>
      <c r="N915" s="1">
        <f t="shared" si="29"/>
        <v>63.42</v>
      </c>
    </row>
    <row r="916" spans="1:14" x14ac:dyDescent="0.3">
      <c r="A916" s="1" t="s">
        <v>1378</v>
      </c>
      <c r="B916" s="1" t="s">
        <v>609</v>
      </c>
      <c r="C916" s="1" t="s">
        <v>275</v>
      </c>
      <c r="D916" s="1">
        <v>2</v>
      </c>
      <c r="E916" s="12">
        <v>45743.300694444442</v>
      </c>
      <c r="F916" s="1" t="s">
        <v>12</v>
      </c>
      <c r="G916" s="1" t="s">
        <v>13</v>
      </c>
      <c r="H916" s="1" t="s">
        <v>24</v>
      </c>
      <c r="I916" s="1" t="s">
        <v>15</v>
      </c>
      <c r="J916" s="1" t="str">
        <f t="shared" si="28"/>
        <v>delivered</v>
      </c>
      <c r="K916" s="1" t="str">
        <f>_xlfn.XLOOKUP(C916, 'Product Catalog'!$A:$A, 'Product Catalog'!$B:$B, "Unknown Product")</f>
        <v>Desk Lamp Model I112</v>
      </c>
      <c r="L916" s="1" t="str">
        <f>_xlfn.XLOOKUP(C916, 'Product Catalog'!$A:$A, 'Product Catalog'!$C:$C, "Unknown Category")</f>
        <v>Home Goods</v>
      </c>
      <c r="M916" s="1">
        <f>_xlfn.XLOOKUP(C916, 'Product Catalog'!$A:$A, 'Product Catalog'!$D:$D, 0)</f>
        <v>70.23</v>
      </c>
      <c r="N916" s="1">
        <f t="shared" si="29"/>
        <v>140.46</v>
      </c>
    </row>
    <row r="917" spans="1:14" x14ac:dyDescent="0.3">
      <c r="A917" s="1" t="s">
        <v>1379</v>
      </c>
      <c r="B917" s="1" t="s">
        <v>1380</v>
      </c>
      <c r="C917" s="1" t="s">
        <v>160</v>
      </c>
      <c r="D917" s="1">
        <v>2</v>
      </c>
      <c r="E917" s="12">
        <v>45756.179166666669</v>
      </c>
      <c r="F917" s="1" t="s">
        <v>19</v>
      </c>
      <c r="G917" s="1" t="s">
        <v>13</v>
      </c>
      <c r="H917" s="1" t="s">
        <v>41</v>
      </c>
      <c r="I917" s="1" t="s">
        <v>15</v>
      </c>
      <c r="J917" s="1" t="str">
        <f t="shared" si="28"/>
        <v>delivered</v>
      </c>
      <c r="K917" s="1" t="str">
        <f>_xlfn.XLOOKUP(C917, 'Product Catalog'!$A:$A, 'Product Catalog'!$B:$B, "Unknown Product")</f>
        <v>Socks Model T149</v>
      </c>
      <c r="L917" s="1" t="str">
        <f>_xlfn.XLOOKUP(C917, 'Product Catalog'!$A:$A, 'Product Catalog'!$C:$C, "Unknown Category")</f>
        <v>Apparel</v>
      </c>
      <c r="M917" s="1">
        <f>_xlfn.XLOOKUP(C917, 'Product Catalog'!$A:$A, 'Product Catalog'!$D:$D, 0)</f>
        <v>45.95</v>
      </c>
      <c r="N917" s="1">
        <f t="shared" si="29"/>
        <v>91.9</v>
      </c>
    </row>
    <row r="918" spans="1:14" x14ac:dyDescent="0.3">
      <c r="A918" s="1" t="s">
        <v>1381</v>
      </c>
      <c r="B918" s="1" t="s">
        <v>761</v>
      </c>
      <c r="C918" s="1" t="s">
        <v>339</v>
      </c>
      <c r="D918" s="1">
        <v>1</v>
      </c>
      <c r="E918" s="12">
        <v>45679.602083333331</v>
      </c>
      <c r="F918" s="1" t="s">
        <v>19</v>
      </c>
      <c r="G918" s="1" t="s">
        <v>46</v>
      </c>
      <c r="H918" s="1" t="s">
        <v>14</v>
      </c>
      <c r="I918" s="1" t="s">
        <v>15</v>
      </c>
      <c r="J918" s="1" t="str">
        <f t="shared" si="28"/>
        <v>delivered</v>
      </c>
      <c r="K918" s="1" t="str">
        <f>_xlfn.XLOOKUP(C918, 'Product Catalog'!$A:$A, 'Product Catalog'!$B:$B, "Unknown Product")</f>
        <v>E-Book Access Model K114</v>
      </c>
      <c r="L918" s="1" t="str">
        <f>_xlfn.XLOOKUP(C918, 'Product Catalog'!$A:$A, 'Product Catalog'!$C:$C, "Unknown Category")</f>
        <v>Digital Services</v>
      </c>
      <c r="M918" s="1">
        <f>_xlfn.XLOOKUP(C918, 'Product Catalog'!$A:$A, 'Product Catalog'!$D:$D, 0)</f>
        <v>57.11</v>
      </c>
      <c r="N918" s="1">
        <f t="shared" si="29"/>
        <v>57.11</v>
      </c>
    </row>
    <row r="919" spans="1:14" x14ac:dyDescent="0.3">
      <c r="A919" s="1" t="s">
        <v>1382</v>
      </c>
      <c r="B919" s="1" t="s">
        <v>300</v>
      </c>
      <c r="C919" s="1" t="s">
        <v>407</v>
      </c>
      <c r="D919" s="1">
        <v>2</v>
      </c>
      <c r="E919" s="12">
        <v>45698.97152777778</v>
      </c>
      <c r="F919" s="1" t="s">
        <v>19</v>
      </c>
      <c r="G919" s="1" t="s">
        <v>31</v>
      </c>
      <c r="H919" s="1" t="s">
        <v>41</v>
      </c>
      <c r="I919" s="1" t="s">
        <v>15</v>
      </c>
      <c r="J919" s="1" t="str">
        <f t="shared" si="28"/>
        <v>delivered</v>
      </c>
      <c r="K919" s="1" t="str">
        <f>_xlfn.XLOOKUP(C919, 'Product Catalog'!$A:$A, 'Product Catalog'!$B:$B, "Unknown Product")</f>
        <v>Desk Lamp Model K10</v>
      </c>
      <c r="L919" s="1" t="str">
        <f>_xlfn.XLOOKUP(C919, 'Product Catalog'!$A:$A, 'Product Catalog'!$C:$C, "Unknown Category")</f>
        <v>Home Goods</v>
      </c>
      <c r="M919" s="1">
        <f>_xlfn.XLOOKUP(C919, 'Product Catalog'!$A:$A, 'Product Catalog'!$D:$D, 0)</f>
        <v>62.32</v>
      </c>
      <c r="N919" s="1">
        <f t="shared" si="29"/>
        <v>124.64</v>
      </c>
    </row>
    <row r="920" spans="1:14" x14ac:dyDescent="0.3">
      <c r="A920" s="1" t="s">
        <v>1383</v>
      </c>
      <c r="B920" s="1" t="s">
        <v>1132</v>
      </c>
      <c r="C920" s="1" t="s">
        <v>485</v>
      </c>
      <c r="D920" s="1">
        <v>1</v>
      </c>
      <c r="E920" s="12">
        <v>45880.286805555559</v>
      </c>
      <c r="F920" s="1" t="s">
        <v>12</v>
      </c>
      <c r="G920" s="1" t="s">
        <v>20</v>
      </c>
      <c r="H920" s="1" t="s">
        <v>14</v>
      </c>
      <c r="I920" s="1" t="s">
        <v>32</v>
      </c>
      <c r="J920" s="1" t="str">
        <f t="shared" si="28"/>
        <v>SHIPPED</v>
      </c>
      <c r="K920" s="1" t="str">
        <f>_xlfn.XLOOKUP(C920, 'Product Catalog'!$A:$A, 'Product Catalog'!$B:$B, "Unknown Product")</f>
        <v>Smartwatch Model K140</v>
      </c>
      <c r="L920" s="1" t="str">
        <f>_xlfn.XLOOKUP(C920, 'Product Catalog'!$A:$A, 'Product Catalog'!$C:$C, "Unknown Category")</f>
        <v>Electronics</v>
      </c>
      <c r="M920" s="1">
        <f>_xlfn.XLOOKUP(C920, 'Product Catalog'!$A:$A, 'Product Catalog'!$D:$D, 0)</f>
        <v>221.95</v>
      </c>
      <c r="N920" s="1">
        <f t="shared" si="29"/>
        <v>221.95</v>
      </c>
    </row>
    <row r="921" spans="1:14" x14ac:dyDescent="0.3">
      <c r="A921" s="1" t="s">
        <v>1384</v>
      </c>
      <c r="B921" s="1" t="s">
        <v>683</v>
      </c>
      <c r="C921" s="1" t="s">
        <v>415</v>
      </c>
      <c r="D921" s="1">
        <v>1</v>
      </c>
      <c r="E921" s="12">
        <v>45979.209722222222</v>
      </c>
      <c r="F921" s="1" t="s">
        <v>19</v>
      </c>
      <c r="G921" s="1" t="s">
        <v>31</v>
      </c>
      <c r="H921" s="1" t="s">
        <v>41</v>
      </c>
      <c r="I921" s="1" t="s">
        <v>15</v>
      </c>
      <c r="J921" s="1" t="str">
        <f t="shared" si="28"/>
        <v>delivered</v>
      </c>
      <c r="K921" s="1" t="str">
        <f>_xlfn.XLOOKUP(C921, 'Product Catalog'!$A:$A, 'Product Catalog'!$B:$B, "Unknown Product")</f>
        <v>Premium Stream 1M Model S148</v>
      </c>
      <c r="L921" s="1" t="str">
        <f>_xlfn.XLOOKUP(C921, 'Product Catalog'!$A:$A, 'Product Catalog'!$C:$C, "Unknown Category")</f>
        <v>Digital Services</v>
      </c>
      <c r="M921" s="1">
        <f>_xlfn.XLOOKUP(C921, 'Product Catalog'!$A:$A, 'Product Catalog'!$D:$D, 0)</f>
        <v>9.73</v>
      </c>
      <c r="N921" s="1">
        <f t="shared" si="29"/>
        <v>9.73</v>
      </c>
    </row>
    <row r="922" spans="1:14" x14ac:dyDescent="0.3">
      <c r="A922" s="1" t="s">
        <v>1385</v>
      </c>
      <c r="B922" s="1" t="s">
        <v>187</v>
      </c>
      <c r="C922" s="1" t="s">
        <v>30</v>
      </c>
      <c r="D922" s="1">
        <v>1</v>
      </c>
      <c r="E922" s="12">
        <v>45962.366666666669</v>
      </c>
      <c r="F922" s="1" t="s">
        <v>12</v>
      </c>
      <c r="G922" s="1" t="s">
        <v>20</v>
      </c>
      <c r="H922" s="1" t="s">
        <v>14</v>
      </c>
      <c r="I922" s="1" t="s">
        <v>102</v>
      </c>
      <c r="J922" s="1" t="str">
        <f t="shared" si="28"/>
        <v>disputed</v>
      </c>
      <c r="K922" s="1" t="str">
        <f>_xlfn.XLOOKUP(C922, 'Product Catalog'!$A:$A, 'Product Catalog'!$B:$B, "Unknown Product")</f>
        <v>VPN 6-Month Pass Model B131</v>
      </c>
      <c r="L922" s="1" t="str">
        <f>_xlfn.XLOOKUP(C922, 'Product Catalog'!$A:$A, 'Product Catalog'!$C:$C, "Unknown Category")</f>
        <v>Digital Services</v>
      </c>
      <c r="M922" s="1">
        <f>_xlfn.XLOOKUP(C922, 'Product Catalog'!$A:$A, 'Product Catalog'!$D:$D, 0)</f>
        <v>46.92</v>
      </c>
      <c r="N922" s="1">
        <f t="shared" si="29"/>
        <v>46.92</v>
      </c>
    </row>
    <row r="923" spans="1:14" x14ac:dyDescent="0.3">
      <c r="A923" s="1" t="s">
        <v>1386</v>
      </c>
      <c r="B923" s="1" t="s">
        <v>26</v>
      </c>
      <c r="C923" s="1" t="s">
        <v>35</v>
      </c>
      <c r="D923" s="1">
        <v>1</v>
      </c>
      <c r="E923" s="12">
        <v>45821.095138888886</v>
      </c>
      <c r="F923" s="1" t="s">
        <v>12</v>
      </c>
      <c r="G923" s="1" t="s">
        <v>50</v>
      </c>
      <c r="H923" s="1" t="s">
        <v>55</v>
      </c>
      <c r="I923" s="1" t="s">
        <v>56</v>
      </c>
      <c r="J923" s="1" t="str">
        <f t="shared" si="28"/>
        <v>cancelled</v>
      </c>
      <c r="K923" s="1" t="str">
        <f>_xlfn.XLOOKUP(C923, 'Product Catalog'!$A:$A, 'Product Catalog'!$B:$B, "Unknown Product")</f>
        <v>Blender Model W74</v>
      </c>
      <c r="L923" s="1" t="str">
        <f>_xlfn.XLOOKUP(C923, 'Product Catalog'!$A:$A, 'Product Catalog'!$C:$C, "Unknown Category")</f>
        <v>Home Goods</v>
      </c>
      <c r="M923" s="1">
        <f>_xlfn.XLOOKUP(C923, 'Product Catalog'!$A:$A, 'Product Catalog'!$D:$D, 0)</f>
        <v>127.16</v>
      </c>
      <c r="N923" s="1">
        <f t="shared" si="29"/>
        <v>127.16</v>
      </c>
    </row>
    <row r="924" spans="1:14" x14ac:dyDescent="0.3">
      <c r="A924" s="1" t="s">
        <v>1387</v>
      </c>
      <c r="B924" s="1" t="s">
        <v>187</v>
      </c>
      <c r="C924" s="1" t="s">
        <v>633</v>
      </c>
      <c r="D924" s="1">
        <v>1</v>
      </c>
      <c r="E924" s="12">
        <v>45702.551388888889</v>
      </c>
      <c r="F924" s="1" t="s">
        <v>12</v>
      </c>
      <c r="G924" s="1" t="s">
        <v>46</v>
      </c>
      <c r="H924" s="1" t="s">
        <v>41</v>
      </c>
      <c r="I924" s="1" t="s">
        <v>15</v>
      </c>
      <c r="J924" s="1" t="str">
        <f t="shared" si="28"/>
        <v>delivered</v>
      </c>
      <c r="K924" s="1" t="str">
        <f>_xlfn.XLOOKUP(C924, 'Product Catalog'!$A:$A, 'Product Catalog'!$B:$B, "Unknown Product")</f>
        <v>Keyboard Model X49</v>
      </c>
      <c r="L924" s="1" t="str">
        <f>_xlfn.XLOOKUP(C924, 'Product Catalog'!$A:$A, 'Product Catalog'!$C:$C, "Unknown Category")</f>
        <v>Electronics</v>
      </c>
      <c r="M924" s="1">
        <f>_xlfn.XLOOKUP(C924, 'Product Catalog'!$A:$A, 'Product Catalog'!$D:$D, 0)</f>
        <v>30.84</v>
      </c>
      <c r="N924" s="1">
        <f t="shared" si="29"/>
        <v>30.84</v>
      </c>
    </row>
    <row r="925" spans="1:14" x14ac:dyDescent="0.3">
      <c r="A925" s="1" t="s">
        <v>1388</v>
      </c>
      <c r="B925" s="1" t="s">
        <v>891</v>
      </c>
      <c r="C925" s="1" t="s">
        <v>192</v>
      </c>
      <c r="D925" s="1">
        <v>1</v>
      </c>
      <c r="E925" s="12">
        <v>45942.564583333333</v>
      </c>
      <c r="F925" s="1" t="s">
        <v>19</v>
      </c>
      <c r="G925" s="1" t="s">
        <v>20</v>
      </c>
      <c r="H925" s="1" t="s">
        <v>41</v>
      </c>
      <c r="I925" s="1" t="s">
        <v>81</v>
      </c>
      <c r="J925" s="1" t="str">
        <f t="shared" si="28"/>
        <v>REFUNDED</v>
      </c>
      <c r="K925" s="1" t="str">
        <f>_xlfn.XLOOKUP(C925, 'Product Catalog'!$A:$A, 'Product Catalog'!$B:$B, "Unknown Product")</f>
        <v>Leather Handbag Model R69</v>
      </c>
      <c r="L925" s="1" t="str">
        <f>_xlfn.XLOOKUP(C925, 'Product Catalog'!$A:$A, 'Product Catalog'!$C:$C, "Unknown Category")</f>
        <v>Luxury Goods</v>
      </c>
      <c r="M925" s="1">
        <f>_xlfn.XLOOKUP(C925, 'Product Catalog'!$A:$A, 'Product Catalog'!$D:$D, 0)</f>
        <v>425.14</v>
      </c>
      <c r="N925" s="1">
        <f t="shared" si="29"/>
        <v>425.14</v>
      </c>
    </row>
    <row r="926" spans="1:14" x14ac:dyDescent="0.3">
      <c r="A926" s="1" t="s">
        <v>1389</v>
      </c>
      <c r="B926" s="1" t="s">
        <v>589</v>
      </c>
      <c r="C926" s="1" t="s">
        <v>542</v>
      </c>
      <c r="D926" s="1">
        <v>4</v>
      </c>
      <c r="E926" s="12">
        <v>45940.463194444441</v>
      </c>
      <c r="F926" s="1" t="s">
        <v>39</v>
      </c>
      <c r="G926" s="1" t="s">
        <v>50</v>
      </c>
      <c r="H926" s="1" t="s">
        <v>51</v>
      </c>
      <c r="I926" s="1" t="s">
        <v>56</v>
      </c>
      <c r="J926" s="1" t="str">
        <f t="shared" si="28"/>
        <v>cancelled</v>
      </c>
      <c r="K926" s="1" t="str">
        <f>_xlfn.XLOOKUP(C926, 'Product Catalog'!$A:$A, 'Product Catalog'!$B:$B, "Unknown Product")</f>
        <v>Cable Model M38</v>
      </c>
      <c r="L926" s="1" t="str">
        <f>_xlfn.XLOOKUP(C926, 'Product Catalog'!$A:$A, 'Product Catalog'!$C:$C, "Unknown Category")</f>
        <v>Electronics</v>
      </c>
      <c r="M926" s="1">
        <f>_xlfn.XLOOKUP(C926, 'Product Catalog'!$A:$A, 'Product Catalog'!$D:$D, 0)</f>
        <v>91.18</v>
      </c>
      <c r="N926" s="1">
        <f t="shared" si="29"/>
        <v>364.72</v>
      </c>
    </row>
    <row r="927" spans="1:14" x14ac:dyDescent="0.3">
      <c r="A927" s="1" t="s">
        <v>1390</v>
      </c>
      <c r="B927" s="1" t="s">
        <v>1391</v>
      </c>
      <c r="C927" s="1" t="s">
        <v>377</v>
      </c>
      <c r="D927" s="1">
        <v>4</v>
      </c>
      <c r="E927" s="12">
        <v>45799.738888888889</v>
      </c>
      <c r="F927" s="1" t="s">
        <v>170</v>
      </c>
      <c r="G927" s="1" t="s">
        <v>40</v>
      </c>
      <c r="H927" s="1" t="s">
        <v>51</v>
      </c>
      <c r="I927" s="1" t="s">
        <v>56</v>
      </c>
      <c r="J927" s="1" t="str">
        <f t="shared" si="28"/>
        <v>cancelled</v>
      </c>
      <c r="K927" s="1" t="str">
        <f>_xlfn.XLOOKUP(C927, 'Product Catalog'!$A:$A, 'Product Catalog'!$B:$B, "Unknown Product")</f>
        <v>Mouse Model J61</v>
      </c>
      <c r="L927" s="1" t="str">
        <f>_xlfn.XLOOKUP(C927, 'Product Catalog'!$A:$A, 'Product Catalog'!$C:$C, "Unknown Category")</f>
        <v>Electronics</v>
      </c>
      <c r="M927" s="1">
        <f>_xlfn.XLOOKUP(C927, 'Product Catalog'!$A:$A, 'Product Catalog'!$D:$D, 0)</f>
        <v>232.7</v>
      </c>
      <c r="N927" s="1">
        <f t="shared" si="29"/>
        <v>930.8</v>
      </c>
    </row>
    <row r="928" spans="1:14" x14ac:dyDescent="0.3">
      <c r="A928" s="1" t="s">
        <v>1392</v>
      </c>
      <c r="B928" s="1" t="s">
        <v>169</v>
      </c>
      <c r="C928" s="1" t="s">
        <v>108</v>
      </c>
      <c r="D928" s="1">
        <v>1</v>
      </c>
      <c r="E928" s="12">
        <v>45892.017361111109</v>
      </c>
      <c r="F928" s="1" t="s">
        <v>19</v>
      </c>
      <c r="G928" s="1" t="s">
        <v>13</v>
      </c>
      <c r="H928" s="1" t="s">
        <v>14</v>
      </c>
      <c r="I928" s="1" t="s">
        <v>32</v>
      </c>
      <c r="J928" s="1" t="str">
        <f t="shared" si="28"/>
        <v>SHIPPED</v>
      </c>
      <c r="K928" s="1" t="str">
        <f>_xlfn.XLOOKUP(C928, 'Product Catalog'!$A:$A, 'Product Catalog'!$B:$B, "Unknown Product")</f>
        <v>Smartwatch Model H7</v>
      </c>
      <c r="L928" s="1" t="str">
        <f>_xlfn.XLOOKUP(C928, 'Product Catalog'!$A:$A, 'Product Catalog'!$C:$C, "Unknown Category")</f>
        <v>Electronics</v>
      </c>
      <c r="M928" s="1">
        <f>_xlfn.XLOOKUP(C928, 'Product Catalog'!$A:$A, 'Product Catalog'!$D:$D, 0)</f>
        <v>204.37</v>
      </c>
      <c r="N928" s="1">
        <f t="shared" si="29"/>
        <v>204.37</v>
      </c>
    </row>
    <row r="929" spans="1:14" x14ac:dyDescent="0.3">
      <c r="A929" s="1" t="s">
        <v>1393</v>
      </c>
      <c r="B929" s="1" t="s">
        <v>660</v>
      </c>
      <c r="C929" s="1" t="s">
        <v>359</v>
      </c>
      <c r="D929" s="1">
        <v>1</v>
      </c>
      <c r="E929" s="12">
        <v>46016.886111111111</v>
      </c>
      <c r="F929" s="1" t="s">
        <v>12</v>
      </c>
      <c r="G929" s="1" t="s">
        <v>31</v>
      </c>
      <c r="H929" s="1" t="s">
        <v>24</v>
      </c>
      <c r="I929" s="1" t="s">
        <v>15</v>
      </c>
      <c r="J929" s="1" t="str">
        <f t="shared" si="28"/>
        <v>delivered</v>
      </c>
      <c r="K929" s="1" t="str">
        <f>_xlfn.XLOOKUP(C929, 'Product Catalog'!$A:$A, 'Product Catalog'!$B:$B, "Unknown Product")</f>
        <v>Hoodie Model H111</v>
      </c>
      <c r="L929" s="1" t="str">
        <f>_xlfn.XLOOKUP(C929, 'Product Catalog'!$A:$A, 'Product Catalog'!$C:$C, "Unknown Category")</f>
        <v>Apparel</v>
      </c>
      <c r="M929" s="1">
        <f>_xlfn.XLOOKUP(C929, 'Product Catalog'!$A:$A, 'Product Catalog'!$D:$D, 0)</f>
        <v>57.44</v>
      </c>
      <c r="N929" s="1">
        <f t="shared" si="29"/>
        <v>57.44</v>
      </c>
    </row>
    <row r="930" spans="1:14" x14ac:dyDescent="0.3">
      <c r="A930" s="1" t="s">
        <v>1394</v>
      </c>
      <c r="B930" s="1" t="s">
        <v>347</v>
      </c>
      <c r="C930" s="1" t="s">
        <v>200</v>
      </c>
      <c r="D930" s="1">
        <v>1</v>
      </c>
      <c r="E930" s="12">
        <v>45958.743055555555</v>
      </c>
      <c r="F930" s="1" t="s">
        <v>170</v>
      </c>
      <c r="G930" s="1" t="s">
        <v>40</v>
      </c>
      <c r="H930" s="1" t="s">
        <v>41</v>
      </c>
      <c r="I930" s="1" t="s">
        <v>42</v>
      </c>
      <c r="J930" s="1" t="str">
        <f t="shared" si="28"/>
        <v>PENDING_REVIEW</v>
      </c>
      <c r="K930" s="1" t="str">
        <f>_xlfn.XLOOKUP(C930, 'Product Catalog'!$A:$A, 'Product Catalog'!$B:$B, "Unknown Product")</f>
        <v>Socks Model G58</v>
      </c>
      <c r="L930" s="1" t="str">
        <f>_xlfn.XLOOKUP(C930, 'Product Catalog'!$A:$A, 'Product Catalog'!$C:$C, "Unknown Category")</f>
        <v>Apparel</v>
      </c>
      <c r="M930" s="1">
        <f>_xlfn.XLOOKUP(C930, 'Product Catalog'!$A:$A, 'Product Catalog'!$D:$D, 0)</f>
        <v>30.18</v>
      </c>
      <c r="N930" s="1">
        <f t="shared" si="29"/>
        <v>30.18</v>
      </c>
    </row>
    <row r="931" spans="1:14" x14ac:dyDescent="0.3">
      <c r="A931" s="1" t="s">
        <v>1395</v>
      </c>
      <c r="B931" s="1" t="s">
        <v>461</v>
      </c>
      <c r="C931" s="1" t="s">
        <v>782</v>
      </c>
      <c r="D931" s="1">
        <v>1</v>
      </c>
      <c r="E931" s="12">
        <v>45872.159722222219</v>
      </c>
      <c r="F931" s="1" t="s">
        <v>19</v>
      </c>
      <c r="G931" s="1" t="s">
        <v>31</v>
      </c>
      <c r="H931" s="1" t="s">
        <v>24</v>
      </c>
      <c r="I931" s="1" t="s">
        <v>15</v>
      </c>
      <c r="J931" s="1" t="str">
        <f t="shared" si="28"/>
        <v>delivered</v>
      </c>
      <c r="K931" s="1" t="str">
        <f>_xlfn.XLOOKUP(C931, 'Product Catalog'!$A:$A, 'Product Catalog'!$B:$B, "Unknown Product")</f>
        <v>Headphones Model V47</v>
      </c>
      <c r="L931" s="1" t="str">
        <f>_xlfn.XLOOKUP(C931, 'Product Catalog'!$A:$A, 'Product Catalog'!$C:$C, "Unknown Category")</f>
        <v>Electronics</v>
      </c>
      <c r="M931" s="1">
        <f>_xlfn.XLOOKUP(C931, 'Product Catalog'!$A:$A, 'Product Catalog'!$D:$D, 0)</f>
        <v>19.940000000000001</v>
      </c>
      <c r="N931" s="1">
        <f t="shared" si="29"/>
        <v>19.940000000000001</v>
      </c>
    </row>
    <row r="932" spans="1:14" x14ac:dyDescent="0.3">
      <c r="A932" s="1" t="s">
        <v>1396</v>
      </c>
      <c r="B932" s="1" t="s">
        <v>886</v>
      </c>
      <c r="C932" s="1" t="s">
        <v>636</v>
      </c>
      <c r="D932" s="1">
        <v>4</v>
      </c>
      <c r="E932" s="12">
        <v>45870.212500000001</v>
      </c>
      <c r="F932" s="1" t="s">
        <v>39</v>
      </c>
      <c r="G932" s="1" t="s">
        <v>46</v>
      </c>
      <c r="H932" s="1" t="s">
        <v>41</v>
      </c>
      <c r="I932" s="1" t="s">
        <v>56</v>
      </c>
      <c r="J932" s="1" t="str">
        <f t="shared" si="28"/>
        <v>cancelled</v>
      </c>
      <c r="K932" s="1" t="str">
        <f>_xlfn.XLOOKUP(C932, 'Product Catalog'!$A:$A, 'Product Catalog'!$B:$B, "Unknown Product")</f>
        <v>Leather Handbag Model O92</v>
      </c>
      <c r="L932" s="1" t="str">
        <f>_xlfn.XLOOKUP(C932, 'Product Catalog'!$A:$A, 'Product Catalog'!$C:$C, "Unknown Category")</f>
        <v>Luxury Goods</v>
      </c>
      <c r="M932" s="1">
        <f>_xlfn.XLOOKUP(C932, 'Product Catalog'!$A:$A, 'Product Catalog'!$D:$D, 0)</f>
        <v>1245.53</v>
      </c>
      <c r="N932" s="1">
        <f t="shared" si="29"/>
        <v>4982.12</v>
      </c>
    </row>
    <row r="933" spans="1:14" x14ac:dyDescent="0.3">
      <c r="A933" s="1" t="s">
        <v>1397</v>
      </c>
      <c r="B933" s="1" t="s">
        <v>768</v>
      </c>
      <c r="C933" s="1" t="s">
        <v>275</v>
      </c>
      <c r="D933" s="1">
        <v>1</v>
      </c>
      <c r="E933" s="12">
        <v>45733.805555555555</v>
      </c>
      <c r="F933" s="1" t="s">
        <v>170</v>
      </c>
      <c r="G933" s="1" t="s">
        <v>40</v>
      </c>
      <c r="H933" s="1" t="s">
        <v>41</v>
      </c>
      <c r="I933" s="1" t="s">
        <v>81</v>
      </c>
      <c r="J933" s="1" t="str">
        <f t="shared" si="28"/>
        <v>REFUNDED</v>
      </c>
      <c r="K933" s="1" t="str">
        <f>_xlfn.XLOOKUP(C933, 'Product Catalog'!$A:$A, 'Product Catalog'!$B:$B, "Unknown Product")</f>
        <v>Desk Lamp Model I112</v>
      </c>
      <c r="L933" s="1" t="str">
        <f>_xlfn.XLOOKUP(C933, 'Product Catalog'!$A:$A, 'Product Catalog'!$C:$C, "Unknown Category")</f>
        <v>Home Goods</v>
      </c>
      <c r="M933" s="1">
        <f>_xlfn.XLOOKUP(C933, 'Product Catalog'!$A:$A, 'Product Catalog'!$D:$D, 0)</f>
        <v>70.23</v>
      </c>
      <c r="N933" s="1">
        <f t="shared" si="29"/>
        <v>70.23</v>
      </c>
    </row>
    <row r="934" spans="1:14" x14ac:dyDescent="0.3">
      <c r="A934" s="1" t="s">
        <v>1398</v>
      </c>
      <c r="B934" s="1" t="s">
        <v>1242</v>
      </c>
      <c r="C934" s="1" t="s">
        <v>137</v>
      </c>
      <c r="D934" s="1">
        <v>4</v>
      </c>
      <c r="E934" s="12">
        <v>45959.828472222223</v>
      </c>
      <c r="F934" s="1" t="s">
        <v>19</v>
      </c>
      <c r="G934" s="1" t="s">
        <v>40</v>
      </c>
      <c r="H934" s="1" t="s">
        <v>51</v>
      </c>
      <c r="I934" s="1" t="s">
        <v>102</v>
      </c>
      <c r="J934" s="1" t="str">
        <f t="shared" si="28"/>
        <v>disputed</v>
      </c>
      <c r="K934" s="1" t="str">
        <f>_xlfn.XLOOKUP(C934, 'Product Catalog'!$A:$A, 'Product Catalog'!$B:$B, "Unknown Product")</f>
        <v>VPN 6-Month Pass Model M90</v>
      </c>
      <c r="L934" s="1" t="str">
        <f>_xlfn.XLOOKUP(C934, 'Product Catalog'!$A:$A, 'Product Catalog'!$C:$C, "Unknown Category")</f>
        <v>Digital Services</v>
      </c>
      <c r="M934" s="1">
        <f>_xlfn.XLOOKUP(C934, 'Product Catalog'!$A:$A, 'Product Catalog'!$D:$D, 0)</f>
        <v>5.91</v>
      </c>
      <c r="N934" s="1">
        <f t="shared" si="29"/>
        <v>23.64</v>
      </c>
    </row>
    <row r="935" spans="1:14" x14ac:dyDescent="0.3">
      <c r="A935" s="1" t="s">
        <v>1399</v>
      </c>
      <c r="B935" s="1" t="s">
        <v>376</v>
      </c>
      <c r="C935" s="1" t="s">
        <v>253</v>
      </c>
      <c r="D935" s="1">
        <v>3</v>
      </c>
      <c r="E935" s="12">
        <v>45709.15</v>
      </c>
      <c r="F935" s="1" t="s">
        <v>12</v>
      </c>
      <c r="G935" s="1" t="s">
        <v>109</v>
      </c>
      <c r="H935" s="1" t="s">
        <v>41</v>
      </c>
      <c r="I935" s="1" t="s">
        <v>15</v>
      </c>
      <c r="J935" s="1" t="str">
        <f t="shared" si="28"/>
        <v>delivered</v>
      </c>
      <c r="K935" s="1" t="str">
        <f>_xlfn.XLOOKUP(C935, 'Product Catalog'!$A:$A, 'Product Catalog'!$B:$B, "Unknown Product")</f>
        <v>Hoodie Model B79</v>
      </c>
      <c r="L935" s="1" t="str">
        <f>_xlfn.XLOOKUP(C935, 'Product Catalog'!$A:$A, 'Product Catalog'!$C:$C, "Unknown Category")</f>
        <v>Apparel</v>
      </c>
      <c r="M935" s="1">
        <f>_xlfn.XLOOKUP(C935, 'Product Catalog'!$A:$A, 'Product Catalog'!$D:$D, 0)</f>
        <v>106.9</v>
      </c>
      <c r="N935" s="1">
        <f t="shared" si="29"/>
        <v>320.70000000000005</v>
      </c>
    </row>
    <row r="936" spans="1:14" x14ac:dyDescent="0.3">
      <c r="A936" s="1" t="s">
        <v>1400</v>
      </c>
      <c r="B936" s="1" t="s">
        <v>371</v>
      </c>
      <c r="C936" s="1" t="s">
        <v>293</v>
      </c>
      <c r="D936" s="1">
        <v>1</v>
      </c>
      <c r="E936" s="12">
        <v>45946.143055555556</v>
      </c>
      <c r="F936" s="1" t="s">
        <v>12</v>
      </c>
      <c r="G936" s="1" t="s">
        <v>109</v>
      </c>
      <c r="H936" s="1" t="s">
        <v>14</v>
      </c>
      <c r="I936" s="1" t="s">
        <v>15</v>
      </c>
      <c r="J936" s="1" t="str">
        <f t="shared" si="28"/>
        <v>delivered</v>
      </c>
      <c r="K936" s="1" t="str">
        <f>_xlfn.XLOOKUP(C936, 'Product Catalog'!$A:$A, 'Product Catalog'!$B:$B, "Unknown Product")</f>
        <v>Software License Tier A Model C132</v>
      </c>
      <c r="L936" s="1" t="str">
        <f>_xlfn.XLOOKUP(C936, 'Product Catalog'!$A:$A, 'Product Catalog'!$C:$C, "Unknown Category")</f>
        <v>Digital Services</v>
      </c>
      <c r="M936" s="1">
        <f>_xlfn.XLOOKUP(C936, 'Product Catalog'!$A:$A, 'Product Catalog'!$D:$D, 0)</f>
        <v>29.36</v>
      </c>
      <c r="N936" s="1">
        <f t="shared" si="29"/>
        <v>29.36</v>
      </c>
    </row>
    <row r="937" spans="1:14" x14ac:dyDescent="0.3">
      <c r="A937" s="1" t="s">
        <v>1401</v>
      </c>
      <c r="B937" s="1" t="s">
        <v>166</v>
      </c>
      <c r="C937" s="1" t="s">
        <v>268</v>
      </c>
      <c r="D937" s="1">
        <v>1</v>
      </c>
      <c r="E937" s="12">
        <v>45804.761111111111</v>
      </c>
      <c r="F937" s="1" t="s">
        <v>19</v>
      </c>
      <c r="G937" s="1" t="s">
        <v>46</v>
      </c>
      <c r="H937" s="1" t="s">
        <v>14</v>
      </c>
      <c r="I937" s="1" t="s">
        <v>15</v>
      </c>
      <c r="J937" s="1" t="str">
        <f t="shared" si="28"/>
        <v>delivered</v>
      </c>
      <c r="K937" s="1" t="str">
        <f>_xlfn.XLOOKUP(C937, 'Product Catalog'!$A:$A, 'Product Catalog'!$B:$B, "Unknown Product")</f>
        <v>Sneakers Model P119</v>
      </c>
      <c r="L937" s="1" t="str">
        <f>_xlfn.XLOOKUP(C937, 'Product Catalog'!$A:$A, 'Product Catalog'!$C:$C, "Unknown Category")</f>
        <v>Apparel</v>
      </c>
      <c r="M937" s="1">
        <f>_xlfn.XLOOKUP(C937, 'Product Catalog'!$A:$A, 'Product Catalog'!$D:$D, 0)</f>
        <v>19.329999999999998</v>
      </c>
      <c r="N937" s="1">
        <f t="shared" si="29"/>
        <v>19.329999999999998</v>
      </c>
    </row>
    <row r="938" spans="1:14" x14ac:dyDescent="0.3">
      <c r="A938" s="1" t="s">
        <v>1402</v>
      </c>
      <c r="B938" s="1" t="s">
        <v>29</v>
      </c>
      <c r="C938" s="1" t="s">
        <v>253</v>
      </c>
      <c r="D938" s="1">
        <v>2</v>
      </c>
      <c r="E938" s="12">
        <v>45834.584027777775</v>
      </c>
      <c r="F938" s="1" t="s">
        <v>12</v>
      </c>
      <c r="G938" s="1" t="s">
        <v>31</v>
      </c>
      <c r="H938" s="1" t="s">
        <v>41</v>
      </c>
      <c r="I938" s="1" t="s">
        <v>42</v>
      </c>
      <c r="J938" s="1" t="str">
        <f t="shared" si="28"/>
        <v>PENDING_REVIEW</v>
      </c>
      <c r="K938" s="1" t="str">
        <f>_xlfn.XLOOKUP(C938, 'Product Catalog'!$A:$A, 'Product Catalog'!$B:$B, "Unknown Product")</f>
        <v>Hoodie Model B79</v>
      </c>
      <c r="L938" s="1" t="str">
        <f>_xlfn.XLOOKUP(C938, 'Product Catalog'!$A:$A, 'Product Catalog'!$C:$C, "Unknown Category")</f>
        <v>Apparel</v>
      </c>
      <c r="M938" s="1">
        <f>_xlfn.XLOOKUP(C938, 'Product Catalog'!$A:$A, 'Product Catalog'!$D:$D, 0)</f>
        <v>106.9</v>
      </c>
      <c r="N938" s="1">
        <f t="shared" si="29"/>
        <v>213.8</v>
      </c>
    </row>
    <row r="939" spans="1:14" x14ac:dyDescent="0.3">
      <c r="A939" s="1" t="s">
        <v>1403</v>
      </c>
      <c r="B939" s="1" t="s">
        <v>761</v>
      </c>
      <c r="C939" s="1" t="s">
        <v>157</v>
      </c>
      <c r="D939" s="1">
        <v>4</v>
      </c>
      <c r="E939" s="12">
        <v>45793.544444444444</v>
      </c>
      <c r="F939" s="1" t="s">
        <v>170</v>
      </c>
      <c r="G939" s="1" t="s">
        <v>40</v>
      </c>
      <c r="H939" s="1" t="s">
        <v>55</v>
      </c>
      <c r="I939" s="1" t="s">
        <v>56</v>
      </c>
      <c r="J939" s="1" t="str">
        <f t="shared" si="28"/>
        <v>cancelled</v>
      </c>
      <c r="K939" s="1" t="str">
        <f>_xlfn.XLOOKUP(C939, 'Product Catalog'!$A:$A, 'Product Catalog'!$B:$B, "Unknown Product")</f>
        <v>Coffee Maker Model Q68</v>
      </c>
      <c r="L939" s="1" t="str">
        <f>_xlfn.XLOOKUP(C939, 'Product Catalog'!$A:$A, 'Product Catalog'!$C:$C, "Unknown Category")</f>
        <v>Home Goods</v>
      </c>
      <c r="M939" s="1">
        <f>_xlfn.XLOOKUP(C939, 'Product Catalog'!$A:$A, 'Product Catalog'!$D:$D, 0)</f>
        <v>28.02</v>
      </c>
      <c r="N939" s="1">
        <f t="shared" si="29"/>
        <v>112.08</v>
      </c>
    </row>
    <row r="940" spans="1:14" x14ac:dyDescent="0.3">
      <c r="A940" s="1" t="s">
        <v>1404</v>
      </c>
      <c r="B940" s="1" t="s">
        <v>963</v>
      </c>
      <c r="C940" s="1" t="s">
        <v>167</v>
      </c>
      <c r="D940" s="1">
        <v>1</v>
      </c>
      <c r="E940" s="12">
        <v>45993.69027777778</v>
      </c>
      <c r="F940" s="1" t="s">
        <v>170</v>
      </c>
      <c r="G940" s="1" t="s">
        <v>50</v>
      </c>
      <c r="H940" s="1" t="s">
        <v>55</v>
      </c>
      <c r="I940" s="1" t="s">
        <v>42</v>
      </c>
      <c r="J940" s="1" t="str">
        <f t="shared" si="28"/>
        <v>PENDING_REVIEW</v>
      </c>
      <c r="K940" s="1" t="str">
        <f>_xlfn.XLOOKUP(C940, 'Product Catalog'!$A:$A, 'Product Catalog'!$B:$B, "Unknown Product")</f>
        <v>Premium Stream 1M Model V125</v>
      </c>
      <c r="L940" s="1" t="str">
        <f>_xlfn.XLOOKUP(C940, 'Product Catalog'!$A:$A, 'Product Catalog'!$C:$C, "Unknown Category")</f>
        <v>Digital Services</v>
      </c>
      <c r="M940" s="1">
        <f>_xlfn.XLOOKUP(C940, 'Product Catalog'!$A:$A, 'Product Catalog'!$D:$D, 0)</f>
        <v>18.87</v>
      </c>
      <c r="N940" s="1">
        <f t="shared" si="29"/>
        <v>18.87</v>
      </c>
    </row>
    <row r="941" spans="1:14" x14ac:dyDescent="0.3">
      <c r="A941" s="1" t="s">
        <v>1405</v>
      </c>
      <c r="B941" s="1" t="s">
        <v>239</v>
      </c>
      <c r="C941" s="1" t="s">
        <v>108</v>
      </c>
      <c r="D941" s="1">
        <v>1</v>
      </c>
      <c r="E941" s="12">
        <v>45950.865972222222</v>
      </c>
      <c r="F941" s="1" t="s">
        <v>19</v>
      </c>
      <c r="G941" s="1" t="s">
        <v>31</v>
      </c>
      <c r="H941" s="1" t="s">
        <v>24</v>
      </c>
      <c r="I941" s="1" t="s">
        <v>15</v>
      </c>
      <c r="J941" s="1" t="str">
        <f t="shared" si="28"/>
        <v>delivered</v>
      </c>
      <c r="K941" s="1" t="str">
        <f>_xlfn.XLOOKUP(C941, 'Product Catalog'!$A:$A, 'Product Catalog'!$B:$B, "Unknown Product")</f>
        <v>Smartwatch Model H7</v>
      </c>
      <c r="L941" s="1" t="str">
        <f>_xlfn.XLOOKUP(C941, 'Product Catalog'!$A:$A, 'Product Catalog'!$C:$C, "Unknown Category")</f>
        <v>Electronics</v>
      </c>
      <c r="M941" s="1">
        <f>_xlfn.XLOOKUP(C941, 'Product Catalog'!$A:$A, 'Product Catalog'!$D:$D, 0)</f>
        <v>204.37</v>
      </c>
      <c r="N941" s="1">
        <f t="shared" si="29"/>
        <v>204.37</v>
      </c>
    </row>
    <row r="942" spans="1:14" x14ac:dyDescent="0.3">
      <c r="A942" s="1" t="s">
        <v>1406</v>
      </c>
      <c r="B942" s="1" t="s">
        <v>656</v>
      </c>
      <c r="C942" s="1" t="s">
        <v>452</v>
      </c>
      <c r="D942" s="1">
        <v>1</v>
      </c>
      <c r="E942" s="12">
        <v>45900.052777777775</v>
      </c>
      <c r="F942" s="1" t="s">
        <v>19</v>
      </c>
      <c r="G942" s="1" t="s">
        <v>31</v>
      </c>
      <c r="H942" s="1" t="s">
        <v>14</v>
      </c>
      <c r="I942" s="1" t="s">
        <v>15</v>
      </c>
      <c r="J942" s="1" t="str">
        <f t="shared" si="28"/>
        <v>delivered</v>
      </c>
      <c r="K942" s="1" t="str">
        <f>_xlfn.XLOOKUP(C942, 'Product Catalog'!$A:$A, 'Product Catalog'!$B:$B, "Unknown Product")</f>
        <v>E-Book Access Model U150</v>
      </c>
      <c r="L942" s="1" t="str">
        <f>_xlfn.XLOOKUP(C942, 'Product Catalog'!$A:$A, 'Product Catalog'!$C:$C, "Unknown Category")</f>
        <v>Digital Services</v>
      </c>
      <c r="M942" s="1">
        <f>_xlfn.XLOOKUP(C942, 'Product Catalog'!$A:$A, 'Product Catalog'!$D:$D, 0)</f>
        <v>75.69</v>
      </c>
      <c r="N942" s="1">
        <f t="shared" si="29"/>
        <v>75.69</v>
      </c>
    </row>
    <row r="943" spans="1:14" x14ac:dyDescent="0.3">
      <c r="A943" s="1" t="s">
        <v>1407</v>
      </c>
      <c r="B943" s="1" t="s">
        <v>124</v>
      </c>
      <c r="C943" s="1" t="s">
        <v>23</v>
      </c>
      <c r="D943" s="1">
        <v>4</v>
      </c>
      <c r="E943" s="12">
        <v>45746.39166666667</v>
      </c>
      <c r="F943" s="1" t="s">
        <v>19</v>
      </c>
      <c r="G943" s="1" t="s">
        <v>50</v>
      </c>
      <c r="H943" s="1" t="s">
        <v>51</v>
      </c>
      <c r="I943" s="1" t="s">
        <v>102</v>
      </c>
      <c r="J943" s="1" t="str">
        <f t="shared" si="28"/>
        <v>disputed</v>
      </c>
      <c r="K943" s="1" t="str">
        <f>_xlfn.XLOOKUP(C943, 'Product Catalog'!$A:$A, 'Product Catalog'!$B:$B, "Unknown Product")</f>
        <v>Mouse Model A78</v>
      </c>
      <c r="L943" s="1" t="str">
        <f>_xlfn.XLOOKUP(C943, 'Product Catalog'!$A:$A, 'Product Catalog'!$C:$C, "Unknown Category")</f>
        <v>Electronics</v>
      </c>
      <c r="M943" s="1">
        <f>_xlfn.XLOOKUP(C943, 'Product Catalog'!$A:$A, 'Product Catalog'!$D:$D, 0)</f>
        <v>141.34</v>
      </c>
      <c r="N943" s="1">
        <f t="shared" si="29"/>
        <v>565.36</v>
      </c>
    </row>
    <row r="944" spans="1:14" x14ac:dyDescent="0.3">
      <c r="A944" s="1" t="s">
        <v>1408</v>
      </c>
      <c r="B944" s="1" t="s">
        <v>70</v>
      </c>
      <c r="C944" s="1" t="s">
        <v>459</v>
      </c>
      <c r="D944" s="1">
        <v>5</v>
      </c>
      <c r="E944" s="12">
        <v>45864.20416666667</v>
      </c>
      <c r="F944" s="1" t="s">
        <v>170</v>
      </c>
      <c r="G944" s="1" t="s">
        <v>40</v>
      </c>
      <c r="H944" s="1" t="s">
        <v>55</v>
      </c>
      <c r="I944" s="1" t="s">
        <v>102</v>
      </c>
      <c r="J944" s="1" t="str">
        <f t="shared" si="28"/>
        <v>disputed</v>
      </c>
      <c r="K944" s="1" t="str">
        <f>_xlfn.XLOOKUP(C944, 'Product Catalog'!$A:$A, 'Product Catalog'!$B:$B, "Unknown Product")</f>
        <v>Mouse Model I60</v>
      </c>
      <c r="L944" s="1" t="str">
        <f>_xlfn.XLOOKUP(C944, 'Product Catalog'!$A:$A, 'Product Catalog'!$C:$C, "Unknown Category")</f>
        <v>Electronics</v>
      </c>
      <c r="M944" s="1">
        <f>_xlfn.XLOOKUP(C944, 'Product Catalog'!$A:$A, 'Product Catalog'!$D:$D, 0)</f>
        <v>168.25</v>
      </c>
      <c r="N944" s="1">
        <f t="shared" si="29"/>
        <v>841.25</v>
      </c>
    </row>
    <row r="945" spans="1:14" x14ac:dyDescent="0.3">
      <c r="A945" s="1" t="s">
        <v>1409</v>
      </c>
      <c r="B945" s="1" t="s">
        <v>104</v>
      </c>
      <c r="C945" s="1" t="s">
        <v>359</v>
      </c>
      <c r="D945" s="1">
        <v>1</v>
      </c>
      <c r="E945" s="12">
        <v>45974.865277777775</v>
      </c>
      <c r="F945" s="1" t="s">
        <v>19</v>
      </c>
      <c r="G945" s="1" t="s">
        <v>13</v>
      </c>
      <c r="H945" s="1" t="s">
        <v>14</v>
      </c>
      <c r="I945" s="1" t="s">
        <v>15</v>
      </c>
      <c r="J945" s="1" t="str">
        <f t="shared" si="28"/>
        <v>delivered</v>
      </c>
      <c r="K945" s="1" t="str">
        <f>_xlfn.XLOOKUP(C945, 'Product Catalog'!$A:$A, 'Product Catalog'!$B:$B, "Unknown Product")</f>
        <v>Hoodie Model H111</v>
      </c>
      <c r="L945" s="1" t="str">
        <f>_xlfn.XLOOKUP(C945, 'Product Catalog'!$A:$A, 'Product Catalog'!$C:$C, "Unknown Category")</f>
        <v>Apparel</v>
      </c>
      <c r="M945" s="1">
        <f>_xlfn.XLOOKUP(C945, 'Product Catalog'!$A:$A, 'Product Catalog'!$D:$D, 0)</f>
        <v>57.44</v>
      </c>
      <c r="N945" s="1">
        <f t="shared" si="29"/>
        <v>57.44</v>
      </c>
    </row>
    <row r="946" spans="1:14" x14ac:dyDescent="0.3">
      <c r="A946" s="1" t="s">
        <v>1410</v>
      </c>
      <c r="B946" s="1" t="s">
        <v>589</v>
      </c>
      <c r="C946" s="1" t="s">
        <v>348</v>
      </c>
      <c r="D946" s="1">
        <v>1</v>
      </c>
      <c r="E946" s="12">
        <v>46006.986111111109</v>
      </c>
      <c r="F946" s="1" t="s">
        <v>170</v>
      </c>
      <c r="G946" s="1" t="s">
        <v>50</v>
      </c>
      <c r="H946" s="1" t="s">
        <v>41</v>
      </c>
      <c r="I946" s="1" t="s">
        <v>56</v>
      </c>
      <c r="J946" s="1" t="str">
        <f t="shared" si="28"/>
        <v>cancelled</v>
      </c>
      <c r="K946" s="1" t="str">
        <f>_xlfn.XLOOKUP(C946, 'Product Catalog'!$A:$A, 'Product Catalog'!$B:$B, "Unknown Product")</f>
        <v>Leather Handbag Model G84</v>
      </c>
      <c r="L946" s="1" t="str">
        <f>_xlfn.XLOOKUP(C946, 'Product Catalog'!$A:$A, 'Product Catalog'!$C:$C, "Unknown Category")</f>
        <v>Luxury Goods</v>
      </c>
      <c r="M946" s="1">
        <f>_xlfn.XLOOKUP(C946, 'Product Catalog'!$A:$A, 'Product Catalog'!$D:$D, 0)</f>
        <v>899.17</v>
      </c>
      <c r="N946" s="1">
        <f t="shared" si="29"/>
        <v>899.17</v>
      </c>
    </row>
    <row r="947" spans="1:14" x14ac:dyDescent="0.3">
      <c r="A947" s="1" t="s">
        <v>1411</v>
      </c>
      <c r="B947" s="1" t="s">
        <v>537</v>
      </c>
      <c r="C947" s="1" t="s">
        <v>23</v>
      </c>
      <c r="D947" s="1">
        <v>5</v>
      </c>
      <c r="E947" s="12">
        <v>45863.054861111108</v>
      </c>
      <c r="F947" s="1" t="s">
        <v>12</v>
      </c>
      <c r="G947" s="1" t="s">
        <v>40</v>
      </c>
      <c r="H947" s="1" t="s">
        <v>55</v>
      </c>
      <c r="I947" s="1" t="s">
        <v>102</v>
      </c>
      <c r="J947" s="1" t="str">
        <f t="shared" si="28"/>
        <v>disputed</v>
      </c>
      <c r="K947" s="1" t="str">
        <f>_xlfn.XLOOKUP(C947, 'Product Catalog'!$A:$A, 'Product Catalog'!$B:$B, "Unknown Product")</f>
        <v>Mouse Model A78</v>
      </c>
      <c r="L947" s="1" t="str">
        <f>_xlfn.XLOOKUP(C947, 'Product Catalog'!$A:$A, 'Product Catalog'!$C:$C, "Unknown Category")</f>
        <v>Electronics</v>
      </c>
      <c r="M947" s="1">
        <f>_xlfn.XLOOKUP(C947, 'Product Catalog'!$A:$A, 'Product Catalog'!$D:$D, 0)</f>
        <v>141.34</v>
      </c>
      <c r="N947" s="1">
        <f t="shared" si="29"/>
        <v>706.7</v>
      </c>
    </row>
    <row r="948" spans="1:14" x14ac:dyDescent="0.3">
      <c r="A948" s="1" t="s">
        <v>1412</v>
      </c>
      <c r="B948" s="1" t="s">
        <v>544</v>
      </c>
      <c r="C948" s="1" t="s">
        <v>117</v>
      </c>
      <c r="D948" s="1">
        <v>5</v>
      </c>
      <c r="E948" s="12">
        <v>45860.470833333333</v>
      </c>
      <c r="F948" s="1" t="s">
        <v>19</v>
      </c>
      <c r="G948" s="1" t="s">
        <v>40</v>
      </c>
      <c r="H948" s="1" t="s">
        <v>41</v>
      </c>
      <c r="I948" s="1" t="s">
        <v>102</v>
      </c>
      <c r="J948" s="1" t="str">
        <f t="shared" si="28"/>
        <v>disputed</v>
      </c>
      <c r="K948" s="1" t="str">
        <f>_xlfn.XLOOKUP(C948, 'Product Catalog'!$A:$A, 'Product Catalog'!$B:$B, "Unknown Product")</f>
        <v>Organizer Model R95</v>
      </c>
      <c r="L948" s="1" t="str">
        <f>_xlfn.XLOOKUP(C948, 'Product Catalog'!$A:$A, 'Product Catalog'!$C:$C, "Unknown Category")</f>
        <v>Home Goods</v>
      </c>
      <c r="M948" s="1">
        <f>_xlfn.XLOOKUP(C948, 'Product Catalog'!$A:$A, 'Product Catalog'!$D:$D, 0)</f>
        <v>109.58</v>
      </c>
      <c r="N948" s="1">
        <f t="shared" si="29"/>
        <v>547.9</v>
      </c>
    </row>
    <row r="949" spans="1:14" x14ac:dyDescent="0.3">
      <c r="A949" s="1" t="s">
        <v>1413</v>
      </c>
      <c r="B949" s="1" t="s">
        <v>739</v>
      </c>
      <c r="C949" s="1" t="s">
        <v>879</v>
      </c>
      <c r="D949" s="1">
        <v>2</v>
      </c>
      <c r="E949" s="12">
        <v>46011.337500000001</v>
      </c>
      <c r="F949" s="1" t="s">
        <v>12</v>
      </c>
      <c r="G949" s="1" t="s">
        <v>20</v>
      </c>
      <c r="H949" s="1" t="s">
        <v>24</v>
      </c>
      <c r="I949" s="1" t="s">
        <v>15</v>
      </c>
      <c r="J949" s="1" t="str">
        <f t="shared" si="28"/>
        <v>delivered</v>
      </c>
      <c r="K949" s="1" t="str">
        <f>_xlfn.XLOOKUP(C949, 'Product Catalog'!$A:$A, 'Product Catalog'!$B:$B, "Unknown Product")</f>
        <v>Toaster Model I8</v>
      </c>
      <c r="L949" s="1" t="str">
        <f>_xlfn.XLOOKUP(C949, 'Product Catalog'!$A:$A, 'Product Catalog'!$C:$C, "Unknown Category")</f>
        <v>Home Goods</v>
      </c>
      <c r="M949" s="1">
        <f>_xlfn.XLOOKUP(C949, 'Product Catalog'!$A:$A, 'Product Catalog'!$D:$D, 0)</f>
        <v>44.88</v>
      </c>
      <c r="N949" s="1">
        <f t="shared" si="29"/>
        <v>89.76</v>
      </c>
    </row>
    <row r="950" spans="1:14" x14ac:dyDescent="0.3">
      <c r="A950" s="1" t="s">
        <v>1414</v>
      </c>
      <c r="B950" s="1" t="s">
        <v>611</v>
      </c>
      <c r="C950" s="1" t="s">
        <v>740</v>
      </c>
      <c r="D950" s="1">
        <v>4</v>
      </c>
      <c r="E950" s="12">
        <v>45683.675694444442</v>
      </c>
      <c r="F950" s="1" t="s">
        <v>12</v>
      </c>
      <c r="G950" s="1" t="s">
        <v>40</v>
      </c>
      <c r="H950" s="1" t="s">
        <v>55</v>
      </c>
      <c r="I950" s="1" t="s">
        <v>56</v>
      </c>
      <c r="J950" s="1" t="str">
        <f t="shared" si="28"/>
        <v>cancelled</v>
      </c>
      <c r="K950" s="1" t="str">
        <f>_xlfn.XLOOKUP(C950, 'Product Catalog'!$A:$A, 'Product Catalog'!$B:$B, "Unknown Product")</f>
        <v>Jacket Model S44</v>
      </c>
      <c r="L950" s="1" t="str">
        <f>_xlfn.XLOOKUP(C950, 'Product Catalog'!$A:$A, 'Product Catalog'!$C:$C, "Unknown Category")</f>
        <v>Apparel</v>
      </c>
      <c r="M950" s="1">
        <f>_xlfn.XLOOKUP(C950, 'Product Catalog'!$A:$A, 'Product Catalog'!$D:$D, 0)</f>
        <v>93.08</v>
      </c>
      <c r="N950" s="1">
        <f t="shared" si="29"/>
        <v>372.32</v>
      </c>
    </row>
    <row r="951" spans="1:14" x14ac:dyDescent="0.3">
      <c r="A951" s="1" t="s">
        <v>1415</v>
      </c>
      <c r="B951" s="1" t="s">
        <v>897</v>
      </c>
      <c r="C951" s="1" t="s">
        <v>459</v>
      </c>
      <c r="D951" s="1">
        <v>1</v>
      </c>
      <c r="E951" s="12">
        <v>45795.529166666667</v>
      </c>
      <c r="F951" s="1" t="s">
        <v>19</v>
      </c>
      <c r="G951" s="1" t="s">
        <v>20</v>
      </c>
      <c r="H951" s="1" t="s">
        <v>41</v>
      </c>
      <c r="I951" s="1" t="s">
        <v>81</v>
      </c>
      <c r="J951" s="1" t="str">
        <f t="shared" si="28"/>
        <v>REFUNDED</v>
      </c>
      <c r="K951" s="1" t="str">
        <f>_xlfn.XLOOKUP(C951, 'Product Catalog'!$A:$A, 'Product Catalog'!$B:$B, "Unknown Product")</f>
        <v>Mouse Model I60</v>
      </c>
      <c r="L951" s="1" t="str">
        <f>_xlfn.XLOOKUP(C951, 'Product Catalog'!$A:$A, 'Product Catalog'!$C:$C, "Unknown Category")</f>
        <v>Electronics</v>
      </c>
      <c r="M951" s="1">
        <f>_xlfn.XLOOKUP(C951, 'Product Catalog'!$A:$A, 'Product Catalog'!$D:$D, 0)</f>
        <v>168.25</v>
      </c>
      <c r="N951" s="1">
        <f t="shared" si="29"/>
        <v>168.25</v>
      </c>
    </row>
    <row r="952" spans="1:14" x14ac:dyDescent="0.3">
      <c r="A952" s="1" t="s">
        <v>1416</v>
      </c>
      <c r="B952" s="1" t="s">
        <v>859</v>
      </c>
      <c r="C952" s="1" t="s">
        <v>352</v>
      </c>
      <c r="D952" s="1">
        <v>2</v>
      </c>
      <c r="E952" s="12">
        <v>45668.479861111111</v>
      </c>
      <c r="F952" s="1" t="s">
        <v>12</v>
      </c>
      <c r="G952" s="1" t="s">
        <v>31</v>
      </c>
      <c r="H952" s="1" t="s">
        <v>14</v>
      </c>
      <c r="I952" s="1" t="s">
        <v>15</v>
      </c>
      <c r="J952" s="1" t="str">
        <f t="shared" si="28"/>
        <v>delivered</v>
      </c>
      <c r="K952" s="1" t="str">
        <f>_xlfn.XLOOKUP(C952, 'Product Catalog'!$A:$A, 'Product Catalog'!$B:$B, "Unknown Product")</f>
        <v>VPN 6-Month Pass Model U46</v>
      </c>
      <c r="L952" s="1" t="str">
        <f>_xlfn.XLOOKUP(C952, 'Product Catalog'!$A:$A, 'Product Catalog'!$C:$C, "Unknown Category")</f>
        <v>Digital Services</v>
      </c>
      <c r="M952" s="1">
        <f>_xlfn.XLOOKUP(C952, 'Product Catalog'!$A:$A, 'Product Catalog'!$D:$D, 0)</f>
        <v>47.44</v>
      </c>
      <c r="N952" s="1">
        <f t="shared" si="29"/>
        <v>94.88</v>
      </c>
    </row>
    <row r="953" spans="1:14" x14ac:dyDescent="0.3">
      <c r="A953" s="1" t="s">
        <v>1417</v>
      </c>
      <c r="B953" s="1" t="s">
        <v>795</v>
      </c>
      <c r="C953" s="1" t="s">
        <v>167</v>
      </c>
      <c r="D953" s="1">
        <v>1</v>
      </c>
      <c r="E953" s="12">
        <v>45813.441666666666</v>
      </c>
      <c r="F953" s="1" t="s">
        <v>12</v>
      </c>
      <c r="G953" s="1" t="s">
        <v>50</v>
      </c>
      <c r="H953" s="1" t="s">
        <v>51</v>
      </c>
      <c r="I953" s="1" t="s">
        <v>102</v>
      </c>
      <c r="J953" s="1" t="str">
        <f t="shared" si="28"/>
        <v>disputed</v>
      </c>
      <c r="K953" s="1" t="str">
        <f>_xlfn.XLOOKUP(C953, 'Product Catalog'!$A:$A, 'Product Catalog'!$B:$B, "Unknown Product")</f>
        <v>Premium Stream 1M Model V125</v>
      </c>
      <c r="L953" s="1" t="str">
        <f>_xlfn.XLOOKUP(C953, 'Product Catalog'!$A:$A, 'Product Catalog'!$C:$C, "Unknown Category")</f>
        <v>Digital Services</v>
      </c>
      <c r="M953" s="1">
        <f>_xlfn.XLOOKUP(C953, 'Product Catalog'!$A:$A, 'Product Catalog'!$D:$D, 0)</f>
        <v>18.87</v>
      </c>
      <c r="N953" s="1">
        <f t="shared" si="29"/>
        <v>18.87</v>
      </c>
    </row>
    <row r="954" spans="1:14" x14ac:dyDescent="0.3">
      <c r="A954" s="1" t="s">
        <v>1418</v>
      </c>
      <c r="B954" s="1" t="s">
        <v>417</v>
      </c>
      <c r="C954" s="1" t="s">
        <v>519</v>
      </c>
      <c r="D954" s="1">
        <v>1</v>
      </c>
      <c r="E954" s="12">
        <v>45801.698611111111</v>
      </c>
      <c r="F954" s="1" t="s">
        <v>19</v>
      </c>
      <c r="G954" s="1" t="s">
        <v>109</v>
      </c>
      <c r="H954" s="1" t="s">
        <v>41</v>
      </c>
      <c r="I954" s="1" t="s">
        <v>15</v>
      </c>
      <c r="J954" s="1" t="str">
        <f t="shared" si="28"/>
        <v>delivered</v>
      </c>
      <c r="K954" s="1" t="str">
        <f>_xlfn.XLOOKUP(C954, 'Product Catalog'!$A:$A, 'Product Catalog'!$B:$B, "Unknown Product")</f>
        <v>T-Shirt Model S70</v>
      </c>
      <c r="L954" s="1" t="str">
        <f>_xlfn.XLOOKUP(C954, 'Product Catalog'!$A:$A, 'Product Catalog'!$C:$C, "Unknown Category")</f>
        <v>Apparel</v>
      </c>
      <c r="M954" s="1">
        <f>_xlfn.XLOOKUP(C954, 'Product Catalog'!$A:$A, 'Product Catalog'!$D:$D, 0)</f>
        <v>75.45</v>
      </c>
      <c r="N954" s="1">
        <f t="shared" si="29"/>
        <v>75.45</v>
      </c>
    </row>
    <row r="955" spans="1:14" x14ac:dyDescent="0.3">
      <c r="A955" s="1" t="s">
        <v>1419</v>
      </c>
      <c r="B955" s="1" t="s">
        <v>295</v>
      </c>
      <c r="C955" s="1" t="s">
        <v>329</v>
      </c>
      <c r="D955" s="1">
        <v>1</v>
      </c>
      <c r="E955" s="12">
        <v>46014.973611111112</v>
      </c>
      <c r="F955" s="1" t="s">
        <v>12</v>
      </c>
      <c r="G955" s="1" t="s">
        <v>46</v>
      </c>
      <c r="H955" s="1" t="s">
        <v>14</v>
      </c>
      <c r="I955" s="1" t="s">
        <v>32</v>
      </c>
      <c r="J955" s="1" t="str">
        <f t="shared" si="28"/>
        <v>SHIPPED</v>
      </c>
      <c r="K955" s="1" t="str">
        <f>_xlfn.XLOOKUP(C955, 'Product Catalog'!$A:$A, 'Product Catalog'!$B:$B, "Unknown Product")</f>
        <v>E-Book Access Model M64</v>
      </c>
      <c r="L955" s="1" t="str">
        <f>_xlfn.XLOOKUP(C955, 'Product Catalog'!$A:$A, 'Product Catalog'!$C:$C, "Unknown Category")</f>
        <v>Digital Services</v>
      </c>
      <c r="M955" s="1">
        <f>_xlfn.XLOOKUP(C955, 'Product Catalog'!$A:$A, 'Product Catalog'!$D:$D, 0)</f>
        <v>92.09</v>
      </c>
      <c r="N955" s="1">
        <f t="shared" si="29"/>
        <v>92.09</v>
      </c>
    </row>
    <row r="956" spans="1:14" x14ac:dyDescent="0.3">
      <c r="A956" s="1" t="s">
        <v>1420</v>
      </c>
      <c r="B956" s="1" t="s">
        <v>517</v>
      </c>
      <c r="C956" s="1" t="s">
        <v>636</v>
      </c>
      <c r="D956" s="1">
        <v>4</v>
      </c>
      <c r="E956" s="12">
        <v>45708.323611111111</v>
      </c>
      <c r="F956" s="1" t="s">
        <v>12</v>
      </c>
      <c r="G956" s="1" t="s">
        <v>109</v>
      </c>
      <c r="H956" s="1" t="s">
        <v>55</v>
      </c>
      <c r="I956" s="1" t="s">
        <v>102</v>
      </c>
      <c r="J956" s="1" t="str">
        <f t="shared" si="28"/>
        <v>disputed</v>
      </c>
      <c r="K956" s="1" t="str">
        <f>_xlfn.XLOOKUP(C956, 'Product Catalog'!$A:$A, 'Product Catalog'!$B:$B, "Unknown Product")</f>
        <v>Leather Handbag Model O92</v>
      </c>
      <c r="L956" s="1" t="str">
        <f>_xlfn.XLOOKUP(C956, 'Product Catalog'!$A:$A, 'Product Catalog'!$C:$C, "Unknown Category")</f>
        <v>Luxury Goods</v>
      </c>
      <c r="M956" s="1">
        <f>_xlfn.XLOOKUP(C956, 'Product Catalog'!$A:$A, 'Product Catalog'!$D:$D, 0)</f>
        <v>1245.53</v>
      </c>
      <c r="N956" s="1">
        <f t="shared" si="29"/>
        <v>4982.12</v>
      </c>
    </row>
    <row r="957" spans="1:14" x14ac:dyDescent="0.3">
      <c r="A957" s="1" t="s">
        <v>1421</v>
      </c>
      <c r="B957" s="1" t="s">
        <v>390</v>
      </c>
      <c r="C957" s="1" t="s">
        <v>125</v>
      </c>
      <c r="D957" s="1">
        <v>1</v>
      </c>
      <c r="E957" s="12">
        <v>45726.427083333336</v>
      </c>
      <c r="F957" s="1" t="s">
        <v>19</v>
      </c>
      <c r="G957" s="1" t="s">
        <v>50</v>
      </c>
      <c r="H957" s="1" t="s">
        <v>41</v>
      </c>
      <c r="I957" s="1" t="s">
        <v>102</v>
      </c>
      <c r="J957" s="1" t="str">
        <f t="shared" si="28"/>
        <v>disputed</v>
      </c>
      <c r="K957" s="1" t="str">
        <f>_xlfn.XLOOKUP(C957, 'Product Catalog'!$A:$A, 'Product Catalog'!$B:$B, "Unknown Product")</f>
        <v>Coffee Maker Model J9</v>
      </c>
      <c r="L957" s="1" t="str">
        <f>_xlfn.XLOOKUP(C957, 'Product Catalog'!$A:$A, 'Product Catalog'!$C:$C, "Unknown Category")</f>
        <v>Home Goods</v>
      </c>
      <c r="M957" s="1">
        <f>_xlfn.XLOOKUP(C957, 'Product Catalog'!$A:$A, 'Product Catalog'!$D:$D, 0)</f>
        <v>34.840000000000003</v>
      </c>
      <c r="N957" s="1">
        <f t="shared" si="29"/>
        <v>34.840000000000003</v>
      </c>
    </row>
    <row r="958" spans="1:14" x14ac:dyDescent="0.3">
      <c r="A958" s="1" t="s">
        <v>1422</v>
      </c>
      <c r="B958" s="1" t="s">
        <v>73</v>
      </c>
      <c r="C958" s="1" t="s">
        <v>23</v>
      </c>
      <c r="D958" s="1">
        <v>2</v>
      </c>
      <c r="E958" s="12">
        <v>45884.456250000003</v>
      </c>
      <c r="F958" s="1" t="s">
        <v>12</v>
      </c>
      <c r="G958" s="1" t="s">
        <v>20</v>
      </c>
      <c r="H958" s="1" t="s">
        <v>41</v>
      </c>
      <c r="I958" s="1" t="s">
        <v>32</v>
      </c>
      <c r="J958" s="1" t="str">
        <f t="shared" si="28"/>
        <v>SHIPPED</v>
      </c>
      <c r="K958" s="1" t="str">
        <f>_xlfn.XLOOKUP(C958, 'Product Catalog'!$A:$A, 'Product Catalog'!$B:$B, "Unknown Product")</f>
        <v>Mouse Model A78</v>
      </c>
      <c r="L958" s="1" t="str">
        <f>_xlfn.XLOOKUP(C958, 'Product Catalog'!$A:$A, 'Product Catalog'!$C:$C, "Unknown Category")</f>
        <v>Electronics</v>
      </c>
      <c r="M958" s="1">
        <f>_xlfn.XLOOKUP(C958, 'Product Catalog'!$A:$A, 'Product Catalog'!$D:$D, 0)</f>
        <v>141.34</v>
      </c>
      <c r="N958" s="1">
        <f t="shared" si="29"/>
        <v>282.68</v>
      </c>
    </row>
    <row r="959" spans="1:14" x14ac:dyDescent="0.3">
      <c r="A959" s="1" t="s">
        <v>1423</v>
      </c>
      <c r="B959" s="1" t="s">
        <v>891</v>
      </c>
      <c r="C959" s="1" t="s">
        <v>399</v>
      </c>
      <c r="D959" s="1">
        <v>1</v>
      </c>
      <c r="E959" s="12">
        <v>45795.592361111114</v>
      </c>
      <c r="F959" s="1" t="s">
        <v>19</v>
      </c>
      <c r="G959" s="1" t="s">
        <v>109</v>
      </c>
      <c r="H959" s="1" t="s">
        <v>41</v>
      </c>
      <c r="I959" s="1" t="s">
        <v>15</v>
      </c>
      <c r="J959" s="1" t="str">
        <f t="shared" si="28"/>
        <v>delivered</v>
      </c>
      <c r="K959" s="1" t="str">
        <f>_xlfn.XLOOKUP(C959, 'Product Catalog'!$A:$A, 'Product Catalog'!$B:$B, "Unknown Product")</f>
        <v>E-Book Access Model W22</v>
      </c>
      <c r="L959" s="1" t="str">
        <f>_xlfn.XLOOKUP(C959, 'Product Catalog'!$A:$A, 'Product Catalog'!$C:$C, "Unknown Category")</f>
        <v>Digital Services</v>
      </c>
      <c r="M959" s="1">
        <f>_xlfn.XLOOKUP(C959, 'Product Catalog'!$A:$A, 'Product Catalog'!$D:$D, 0)</f>
        <v>11.22</v>
      </c>
      <c r="N959" s="1">
        <f t="shared" si="29"/>
        <v>11.22</v>
      </c>
    </row>
    <row r="960" spans="1:14" x14ac:dyDescent="0.3">
      <c r="A960" s="1" t="s">
        <v>1424</v>
      </c>
      <c r="B960" s="1" t="s">
        <v>22</v>
      </c>
      <c r="C960" s="1" t="s">
        <v>167</v>
      </c>
      <c r="D960" s="1">
        <v>1</v>
      </c>
      <c r="E960" s="12">
        <v>45967.918055555558</v>
      </c>
      <c r="F960" s="1" t="s">
        <v>12</v>
      </c>
      <c r="G960" s="1" t="s">
        <v>20</v>
      </c>
      <c r="H960" s="1" t="s">
        <v>41</v>
      </c>
      <c r="I960" s="1" t="s">
        <v>15</v>
      </c>
      <c r="J960" s="1" t="str">
        <f t="shared" si="28"/>
        <v>delivered</v>
      </c>
      <c r="K960" s="1" t="str">
        <f>_xlfn.XLOOKUP(C960, 'Product Catalog'!$A:$A, 'Product Catalog'!$B:$B, "Unknown Product")</f>
        <v>Premium Stream 1M Model V125</v>
      </c>
      <c r="L960" s="1" t="str">
        <f>_xlfn.XLOOKUP(C960, 'Product Catalog'!$A:$A, 'Product Catalog'!$C:$C, "Unknown Category")</f>
        <v>Digital Services</v>
      </c>
      <c r="M960" s="1">
        <f>_xlfn.XLOOKUP(C960, 'Product Catalog'!$A:$A, 'Product Catalog'!$D:$D, 0)</f>
        <v>18.87</v>
      </c>
      <c r="N960" s="1">
        <f t="shared" si="29"/>
        <v>18.87</v>
      </c>
    </row>
    <row r="961" spans="1:14" x14ac:dyDescent="0.3">
      <c r="A961" s="1" t="s">
        <v>1425</v>
      </c>
      <c r="B961" s="1" t="s">
        <v>373</v>
      </c>
      <c r="C961" s="1" t="s">
        <v>157</v>
      </c>
      <c r="D961" s="1">
        <v>1</v>
      </c>
      <c r="E961" s="12">
        <v>45703.26666666667</v>
      </c>
      <c r="F961" s="1" t="s">
        <v>12</v>
      </c>
      <c r="G961" s="1" t="s">
        <v>20</v>
      </c>
      <c r="H961" s="1" t="s">
        <v>41</v>
      </c>
      <c r="I961" s="1" t="s">
        <v>15</v>
      </c>
      <c r="J961" s="1" t="str">
        <f t="shared" si="28"/>
        <v>delivered</v>
      </c>
      <c r="K961" s="1" t="str">
        <f>_xlfn.XLOOKUP(C961, 'Product Catalog'!$A:$A, 'Product Catalog'!$B:$B, "Unknown Product")</f>
        <v>Coffee Maker Model Q68</v>
      </c>
      <c r="L961" s="1" t="str">
        <f>_xlfn.XLOOKUP(C961, 'Product Catalog'!$A:$A, 'Product Catalog'!$C:$C, "Unknown Category")</f>
        <v>Home Goods</v>
      </c>
      <c r="M961" s="1">
        <f>_xlfn.XLOOKUP(C961, 'Product Catalog'!$A:$A, 'Product Catalog'!$D:$D, 0)</f>
        <v>28.02</v>
      </c>
      <c r="N961" s="1">
        <f t="shared" si="29"/>
        <v>28.02</v>
      </c>
    </row>
    <row r="962" spans="1:14" x14ac:dyDescent="0.3">
      <c r="A962" s="1" t="s">
        <v>1426</v>
      </c>
      <c r="B962" s="1" t="s">
        <v>97</v>
      </c>
      <c r="C962" s="1" t="s">
        <v>90</v>
      </c>
      <c r="D962" s="1">
        <v>5</v>
      </c>
      <c r="E962" s="12">
        <v>45884.3</v>
      </c>
      <c r="F962" s="1" t="s">
        <v>39</v>
      </c>
      <c r="G962" s="1" t="s">
        <v>40</v>
      </c>
      <c r="H962" s="1" t="s">
        <v>55</v>
      </c>
      <c r="I962" s="1" t="s">
        <v>102</v>
      </c>
      <c r="J962" s="1" t="str">
        <f t="shared" ref="J962:J1025" si="30">TRIM(I962)</f>
        <v>disputed</v>
      </c>
      <c r="K962" s="1" t="str">
        <f>_xlfn.XLOOKUP(C962, 'Product Catalog'!$A:$A, 'Product Catalog'!$B:$B, "Unknown Product")</f>
        <v>VPN 6-Month Pass Model F109</v>
      </c>
      <c r="L962" s="1" t="str">
        <f>_xlfn.XLOOKUP(C962, 'Product Catalog'!$A:$A, 'Product Catalog'!$C:$C, "Unknown Category")</f>
        <v>Digital Services</v>
      </c>
      <c r="M962" s="1">
        <f>_xlfn.XLOOKUP(C962, 'Product Catalog'!$A:$A, 'Product Catalog'!$D:$D, 0)</f>
        <v>22.87</v>
      </c>
      <c r="N962" s="1">
        <f t="shared" ref="N962:N1025" si="31">D962 * M962</f>
        <v>114.35000000000001</v>
      </c>
    </row>
    <row r="963" spans="1:14" x14ac:dyDescent="0.3">
      <c r="A963" s="1" t="s">
        <v>1427</v>
      </c>
      <c r="B963" s="1" t="s">
        <v>734</v>
      </c>
      <c r="C963" s="1" t="s">
        <v>203</v>
      </c>
      <c r="D963" s="1">
        <v>2</v>
      </c>
      <c r="E963" s="12">
        <v>45866.688888888886</v>
      </c>
      <c r="F963" s="1" t="s">
        <v>19</v>
      </c>
      <c r="G963" s="1" t="s">
        <v>13</v>
      </c>
      <c r="H963" s="1" t="s">
        <v>24</v>
      </c>
      <c r="I963" s="1" t="s">
        <v>15</v>
      </c>
      <c r="J963" s="1" t="str">
        <f t="shared" si="30"/>
        <v>delivered</v>
      </c>
      <c r="K963" s="1" t="str">
        <f>_xlfn.XLOOKUP(C963, 'Product Catalog'!$A:$A, 'Product Catalog'!$B:$B, "Unknown Product")</f>
        <v>Pillow Model R17</v>
      </c>
      <c r="L963" s="1" t="str">
        <f>_xlfn.XLOOKUP(C963, 'Product Catalog'!$A:$A, 'Product Catalog'!$C:$C, "Unknown Category")</f>
        <v>Home Goods</v>
      </c>
      <c r="M963" s="1">
        <f>_xlfn.XLOOKUP(C963, 'Product Catalog'!$A:$A, 'Product Catalog'!$D:$D, 0)</f>
        <v>169.86</v>
      </c>
      <c r="N963" s="1">
        <f t="shared" si="31"/>
        <v>339.72</v>
      </c>
    </row>
    <row r="964" spans="1:14" x14ac:dyDescent="0.3">
      <c r="A964" s="1" t="s">
        <v>1428</v>
      </c>
      <c r="B964" s="1" t="s">
        <v>422</v>
      </c>
      <c r="C964" s="1" t="s">
        <v>247</v>
      </c>
      <c r="D964" s="1">
        <v>1</v>
      </c>
      <c r="E964" s="12">
        <v>45922.53125</v>
      </c>
      <c r="F964" s="1" t="s">
        <v>170</v>
      </c>
      <c r="G964" s="1" t="s">
        <v>20</v>
      </c>
      <c r="H964" s="1" t="s">
        <v>55</v>
      </c>
      <c r="I964" s="1" t="s">
        <v>42</v>
      </c>
      <c r="J964" s="1" t="str">
        <f t="shared" si="30"/>
        <v>PENDING_REVIEW</v>
      </c>
      <c r="K964" s="1" t="str">
        <f>_xlfn.XLOOKUP(C964, 'Product Catalog'!$A:$A, 'Product Catalog'!$B:$B, "Unknown Product")</f>
        <v>Silk Scarf Model N117</v>
      </c>
      <c r="L964" s="1" t="str">
        <f>_xlfn.XLOOKUP(C964, 'Product Catalog'!$A:$A, 'Product Catalog'!$C:$C, "Unknown Category")</f>
        <v>Luxury Goods</v>
      </c>
      <c r="M964" s="1">
        <f>_xlfn.XLOOKUP(C964, 'Product Catalog'!$A:$A, 'Product Catalog'!$D:$D, 0)</f>
        <v>1740.35</v>
      </c>
      <c r="N964" s="1">
        <f t="shared" si="31"/>
        <v>1740.35</v>
      </c>
    </row>
    <row r="965" spans="1:14" x14ac:dyDescent="0.3">
      <c r="A965" s="1" t="s">
        <v>1429</v>
      </c>
      <c r="B965" s="1" t="s">
        <v>638</v>
      </c>
      <c r="C965" s="1" t="s">
        <v>935</v>
      </c>
      <c r="D965" s="1">
        <v>2</v>
      </c>
      <c r="E965" s="12">
        <v>45686.732638888891</v>
      </c>
      <c r="F965" s="1" t="s">
        <v>19</v>
      </c>
      <c r="G965" s="1" t="s">
        <v>46</v>
      </c>
      <c r="H965" s="1" t="s">
        <v>14</v>
      </c>
      <c r="I965" s="1" t="s">
        <v>42</v>
      </c>
      <c r="J965" s="1" t="str">
        <f t="shared" si="30"/>
        <v>PENDING_REVIEW</v>
      </c>
      <c r="K965" s="1" t="str">
        <f>_xlfn.XLOOKUP(C965, 'Product Catalog'!$A:$A, 'Product Catalog'!$B:$B, "Unknown Product")</f>
        <v>Cloud Storage Basic Model L141</v>
      </c>
      <c r="L965" s="1" t="str">
        <f>_xlfn.XLOOKUP(C965, 'Product Catalog'!$A:$A, 'Product Catalog'!$C:$C, "Unknown Category")</f>
        <v>Digital Services</v>
      </c>
      <c r="M965" s="1">
        <f>_xlfn.XLOOKUP(C965, 'Product Catalog'!$A:$A, 'Product Catalog'!$D:$D, 0)</f>
        <v>93.62</v>
      </c>
      <c r="N965" s="1">
        <f t="shared" si="31"/>
        <v>187.24</v>
      </c>
    </row>
    <row r="966" spans="1:14" x14ac:dyDescent="0.3">
      <c r="A966" s="1" t="s">
        <v>1430</v>
      </c>
      <c r="B966" s="1" t="s">
        <v>369</v>
      </c>
      <c r="C966" s="1" t="s">
        <v>281</v>
      </c>
      <c r="D966" s="1">
        <v>2</v>
      </c>
      <c r="E966" s="12">
        <v>45739.093055555553</v>
      </c>
      <c r="F966" s="1" t="s">
        <v>19</v>
      </c>
      <c r="G966" s="1" t="s">
        <v>13</v>
      </c>
      <c r="H966" s="1" t="s">
        <v>14</v>
      </c>
      <c r="I966" s="1" t="s">
        <v>15</v>
      </c>
      <c r="J966" s="1" t="str">
        <f t="shared" si="30"/>
        <v>delivered</v>
      </c>
      <c r="K966" s="1" t="str">
        <f>_xlfn.XLOOKUP(C966, 'Product Catalog'!$A:$A, 'Product Catalog'!$B:$B, "Unknown Product")</f>
        <v>VPN 6-Month Pass Model B105</v>
      </c>
      <c r="L966" s="1" t="str">
        <f>_xlfn.XLOOKUP(C966, 'Product Catalog'!$A:$A, 'Product Catalog'!$C:$C, "Unknown Category")</f>
        <v>Digital Services</v>
      </c>
      <c r="M966" s="1">
        <f>_xlfn.XLOOKUP(C966, 'Product Catalog'!$A:$A, 'Product Catalog'!$D:$D, 0)</f>
        <v>36.130000000000003</v>
      </c>
      <c r="N966" s="1">
        <f t="shared" si="31"/>
        <v>72.260000000000005</v>
      </c>
    </row>
    <row r="967" spans="1:14" x14ac:dyDescent="0.3">
      <c r="A967" s="1" t="s">
        <v>1431</v>
      </c>
      <c r="B967" s="1" t="s">
        <v>745</v>
      </c>
      <c r="C967" s="1" t="s">
        <v>54</v>
      </c>
      <c r="D967" s="1">
        <v>1</v>
      </c>
      <c r="E967" s="12">
        <v>45817.720138888886</v>
      </c>
      <c r="F967" s="1" t="s">
        <v>19</v>
      </c>
      <c r="G967" s="1" t="s">
        <v>109</v>
      </c>
      <c r="H967" s="1" t="s">
        <v>41</v>
      </c>
      <c r="I967" s="1" t="s">
        <v>15</v>
      </c>
      <c r="J967" s="1" t="str">
        <f t="shared" si="30"/>
        <v>delivered</v>
      </c>
      <c r="K967" s="1" t="str">
        <f>_xlfn.XLOOKUP(C967, 'Product Catalog'!$A:$A, 'Product Catalog'!$B:$B, "Unknown Product")</f>
        <v>Keyboard Model V21</v>
      </c>
      <c r="L967" s="1" t="str">
        <f>_xlfn.XLOOKUP(C967, 'Product Catalog'!$A:$A, 'Product Catalog'!$C:$C, "Unknown Category")</f>
        <v>Electronics</v>
      </c>
      <c r="M967" s="1">
        <f>_xlfn.XLOOKUP(C967, 'Product Catalog'!$A:$A, 'Product Catalog'!$D:$D, 0)</f>
        <v>208.12</v>
      </c>
      <c r="N967" s="1">
        <f t="shared" si="31"/>
        <v>208.12</v>
      </c>
    </row>
    <row r="968" spans="1:14" x14ac:dyDescent="0.3">
      <c r="A968" s="1" t="s">
        <v>1432</v>
      </c>
      <c r="B968" s="1" t="s">
        <v>754</v>
      </c>
      <c r="C968" s="1" t="s">
        <v>213</v>
      </c>
      <c r="D968" s="1">
        <v>5</v>
      </c>
      <c r="E968" s="12">
        <v>45864.192361111112</v>
      </c>
      <c r="F968" s="1" t="s">
        <v>39</v>
      </c>
      <c r="G968" s="1" t="s">
        <v>40</v>
      </c>
      <c r="H968" s="1" t="s">
        <v>41</v>
      </c>
      <c r="I968" s="1" t="s">
        <v>102</v>
      </c>
      <c r="J968" s="1" t="str">
        <f t="shared" si="30"/>
        <v>disputed</v>
      </c>
      <c r="K968" s="1" t="str">
        <f>_xlfn.XLOOKUP(C968, 'Product Catalog'!$A:$A, 'Product Catalog'!$B:$B, "Unknown Product")</f>
        <v>Cloud Storage Basic Model L63</v>
      </c>
      <c r="L968" s="1" t="str">
        <f>_xlfn.XLOOKUP(C968, 'Product Catalog'!$A:$A, 'Product Catalog'!$C:$C, "Unknown Category")</f>
        <v>Digital Services</v>
      </c>
      <c r="M968" s="1">
        <f>_xlfn.XLOOKUP(C968, 'Product Catalog'!$A:$A, 'Product Catalog'!$D:$D, 0)</f>
        <v>20.48</v>
      </c>
      <c r="N968" s="1">
        <f t="shared" si="31"/>
        <v>102.4</v>
      </c>
    </row>
    <row r="969" spans="1:14" x14ac:dyDescent="0.3">
      <c r="A969" s="1" t="s">
        <v>1433</v>
      </c>
      <c r="B969" s="1" t="s">
        <v>1434</v>
      </c>
      <c r="C969" s="1" t="s">
        <v>157</v>
      </c>
      <c r="D969" s="1">
        <v>2</v>
      </c>
      <c r="E969" s="12">
        <v>45926.808333333334</v>
      </c>
      <c r="F969" s="1" t="s">
        <v>19</v>
      </c>
      <c r="G969" s="1" t="s">
        <v>109</v>
      </c>
      <c r="H969" s="1" t="s">
        <v>41</v>
      </c>
      <c r="I969" s="1" t="s">
        <v>15</v>
      </c>
      <c r="J969" s="1" t="str">
        <f t="shared" si="30"/>
        <v>delivered</v>
      </c>
      <c r="K969" s="1" t="str">
        <f>_xlfn.XLOOKUP(C969, 'Product Catalog'!$A:$A, 'Product Catalog'!$B:$B, "Unknown Product")</f>
        <v>Coffee Maker Model Q68</v>
      </c>
      <c r="L969" s="1" t="str">
        <f>_xlfn.XLOOKUP(C969, 'Product Catalog'!$A:$A, 'Product Catalog'!$C:$C, "Unknown Category")</f>
        <v>Home Goods</v>
      </c>
      <c r="M969" s="1">
        <f>_xlfn.XLOOKUP(C969, 'Product Catalog'!$A:$A, 'Product Catalog'!$D:$D, 0)</f>
        <v>28.02</v>
      </c>
      <c r="N969" s="1">
        <f t="shared" si="31"/>
        <v>56.04</v>
      </c>
    </row>
    <row r="970" spans="1:14" x14ac:dyDescent="0.3">
      <c r="A970" s="1" t="s">
        <v>1435</v>
      </c>
      <c r="B970" s="1" t="s">
        <v>977</v>
      </c>
      <c r="C970" s="1" t="s">
        <v>619</v>
      </c>
      <c r="D970" s="1">
        <v>2</v>
      </c>
      <c r="E970" s="12">
        <v>45672.246527777781</v>
      </c>
      <c r="F970" s="1" t="s">
        <v>19</v>
      </c>
      <c r="G970" s="1" t="s">
        <v>109</v>
      </c>
      <c r="H970" s="1" t="s">
        <v>41</v>
      </c>
      <c r="I970" s="1" t="s">
        <v>81</v>
      </c>
      <c r="J970" s="1" t="str">
        <f t="shared" si="30"/>
        <v>REFUNDED</v>
      </c>
      <c r="K970" s="1" t="str">
        <f>_xlfn.XLOOKUP(C970, 'Product Catalog'!$A:$A, 'Product Catalog'!$B:$B, "Unknown Product")</f>
        <v>Jacket Model B27</v>
      </c>
      <c r="L970" s="1" t="str">
        <f>_xlfn.XLOOKUP(C970, 'Product Catalog'!$A:$A, 'Product Catalog'!$C:$C, "Unknown Category")</f>
        <v>Apparel</v>
      </c>
      <c r="M970" s="1">
        <f>_xlfn.XLOOKUP(C970, 'Product Catalog'!$A:$A, 'Product Catalog'!$D:$D, 0)</f>
        <v>64.290000000000006</v>
      </c>
      <c r="N970" s="1">
        <f t="shared" si="31"/>
        <v>128.58000000000001</v>
      </c>
    </row>
    <row r="971" spans="1:14" x14ac:dyDescent="0.3">
      <c r="A971" s="1" t="s">
        <v>1436</v>
      </c>
      <c r="B971" s="1" t="s">
        <v>607</v>
      </c>
      <c r="C971" s="1" t="s">
        <v>195</v>
      </c>
      <c r="D971" s="1">
        <v>1</v>
      </c>
      <c r="E971" s="12">
        <v>45756.285416666666</v>
      </c>
      <c r="F971" s="1" t="s">
        <v>19</v>
      </c>
      <c r="G971" s="1" t="s">
        <v>46</v>
      </c>
      <c r="H971" s="1" t="s">
        <v>14</v>
      </c>
      <c r="I971" s="1" t="s">
        <v>15</v>
      </c>
      <c r="J971" s="1" t="str">
        <f t="shared" si="30"/>
        <v>delivered</v>
      </c>
      <c r="K971" s="1" t="str">
        <f>_xlfn.XLOOKUP(C971, 'Product Catalog'!$A:$A, 'Product Catalog'!$B:$B, "Unknown Product")</f>
        <v>Blender Model L89</v>
      </c>
      <c r="L971" s="1" t="str">
        <f>_xlfn.XLOOKUP(C971, 'Product Catalog'!$A:$A, 'Product Catalog'!$C:$C, "Unknown Category")</f>
        <v>Home Goods</v>
      </c>
      <c r="M971" s="1">
        <f>_xlfn.XLOOKUP(C971, 'Product Catalog'!$A:$A, 'Product Catalog'!$D:$D, 0)</f>
        <v>138.6</v>
      </c>
      <c r="N971" s="1">
        <f t="shared" si="31"/>
        <v>138.6</v>
      </c>
    </row>
    <row r="972" spans="1:14" x14ac:dyDescent="0.3">
      <c r="A972" s="1" t="s">
        <v>1437</v>
      </c>
      <c r="B972" s="1" t="s">
        <v>64</v>
      </c>
      <c r="C972" s="1" t="s">
        <v>301</v>
      </c>
      <c r="D972" s="1">
        <v>4</v>
      </c>
      <c r="E972" s="12">
        <v>45687.354166666664</v>
      </c>
      <c r="F972" s="1" t="s">
        <v>170</v>
      </c>
      <c r="G972" s="1" t="s">
        <v>40</v>
      </c>
      <c r="H972" s="1" t="s">
        <v>51</v>
      </c>
      <c r="I972" s="1" t="s">
        <v>102</v>
      </c>
      <c r="J972" s="1" t="str">
        <f t="shared" si="30"/>
        <v>disputed</v>
      </c>
      <c r="K972" s="1" t="str">
        <f>_xlfn.XLOOKUP(C972, 'Product Catalog'!$A:$A, 'Product Catalog'!$B:$B, "Unknown Product")</f>
        <v>Mouse Model D107</v>
      </c>
      <c r="L972" s="1" t="str">
        <f>_xlfn.XLOOKUP(C972, 'Product Catalog'!$A:$A, 'Product Catalog'!$C:$C, "Unknown Category")</f>
        <v>Electronics</v>
      </c>
      <c r="M972" s="1">
        <f>_xlfn.XLOOKUP(C972, 'Product Catalog'!$A:$A, 'Product Catalog'!$D:$D, 0)</f>
        <v>155.19</v>
      </c>
      <c r="N972" s="1">
        <f t="shared" si="31"/>
        <v>620.76</v>
      </c>
    </row>
    <row r="973" spans="1:14" x14ac:dyDescent="0.3">
      <c r="A973" s="1" t="s">
        <v>1438</v>
      </c>
      <c r="B973" s="1" t="s">
        <v>886</v>
      </c>
      <c r="C973" s="1" t="s">
        <v>206</v>
      </c>
      <c r="D973" s="1">
        <v>1</v>
      </c>
      <c r="E973" s="12">
        <v>45674.648611111108</v>
      </c>
      <c r="F973" s="1" t="s">
        <v>19</v>
      </c>
      <c r="G973" s="1" t="s">
        <v>40</v>
      </c>
      <c r="H973" s="1" t="s">
        <v>55</v>
      </c>
      <c r="I973" s="1" t="s">
        <v>42</v>
      </c>
      <c r="J973" s="1" t="str">
        <f t="shared" si="30"/>
        <v>PENDING_REVIEW</v>
      </c>
      <c r="K973" s="1" t="str">
        <f>_xlfn.XLOOKUP(C973, 'Product Catalog'!$A:$A, 'Product Catalog'!$B:$B, "Unknown Product")</f>
        <v>Webcam Model F31</v>
      </c>
      <c r="L973" s="1" t="str">
        <f>_xlfn.XLOOKUP(C973, 'Product Catalog'!$A:$A, 'Product Catalog'!$C:$C, "Unknown Category")</f>
        <v>Electronics</v>
      </c>
      <c r="M973" s="1">
        <f>_xlfn.XLOOKUP(C973, 'Product Catalog'!$A:$A, 'Product Catalog'!$D:$D, 0)</f>
        <v>184.37</v>
      </c>
      <c r="N973" s="1">
        <f t="shared" si="31"/>
        <v>184.37</v>
      </c>
    </row>
    <row r="974" spans="1:14" x14ac:dyDescent="0.3">
      <c r="A974" s="1" t="s">
        <v>1439</v>
      </c>
      <c r="B974" s="1" t="s">
        <v>342</v>
      </c>
      <c r="C974" s="1" t="s">
        <v>192</v>
      </c>
      <c r="D974" s="1">
        <v>4</v>
      </c>
      <c r="E974" s="12">
        <v>45683.512499999997</v>
      </c>
      <c r="F974" s="1" t="s">
        <v>12</v>
      </c>
      <c r="G974" s="1" t="s">
        <v>40</v>
      </c>
      <c r="H974" s="1" t="s">
        <v>51</v>
      </c>
      <c r="I974" s="1" t="s">
        <v>56</v>
      </c>
      <c r="J974" s="1" t="str">
        <f t="shared" si="30"/>
        <v>cancelled</v>
      </c>
      <c r="K974" s="1" t="str">
        <f>_xlfn.XLOOKUP(C974, 'Product Catalog'!$A:$A, 'Product Catalog'!$B:$B, "Unknown Product")</f>
        <v>Leather Handbag Model R69</v>
      </c>
      <c r="L974" s="1" t="str">
        <f>_xlfn.XLOOKUP(C974, 'Product Catalog'!$A:$A, 'Product Catalog'!$C:$C, "Unknown Category")</f>
        <v>Luxury Goods</v>
      </c>
      <c r="M974" s="1">
        <f>_xlfn.XLOOKUP(C974, 'Product Catalog'!$A:$A, 'Product Catalog'!$D:$D, 0)</f>
        <v>425.14</v>
      </c>
      <c r="N974" s="1">
        <f t="shared" si="31"/>
        <v>1700.56</v>
      </c>
    </row>
    <row r="975" spans="1:14" x14ac:dyDescent="0.3">
      <c r="A975" s="1" t="s">
        <v>1440</v>
      </c>
      <c r="B975" s="1" t="s">
        <v>34</v>
      </c>
      <c r="C975" s="1" t="s">
        <v>542</v>
      </c>
      <c r="D975" s="1">
        <v>2</v>
      </c>
      <c r="E975" s="12">
        <v>46018.282638888886</v>
      </c>
      <c r="F975" s="1" t="s">
        <v>19</v>
      </c>
      <c r="G975" s="1" t="s">
        <v>109</v>
      </c>
      <c r="H975" s="1" t="s">
        <v>14</v>
      </c>
      <c r="I975" s="1" t="s">
        <v>15</v>
      </c>
      <c r="J975" s="1" t="str">
        <f t="shared" si="30"/>
        <v>delivered</v>
      </c>
      <c r="K975" s="1" t="str">
        <f>_xlfn.XLOOKUP(C975, 'Product Catalog'!$A:$A, 'Product Catalog'!$B:$B, "Unknown Product")</f>
        <v>Cable Model M38</v>
      </c>
      <c r="L975" s="1" t="str">
        <f>_xlfn.XLOOKUP(C975, 'Product Catalog'!$A:$A, 'Product Catalog'!$C:$C, "Unknown Category")</f>
        <v>Electronics</v>
      </c>
      <c r="M975" s="1">
        <f>_xlfn.XLOOKUP(C975, 'Product Catalog'!$A:$A, 'Product Catalog'!$D:$D, 0)</f>
        <v>91.18</v>
      </c>
      <c r="N975" s="1">
        <f t="shared" si="31"/>
        <v>182.36</v>
      </c>
    </row>
    <row r="976" spans="1:14" x14ac:dyDescent="0.3">
      <c r="A976" s="1" t="s">
        <v>1441</v>
      </c>
      <c r="B976" s="1" t="s">
        <v>918</v>
      </c>
      <c r="C976" s="1" t="s">
        <v>314</v>
      </c>
      <c r="D976" s="1">
        <v>5</v>
      </c>
      <c r="E976" s="12">
        <v>45798.523611111108</v>
      </c>
      <c r="F976" s="1" t="s">
        <v>12</v>
      </c>
      <c r="G976" s="1" t="s">
        <v>50</v>
      </c>
      <c r="H976" s="1" t="s">
        <v>51</v>
      </c>
      <c r="I976" s="1" t="s">
        <v>42</v>
      </c>
      <c r="J976" s="1" t="str">
        <f t="shared" si="30"/>
        <v>PENDING_REVIEW</v>
      </c>
      <c r="K976" s="1" t="str">
        <f>_xlfn.XLOOKUP(C976, 'Product Catalog'!$A:$A, 'Product Catalog'!$B:$B, "Unknown Product")</f>
        <v>Smartwatch Model A104</v>
      </c>
      <c r="L976" s="1" t="str">
        <f>_xlfn.XLOOKUP(C976, 'Product Catalog'!$A:$A, 'Product Catalog'!$C:$C, "Unknown Category")</f>
        <v>Electronics</v>
      </c>
      <c r="M976" s="1">
        <f>_xlfn.XLOOKUP(C976, 'Product Catalog'!$A:$A, 'Product Catalog'!$D:$D, 0)</f>
        <v>80.59</v>
      </c>
      <c r="N976" s="1">
        <f t="shared" si="31"/>
        <v>402.95000000000005</v>
      </c>
    </row>
    <row r="977" spans="1:14" x14ac:dyDescent="0.3">
      <c r="A977" s="1" t="s">
        <v>1442</v>
      </c>
      <c r="B977" s="1" t="s">
        <v>943</v>
      </c>
      <c r="C977" s="1" t="s">
        <v>18</v>
      </c>
      <c r="D977" s="1">
        <v>5</v>
      </c>
      <c r="E977" s="12">
        <v>45895.718055555553</v>
      </c>
      <c r="F977" s="1" t="s">
        <v>39</v>
      </c>
      <c r="G977" s="1" t="s">
        <v>50</v>
      </c>
      <c r="H977" s="1" t="s">
        <v>51</v>
      </c>
      <c r="I977" s="1" t="s">
        <v>81</v>
      </c>
      <c r="J977" s="1" t="str">
        <f t="shared" si="30"/>
        <v>REFUNDED</v>
      </c>
      <c r="K977" s="1" t="str">
        <f>_xlfn.XLOOKUP(C977, 'Product Catalog'!$A:$A, 'Product Catalog'!$B:$B, "Unknown Product")</f>
        <v>Sneakers Model H137</v>
      </c>
      <c r="L977" s="1" t="str">
        <f>_xlfn.XLOOKUP(C977, 'Product Catalog'!$A:$A, 'Product Catalog'!$C:$C, "Unknown Category")</f>
        <v>Apparel</v>
      </c>
      <c r="M977" s="1">
        <f>_xlfn.XLOOKUP(C977, 'Product Catalog'!$A:$A, 'Product Catalog'!$D:$D, 0)</f>
        <v>33.53</v>
      </c>
      <c r="N977" s="1">
        <f t="shared" si="31"/>
        <v>167.65</v>
      </c>
    </row>
    <row r="978" spans="1:14" x14ac:dyDescent="0.3">
      <c r="A978" s="1" t="s">
        <v>1443</v>
      </c>
      <c r="B978" s="1" t="s">
        <v>319</v>
      </c>
      <c r="C978" s="1" t="s">
        <v>173</v>
      </c>
      <c r="D978" s="1">
        <v>1</v>
      </c>
      <c r="E978" s="12">
        <v>45861.90347222222</v>
      </c>
      <c r="F978" s="1" t="s">
        <v>19</v>
      </c>
      <c r="G978" s="1" t="s">
        <v>31</v>
      </c>
      <c r="H978" s="1" t="s">
        <v>41</v>
      </c>
      <c r="I978" s="1" t="s">
        <v>81</v>
      </c>
      <c r="J978" s="1" t="str">
        <f t="shared" si="30"/>
        <v>REFUNDED</v>
      </c>
      <c r="K978" s="1" t="str">
        <f>_xlfn.XLOOKUP(C978, 'Product Catalog'!$A:$A, 'Product Catalog'!$B:$B, "Unknown Product")</f>
        <v>Premium Perfume Model Q120</v>
      </c>
      <c r="L978" s="1" t="str">
        <f>_xlfn.XLOOKUP(C978, 'Product Catalog'!$A:$A, 'Product Catalog'!$C:$C, "Unknown Category")</f>
        <v>Luxury Goods</v>
      </c>
      <c r="M978" s="1">
        <f>_xlfn.XLOOKUP(C978, 'Product Catalog'!$A:$A, 'Product Catalog'!$D:$D, 0)</f>
        <v>505.45</v>
      </c>
      <c r="N978" s="1">
        <f t="shared" si="31"/>
        <v>505.45</v>
      </c>
    </row>
    <row r="979" spans="1:14" x14ac:dyDescent="0.3">
      <c r="A979" s="1" t="s">
        <v>1444</v>
      </c>
      <c r="B979" s="1" t="s">
        <v>139</v>
      </c>
      <c r="C979" s="1" t="s">
        <v>77</v>
      </c>
      <c r="D979" s="1">
        <v>5</v>
      </c>
      <c r="E979" s="12">
        <v>45721.96875</v>
      </c>
      <c r="F979" s="1" t="s">
        <v>170</v>
      </c>
      <c r="G979" s="1" t="s">
        <v>40</v>
      </c>
      <c r="H979" s="1" t="s">
        <v>41</v>
      </c>
      <c r="I979" s="1" t="s">
        <v>56</v>
      </c>
      <c r="J979" s="1" t="str">
        <f t="shared" si="30"/>
        <v>cancelled</v>
      </c>
      <c r="K979" s="1" t="str">
        <f>_xlfn.XLOOKUP(C979, 'Product Catalog'!$A:$A, 'Product Catalog'!$B:$B, "Unknown Product")</f>
        <v>Mug Model E108</v>
      </c>
      <c r="L979" s="1" t="str">
        <f>_xlfn.XLOOKUP(C979, 'Product Catalog'!$A:$A, 'Product Catalog'!$C:$C, "Unknown Category")</f>
        <v>Home Goods</v>
      </c>
      <c r="M979" s="1">
        <f>_xlfn.XLOOKUP(C979, 'Product Catalog'!$A:$A, 'Product Catalog'!$D:$D, 0)</f>
        <v>116.99</v>
      </c>
      <c r="N979" s="1">
        <f t="shared" si="31"/>
        <v>584.94999999999993</v>
      </c>
    </row>
    <row r="980" spans="1:14" x14ac:dyDescent="0.3">
      <c r="A980" s="1" t="s">
        <v>1445</v>
      </c>
      <c r="B980" s="1" t="s">
        <v>274</v>
      </c>
      <c r="C980" s="1" t="s">
        <v>706</v>
      </c>
      <c r="D980" s="1">
        <v>1</v>
      </c>
      <c r="E980" s="12">
        <v>45673.34375</v>
      </c>
      <c r="F980" s="1" t="s">
        <v>19</v>
      </c>
      <c r="G980" s="1" t="s">
        <v>46</v>
      </c>
      <c r="H980" s="1" t="s">
        <v>24</v>
      </c>
      <c r="I980" s="1" t="s">
        <v>15</v>
      </c>
      <c r="J980" s="1" t="str">
        <f t="shared" si="30"/>
        <v>delivered</v>
      </c>
      <c r="K980" s="1" t="str">
        <f>_xlfn.XLOOKUP(C980, 'Product Catalog'!$A:$A, 'Product Catalog'!$B:$B, "Unknown Product")</f>
        <v>Software License Tier A Model T19</v>
      </c>
      <c r="L980" s="1" t="str">
        <f>_xlfn.XLOOKUP(C980, 'Product Catalog'!$A:$A, 'Product Catalog'!$C:$C, "Unknown Category")</f>
        <v>Digital Services</v>
      </c>
      <c r="M980" s="1">
        <f>_xlfn.XLOOKUP(C980, 'Product Catalog'!$A:$A, 'Product Catalog'!$D:$D, 0)</f>
        <v>30.38</v>
      </c>
      <c r="N980" s="1">
        <f t="shared" si="31"/>
        <v>30.38</v>
      </c>
    </row>
    <row r="981" spans="1:14" x14ac:dyDescent="0.3">
      <c r="A981" s="1" t="s">
        <v>1446</v>
      </c>
      <c r="B981" s="1" t="s">
        <v>546</v>
      </c>
      <c r="C981" s="1" t="s">
        <v>80</v>
      </c>
      <c r="D981" s="1">
        <v>4</v>
      </c>
      <c r="E981" s="12">
        <v>45848.695138888892</v>
      </c>
      <c r="F981" s="1" t="s">
        <v>19</v>
      </c>
      <c r="G981" s="1" t="s">
        <v>50</v>
      </c>
      <c r="H981" s="1" t="s">
        <v>41</v>
      </c>
      <c r="I981" s="1" t="s">
        <v>42</v>
      </c>
      <c r="J981" s="1" t="str">
        <f t="shared" si="30"/>
        <v>PENDING_REVIEW</v>
      </c>
      <c r="K981" s="1" t="str">
        <f>_xlfn.XLOOKUP(C981, 'Product Catalog'!$A:$A, 'Product Catalog'!$B:$B, "Unknown Product")</f>
        <v>Leather Handbag Model S18</v>
      </c>
      <c r="L981" s="1" t="str">
        <f>_xlfn.XLOOKUP(C981, 'Product Catalog'!$A:$A, 'Product Catalog'!$C:$C, "Unknown Category")</f>
        <v>Luxury Goods</v>
      </c>
      <c r="M981" s="1">
        <f>_xlfn.XLOOKUP(C981, 'Product Catalog'!$A:$A, 'Product Catalog'!$D:$D, 0)</f>
        <v>1475.11</v>
      </c>
      <c r="N981" s="1">
        <f t="shared" si="31"/>
        <v>5900.44</v>
      </c>
    </row>
    <row r="982" spans="1:14" x14ac:dyDescent="0.3">
      <c r="A982" s="1" t="s">
        <v>1447</v>
      </c>
      <c r="B982" s="1" t="s">
        <v>417</v>
      </c>
      <c r="C982" s="1" t="s">
        <v>157</v>
      </c>
      <c r="D982" s="1">
        <v>1</v>
      </c>
      <c r="E982" s="12">
        <v>45962.634027777778</v>
      </c>
      <c r="F982" s="1" t="s">
        <v>19</v>
      </c>
      <c r="G982" s="1" t="s">
        <v>46</v>
      </c>
      <c r="H982" s="1" t="s">
        <v>41</v>
      </c>
      <c r="I982" s="1" t="s">
        <v>15</v>
      </c>
      <c r="J982" s="1" t="str">
        <f t="shared" si="30"/>
        <v>delivered</v>
      </c>
      <c r="K982" s="1" t="str">
        <f>_xlfn.XLOOKUP(C982, 'Product Catalog'!$A:$A, 'Product Catalog'!$B:$B, "Unknown Product")</f>
        <v>Coffee Maker Model Q68</v>
      </c>
      <c r="L982" s="1" t="str">
        <f>_xlfn.XLOOKUP(C982, 'Product Catalog'!$A:$A, 'Product Catalog'!$C:$C, "Unknown Category")</f>
        <v>Home Goods</v>
      </c>
      <c r="M982" s="1">
        <f>_xlfn.XLOOKUP(C982, 'Product Catalog'!$A:$A, 'Product Catalog'!$D:$D, 0)</f>
        <v>28.02</v>
      </c>
      <c r="N982" s="1">
        <f t="shared" si="31"/>
        <v>28.02</v>
      </c>
    </row>
    <row r="983" spans="1:14" x14ac:dyDescent="0.3">
      <c r="A983" s="1" t="s">
        <v>1448</v>
      </c>
      <c r="B983" s="1" t="s">
        <v>1449</v>
      </c>
      <c r="C983" s="1" t="s">
        <v>74</v>
      </c>
      <c r="D983" s="1">
        <v>5</v>
      </c>
      <c r="E983" s="12">
        <v>45748.674305555556</v>
      </c>
      <c r="F983" s="1" t="s">
        <v>39</v>
      </c>
      <c r="G983" s="1" t="s">
        <v>40</v>
      </c>
      <c r="H983" s="1" t="s">
        <v>41</v>
      </c>
      <c r="I983" s="1" t="s">
        <v>42</v>
      </c>
      <c r="J983" s="1" t="str">
        <f t="shared" si="30"/>
        <v>PENDING_REVIEW</v>
      </c>
      <c r="K983" s="1" t="str">
        <f>_xlfn.XLOOKUP(C983, 'Product Catalog'!$A:$A, 'Product Catalog'!$B:$B, "Unknown Product")</f>
        <v>Webcam Model D55</v>
      </c>
      <c r="L983" s="1" t="str">
        <f>_xlfn.XLOOKUP(C983, 'Product Catalog'!$A:$A, 'Product Catalog'!$C:$C, "Unknown Category")</f>
        <v>Electronics</v>
      </c>
      <c r="M983" s="1">
        <f>_xlfn.XLOOKUP(C983, 'Product Catalog'!$A:$A, 'Product Catalog'!$D:$D, 0)</f>
        <v>168.56</v>
      </c>
      <c r="N983" s="1">
        <f t="shared" si="31"/>
        <v>842.8</v>
      </c>
    </row>
    <row r="984" spans="1:14" x14ac:dyDescent="0.3">
      <c r="A984" s="1" t="s">
        <v>1450</v>
      </c>
      <c r="B984" s="1" t="s">
        <v>607</v>
      </c>
      <c r="C984" s="1" t="s">
        <v>253</v>
      </c>
      <c r="D984" s="1">
        <v>3</v>
      </c>
      <c r="E984" s="12">
        <v>45958.78402777778</v>
      </c>
      <c r="F984" s="1" t="s">
        <v>12</v>
      </c>
      <c r="G984" s="1" t="s">
        <v>46</v>
      </c>
      <c r="H984" s="1" t="s">
        <v>24</v>
      </c>
      <c r="I984" s="1" t="s">
        <v>32</v>
      </c>
      <c r="J984" s="1" t="str">
        <f t="shared" si="30"/>
        <v>SHIPPED</v>
      </c>
      <c r="K984" s="1" t="str">
        <f>_xlfn.XLOOKUP(C984, 'Product Catalog'!$A:$A, 'Product Catalog'!$B:$B, "Unknown Product")</f>
        <v>Hoodie Model B79</v>
      </c>
      <c r="L984" s="1" t="str">
        <f>_xlfn.XLOOKUP(C984, 'Product Catalog'!$A:$A, 'Product Catalog'!$C:$C, "Unknown Category")</f>
        <v>Apparel</v>
      </c>
      <c r="M984" s="1">
        <f>_xlfn.XLOOKUP(C984, 'Product Catalog'!$A:$A, 'Product Catalog'!$D:$D, 0)</f>
        <v>106.9</v>
      </c>
      <c r="N984" s="1">
        <f t="shared" si="31"/>
        <v>320.70000000000005</v>
      </c>
    </row>
    <row r="985" spans="1:14" x14ac:dyDescent="0.3">
      <c r="A985" s="1" t="s">
        <v>1451</v>
      </c>
      <c r="B985" s="1" t="s">
        <v>553</v>
      </c>
      <c r="C985" s="1" t="s">
        <v>200</v>
      </c>
      <c r="D985" s="1">
        <v>5</v>
      </c>
      <c r="E985" s="12">
        <v>45837.489583333336</v>
      </c>
      <c r="F985" s="1" t="s">
        <v>170</v>
      </c>
      <c r="G985" s="1" t="s">
        <v>50</v>
      </c>
      <c r="H985" s="1" t="s">
        <v>41</v>
      </c>
      <c r="I985" s="1" t="s">
        <v>102</v>
      </c>
      <c r="J985" s="1" t="str">
        <f t="shared" si="30"/>
        <v>disputed</v>
      </c>
      <c r="K985" s="1" t="str">
        <f>_xlfn.XLOOKUP(C985, 'Product Catalog'!$A:$A, 'Product Catalog'!$B:$B, "Unknown Product")</f>
        <v>Socks Model G58</v>
      </c>
      <c r="L985" s="1" t="str">
        <f>_xlfn.XLOOKUP(C985, 'Product Catalog'!$A:$A, 'Product Catalog'!$C:$C, "Unknown Category")</f>
        <v>Apparel</v>
      </c>
      <c r="M985" s="1">
        <f>_xlfn.XLOOKUP(C985, 'Product Catalog'!$A:$A, 'Product Catalog'!$D:$D, 0)</f>
        <v>30.18</v>
      </c>
      <c r="N985" s="1">
        <f t="shared" si="31"/>
        <v>150.9</v>
      </c>
    </row>
    <row r="986" spans="1:14" x14ac:dyDescent="0.3">
      <c r="A986" s="1" t="s">
        <v>1452</v>
      </c>
      <c r="B986" s="1" t="s">
        <v>228</v>
      </c>
      <c r="C986" s="1" t="s">
        <v>268</v>
      </c>
      <c r="D986" s="1">
        <v>1</v>
      </c>
      <c r="E986" s="12">
        <v>45741.367361111108</v>
      </c>
      <c r="F986" s="1" t="s">
        <v>19</v>
      </c>
      <c r="G986" s="1" t="s">
        <v>20</v>
      </c>
      <c r="H986" s="1" t="s">
        <v>14</v>
      </c>
      <c r="I986" s="1" t="s">
        <v>15</v>
      </c>
      <c r="J986" s="1" t="str">
        <f t="shared" si="30"/>
        <v>delivered</v>
      </c>
      <c r="K986" s="1" t="str">
        <f>_xlfn.XLOOKUP(C986, 'Product Catalog'!$A:$A, 'Product Catalog'!$B:$B, "Unknown Product")</f>
        <v>Sneakers Model P119</v>
      </c>
      <c r="L986" s="1" t="str">
        <f>_xlfn.XLOOKUP(C986, 'Product Catalog'!$A:$A, 'Product Catalog'!$C:$C, "Unknown Category")</f>
        <v>Apparel</v>
      </c>
      <c r="M986" s="1">
        <f>_xlfn.XLOOKUP(C986, 'Product Catalog'!$A:$A, 'Product Catalog'!$D:$D, 0)</f>
        <v>19.329999999999998</v>
      </c>
      <c r="N986" s="1">
        <f t="shared" si="31"/>
        <v>19.329999999999998</v>
      </c>
    </row>
    <row r="987" spans="1:14" x14ac:dyDescent="0.3">
      <c r="A987" s="1" t="s">
        <v>1453</v>
      </c>
      <c r="B987" s="1" t="s">
        <v>1051</v>
      </c>
      <c r="C987" s="1" t="s">
        <v>1454</v>
      </c>
      <c r="D987" s="1">
        <v>1</v>
      </c>
      <c r="E987" s="12">
        <v>46010.128472222219</v>
      </c>
      <c r="F987" s="1" t="s">
        <v>19</v>
      </c>
      <c r="G987" s="1" t="s">
        <v>13</v>
      </c>
      <c r="H987" s="1" t="s">
        <v>41</v>
      </c>
      <c r="I987" s="1" t="s">
        <v>15</v>
      </c>
      <c r="J987" s="1" t="str">
        <f t="shared" si="30"/>
        <v>delivered</v>
      </c>
      <c r="K987" s="1" t="str">
        <f>_xlfn.XLOOKUP(C987, 'Product Catalog'!$A:$A, 'Product Catalog'!$B:$B, "Unknown Product")</f>
        <v>Charger Model Z77</v>
      </c>
      <c r="L987" s="1" t="str">
        <f>_xlfn.XLOOKUP(C987, 'Product Catalog'!$A:$A, 'Product Catalog'!$C:$C, "Unknown Category")</f>
        <v>Electronics</v>
      </c>
      <c r="M987" s="1">
        <f>_xlfn.XLOOKUP(C987, 'Product Catalog'!$A:$A, 'Product Catalog'!$D:$D, 0)</f>
        <v>160.97</v>
      </c>
      <c r="N987" s="1">
        <f t="shared" si="31"/>
        <v>160.97</v>
      </c>
    </row>
    <row r="988" spans="1:14" x14ac:dyDescent="0.3">
      <c r="A988" s="1" t="s">
        <v>1455</v>
      </c>
      <c r="B988" s="1" t="s">
        <v>1021</v>
      </c>
      <c r="C988" s="1" t="s">
        <v>498</v>
      </c>
      <c r="D988" s="1">
        <v>5</v>
      </c>
      <c r="E988" s="12">
        <v>45803.038888888892</v>
      </c>
      <c r="F988" s="1" t="s">
        <v>170</v>
      </c>
      <c r="G988" s="1" t="s">
        <v>109</v>
      </c>
      <c r="H988" s="1" t="s">
        <v>51</v>
      </c>
      <c r="I988" s="1" t="s">
        <v>102</v>
      </c>
      <c r="J988" s="1" t="str">
        <f t="shared" si="30"/>
        <v>disputed</v>
      </c>
      <c r="K988" s="1" t="str">
        <f>_xlfn.XLOOKUP(C988, 'Product Catalog'!$A:$A, 'Product Catalog'!$B:$B, "Unknown Product")</f>
        <v>Leather Handbag Model N143</v>
      </c>
      <c r="L988" s="1" t="str">
        <f>_xlfn.XLOOKUP(C988, 'Product Catalog'!$A:$A, 'Product Catalog'!$C:$C, "Unknown Category")</f>
        <v>Luxury Goods</v>
      </c>
      <c r="M988" s="1">
        <f>_xlfn.XLOOKUP(C988, 'Product Catalog'!$A:$A, 'Product Catalog'!$D:$D, 0)</f>
        <v>1374.1</v>
      </c>
      <c r="N988" s="1">
        <f t="shared" si="31"/>
        <v>6870.5</v>
      </c>
    </row>
    <row r="989" spans="1:14" x14ac:dyDescent="0.3">
      <c r="A989" s="1" t="s">
        <v>1456</v>
      </c>
      <c r="B989" s="1" t="s">
        <v>212</v>
      </c>
      <c r="C989" s="1" t="s">
        <v>11</v>
      </c>
      <c r="D989" s="1">
        <v>1</v>
      </c>
      <c r="E989" s="12">
        <v>45855.070138888892</v>
      </c>
      <c r="F989" s="1" t="s">
        <v>12</v>
      </c>
      <c r="G989" s="1" t="s">
        <v>40</v>
      </c>
      <c r="H989" s="1" t="s">
        <v>55</v>
      </c>
      <c r="I989" s="1" t="s">
        <v>102</v>
      </c>
      <c r="J989" s="1" t="str">
        <f t="shared" si="30"/>
        <v>disputed</v>
      </c>
      <c r="K989" s="1" t="str">
        <f>_xlfn.XLOOKUP(C989, 'Product Catalog'!$A:$A, 'Product Catalog'!$B:$B, "Unknown Product")</f>
        <v>Keyboard Model F57</v>
      </c>
      <c r="L989" s="1" t="str">
        <f>_xlfn.XLOOKUP(C989, 'Product Catalog'!$A:$A, 'Product Catalog'!$C:$C, "Unknown Category")</f>
        <v>Electronics</v>
      </c>
      <c r="M989" s="1">
        <f>_xlfn.XLOOKUP(C989, 'Product Catalog'!$A:$A, 'Product Catalog'!$D:$D, 0)</f>
        <v>60.02</v>
      </c>
      <c r="N989" s="1">
        <f t="shared" si="31"/>
        <v>60.02</v>
      </c>
    </row>
    <row r="990" spans="1:14" x14ac:dyDescent="0.3">
      <c r="A990" s="1" t="s">
        <v>1457</v>
      </c>
      <c r="B990" s="1" t="s">
        <v>570</v>
      </c>
      <c r="C990" s="1" t="s">
        <v>200</v>
      </c>
      <c r="D990" s="1">
        <v>1</v>
      </c>
      <c r="E990" s="12">
        <v>45741.813194444447</v>
      </c>
      <c r="F990" s="1" t="s">
        <v>19</v>
      </c>
      <c r="G990" s="1" t="s">
        <v>109</v>
      </c>
      <c r="H990" s="1" t="s">
        <v>14</v>
      </c>
      <c r="I990" s="1" t="s">
        <v>15</v>
      </c>
      <c r="J990" s="1" t="str">
        <f t="shared" si="30"/>
        <v>delivered</v>
      </c>
      <c r="K990" s="1" t="str">
        <f>_xlfn.XLOOKUP(C990, 'Product Catalog'!$A:$A, 'Product Catalog'!$B:$B, "Unknown Product")</f>
        <v>Socks Model G58</v>
      </c>
      <c r="L990" s="1" t="str">
        <f>_xlfn.XLOOKUP(C990, 'Product Catalog'!$A:$A, 'Product Catalog'!$C:$C, "Unknown Category")</f>
        <v>Apparel</v>
      </c>
      <c r="M990" s="1">
        <f>_xlfn.XLOOKUP(C990, 'Product Catalog'!$A:$A, 'Product Catalog'!$D:$D, 0)</f>
        <v>30.18</v>
      </c>
      <c r="N990" s="1">
        <f t="shared" si="31"/>
        <v>30.18</v>
      </c>
    </row>
    <row r="991" spans="1:14" x14ac:dyDescent="0.3">
      <c r="A991" s="1" t="s">
        <v>1458</v>
      </c>
      <c r="B991" s="1" t="s">
        <v>305</v>
      </c>
      <c r="C991" s="1" t="s">
        <v>512</v>
      </c>
      <c r="D991" s="1">
        <v>5</v>
      </c>
      <c r="E991" s="12">
        <v>45767.314583333333</v>
      </c>
      <c r="F991" s="1" t="s">
        <v>39</v>
      </c>
      <c r="G991" s="1" t="s">
        <v>50</v>
      </c>
      <c r="H991" s="1" t="s">
        <v>51</v>
      </c>
      <c r="I991" s="1" t="s">
        <v>81</v>
      </c>
      <c r="J991" s="1" t="str">
        <f t="shared" si="30"/>
        <v>REFUNDED</v>
      </c>
      <c r="K991" s="1" t="str">
        <f>_xlfn.XLOOKUP(C991, 'Product Catalog'!$A:$A, 'Product Catalog'!$B:$B, "Unknown Product")</f>
        <v>Designer Watch Model M116</v>
      </c>
      <c r="L991" s="1" t="str">
        <f>_xlfn.XLOOKUP(C991, 'Product Catalog'!$A:$A, 'Product Catalog'!$C:$C, "Unknown Category")</f>
        <v>Luxury Goods</v>
      </c>
      <c r="M991" s="1">
        <f>_xlfn.XLOOKUP(C991, 'Product Catalog'!$A:$A, 'Product Catalog'!$D:$D, 0)</f>
        <v>968.52</v>
      </c>
      <c r="N991" s="1">
        <f t="shared" si="31"/>
        <v>4842.6000000000004</v>
      </c>
    </row>
    <row r="992" spans="1:14" x14ac:dyDescent="0.3">
      <c r="A992" s="1" t="s">
        <v>1459</v>
      </c>
      <c r="B992" s="1" t="s">
        <v>228</v>
      </c>
      <c r="C992" s="1" t="s">
        <v>18</v>
      </c>
      <c r="D992" s="1">
        <v>1</v>
      </c>
      <c r="E992" s="12">
        <v>45989.320138888892</v>
      </c>
      <c r="F992" s="1" t="s">
        <v>19</v>
      </c>
      <c r="G992" s="1" t="s">
        <v>31</v>
      </c>
      <c r="H992" s="1" t="s">
        <v>41</v>
      </c>
      <c r="I992" s="1" t="s">
        <v>15</v>
      </c>
      <c r="J992" s="1" t="str">
        <f t="shared" si="30"/>
        <v>delivered</v>
      </c>
      <c r="K992" s="1" t="str">
        <f>_xlfn.XLOOKUP(C992, 'Product Catalog'!$A:$A, 'Product Catalog'!$B:$B, "Unknown Product")</f>
        <v>Sneakers Model H137</v>
      </c>
      <c r="L992" s="1" t="str">
        <f>_xlfn.XLOOKUP(C992, 'Product Catalog'!$A:$A, 'Product Catalog'!$C:$C, "Unknown Category")</f>
        <v>Apparel</v>
      </c>
      <c r="M992" s="1">
        <f>_xlfn.XLOOKUP(C992, 'Product Catalog'!$A:$A, 'Product Catalog'!$D:$D, 0)</f>
        <v>33.53</v>
      </c>
      <c r="N992" s="1">
        <f t="shared" si="31"/>
        <v>33.53</v>
      </c>
    </row>
    <row r="993" spans="1:14" x14ac:dyDescent="0.3">
      <c r="A993" s="1" t="s">
        <v>1460</v>
      </c>
      <c r="B993" s="1" t="s">
        <v>598</v>
      </c>
      <c r="C993" s="1" t="s">
        <v>140</v>
      </c>
      <c r="D993" s="1">
        <v>4</v>
      </c>
      <c r="E993" s="12">
        <v>46004.293749999997</v>
      </c>
      <c r="F993" s="1" t="s">
        <v>12</v>
      </c>
      <c r="G993" s="1" t="s">
        <v>40</v>
      </c>
      <c r="H993" s="1" t="s">
        <v>51</v>
      </c>
      <c r="I993" s="1" t="s">
        <v>56</v>
      </c>
      <c r="J993" s="1" t="str">
        <f t="shared" si="30"/>
        <v>cancelled</v>
      </c>
      <c r="K993" s="1" t="str">
        <f>_xlfn.XLOOKUP(C993, 'Product Catalog'!$A:$A, 'Product Catalog'!$B:$B, "Unknown Product")</f>
        <v>Blender Model H85</v>
      </c>
      <c r="L993" s="1" t="str">
        <f>_xlfn.XLOOKUP(C993, 'Product Catalog'!$A:$A, 'Product Catalog'!$C:$C, "Unknown Category")</f>
        <v>Home Goods</v>
      </c>
      <c r="M993" s="1">
        <f>_xlfn.XLOOKUP(C993, 'Product Catalog'!$A:$A, 'Product Catalog'!$D:$D, 0)</f>
        <v>130</v>
      </c>
      <c r="N993" s="1">
        <f t="shared" si="31"/>
        <v>520</v>
      </c>
    </row>
    <row r="994" spans="1:14" x14ac:dyDescent="0.3">
      <c r="A994" s="1" t="s">
        <v>1461</v>
      </c>
      <c r="B994" s="1" t="s">
        <v>116</v>
      </c>
      <c r="C994" s="1" t="s">
        <v>181</v>
      </c>
      <c r="D994" s="1">
        <v>5</v>
      </c>
      <c r="E994" s="12">
        <v>45795.926388888889</v>
      </c>
      <c r="F994" s="1" t="s">
        <v>39</v>
      </c>
      <c r="G994" s="1" t="s">
        <v>40</v>
      </c>
      <c r="H994" s="1" t="s">
        <v>55</v>
      </c>
      <c r="I994" s="1" t="s">
        <v>81</v>
      </c>
      <c r="J994" s="1" t="str">
        <f t="shared" si="30"/>
        <v>REFUNDED</v>
      </c>
      <c r="K994" s="1" t="str">
        <f>_xlfn.XLOOKUP(C994, 'Product Catalog'!$A:$A, 'Product Catalog'!$B:$B, "Unknown Product")</f>
        <v>Premium Stream 1M Model V99</v>
      </c>
      <c r="L994" s="1" t="str">
        <f>_xlfn.XLOOKUP(C994, 'Product Catalog'!$A:$A, 'Product Catalog'!$C:$C, "Unknown Category")</f>
        <v>Digital Services</v>
      </c>
      <c r="M994" s="1">
        <f>_xlfn.XLOOKUP(C994, 'Product Catalog'!$A:$A, 'Product Catalog'!$D:$D, 0)</f>
        <v>30.08</v>
      </c>
      <c r="N994" s="1">
        <f t="shared" si="31"/>
        <v>150.39999999999998</v>
      </c>
    </row>
    <row r="995" spans="1:14" x14ac:dyDescent="0.3">
      <c r="A995" s="1" t="s">
        <v>1462</v>
      </c>
      <c r="B995" s="1" t="s">
        <v>686</v>
      </c>
      <c r="C995" s="1" t="s">
        <v>216</v>
      </c>
      <c r="D995" s="1">
        <v>5</v>
      </c>
      <c r="E995" s="12">
        <v>45867.729861111111</v>
      </c>
      <c r="F995" s="1" t="s">
        <v>12</v>
      </c>
      <c r="G995" s="1" t="s">
        <v>109</v>
      </c>
      <c r="H995" s="1" t="s">
        <v>41</v>
      </c>
      <c r="I995" s="1" t="s">
        <v>102</v>
      </c>
      <c r="J995" s="1" t="str">
        <f t="shared" si="30"/>
        <v>disputed</v>
      </c>
      <c r="K995" s="1" t="str">
        <f>_xlfn.XLOOKUP(C995, 'Product Catalog'!$A:$A, 'Product Catalog'!$B:$B, "Unknown Product")</f>
        <v>Premium Perfume Model X23</v>
      </c>
      <c r="L995" s="1" t="str">
        <f>_xlfn.XLOOKUP(C995, 'Product Catalog'!$A:$A, 'Product Catalog'!$C:$C, "Unknown Category")</f>
        <v>Luxury Goods</v>
      </c>
      <c r="M995" s="1">
        <f>_xlfn.XLOOKUP(C995, 'Product Catalog'!$A:$A, 'Product Catalog'!$D:$D, 0)</f>
        <v>767.78</v>
      </c>
      <c r="N995" s="1">
        <f t="shared" si="31"/>
        <v>3838.8999999999996</v>
      </c>
    </row>
    <row r="996" spans="1:14" x14ac:dyDescent="0.3">
      <c r="A996" s="1" t="s">
        <v>1463</v>
      </c>
      <c r="B996" s="1" t="s">
        <v>401</v>
      </c>
      <c r="C996" s="1" t="s">
        <v>30</v>
      </c>
      <c r="D996" s="1">
        <v>4</v>
      </c>
      <c r="E996" s="12">
        <v>45668.970138888886</v>
      </c>
      <c r="F996" s="1" t="s">
        <v>12</v>
      </c>
      <c r="G996" s="1" t="s">
        <v>40</v>
      </c>
      <c r="H996" s="1" t="s">
        <v>55</v>
      </c>
      <c r="I996" s="1" t="s">
        <v>81</v>
      </c>
      <c r="J996" s="1" t="str">
        <f t="shared" si="30"/>
        <v>REFUNDED</v>
      </c>
      <c r="K996" s="1" t="str">
        <f>_xlfn.XLOOKUP(C996, 'Product Catalog'!$A:$A, 'Product Catalog'!$B:$B, "Unknown Product")</f>
        <v>VPN 6-Month Pass Model B131</v>
      </c>
      <c r="L996" s="1" t="str">
        <f>_xlfn.XLOOKUP(C996, 'Product Catalog'!$A:$A, 'Product Catalog'!$C:$C, "Unknown Category")</f>
        <v>Digital Services</v>
      </c>
      <c r="M996" s="1">
        <f>_xlfn.XLOOKUP(C996, 'Product Catalog'!$A:$A, 'Product Catalog'!$D:$D, 0)</f>
        <v>46.92</v>
      </c>
      <c r="N996" s="1">
        <f t="shared" si="31"/>
        <v>187.68</v>
      </c>
    </row>
    <row r="997" spans="1:14" x14ac:dyDescent="0.3">
      <c r="A997" s="1" t="s">
        <v>1464</v>
      </c>
      <c r="B997" s="1" t="s">
        <v>869</v>
      </c>
      <c r="C997" s="1" t="s">
        <v>619</v>
      </c>
      <c r="D997" s="1">
        <v>1</v>
      </c>
      <c r="E997" s="12">
        <v>45662.673611111109</v>
      </c>
      <c r="F997" s="1" t="s">
        <v>12</v>
      </c>
      <c r="G997" s="1" t="s">
        <v>109</v>
      </c>
      <c r="H997" s="1" t="s">
        <v>24</v>
      </c>
      <c r="I997" s="1" t="s">
        <v>15</v>
      </c>
      <c r="J997" s="1" t="str">
        <f t="shared" si="30"/>
        <v>delivered</v>
      </c>
      <c r="K997" s="1" t="str">
        <f>_xlfn.XLOOKUP(C997, 'Product Catalog'!$A:$A, 'Product Catalog'!$B:$B, "Unknown Product")</f>
        <v>Jacket Model B27</v>
      </c>
      <c r="L997" s="1" t="str">
        <f>_xlfn.XLOOKUP(C997, 'Product Catalog'!$A:$A, 'Product Catalog'!$C:$C, "Unknown Category")</f>
        <v>Apparel</v>
      </c>
      <c r="M997" s="1">
        <f>_xlfn.XLOOKUP(C997, 'Product Catalog'!$A:$A, 'Product Catalog'!$D:$D, 0)</f>
        <v>64.290000000000006</v>
      </c>
      <c r="N997" s="1">
        <f t="shared" si="31"/>
        <v>64.290000000000006</v>
      </c>
    </row>
    <row r="998" spans="1:14" x14ac:dyDescent="0.3">
      <c r="A998" s="1" t="s">
        <v>1465</v>
      </c>
      <c r="B998" s="1" t="s">
        <v>754</v>
      </c>
      <c r="C998" s="1" t="s">
        <v>301</v>
      </c>
      <c r="D998" s="1">
        <v>1</v>
      </c>
      <c r="E998" s="12">
        <v>45725.920138888891</v>
      </c>
      <c r="F998" s="1" t="s">
        <v>12</v>
      </c>
      <c r="G998" s="1" t="s">
        <v>40</v>
      </c>
      <c r="H998" s="1" t="s">
        <v>55</v>
      </c>
      <c r="I998" s="1" t="s">
        <v>42</v>
      </c>
      <c r="J998" s="1" t="str">
        <f t="shared" si="30"/>
        <v>PENDING_REVIEW</v>
      </c>
      <c r="K998" s="1" t="str">
        <f>_xlfn.XLOOKUP(C998, 'Product Catalog'!$A:$A, 'Product Catalog'!$B:$B, "Unknown Product")</f>
        <v>Mouse Model D107</v>
      </c>
      <c r="L998" s="1" t="str">
        <f>_xlfn.XLOOKUP(C998, 'Product Catalog'!$A:$A, 'Product Catalog'!$C:$C, "Unknown Category")</f>
        <v>Electronics</v>
      </c>
      <c r="M998" s="1">
        <f>_xlfn.XLOOKUP(C998, 'Product Catalog'!$A:$A, 'Product Catalog'!$D:$D, 0)</f>
        <v>155.19</v>
      </c>
      <c r="N998" s="1">
        <f t="shared" si="31"/>
        <v>155.19</v>
      </c>
    </row>
    <row r="999" spans="1:14" x14ac:dyDescent="0.3">
      <c r="A999" s="1" t="s">
        <v>1466</v>
      </c>
      <c r="B999" s="1" t="s">
        <v>809</v>
      </c>
      <c r="C999" s="1" t="s">
        <v>213</v>
      </c>
      <c r="D999" s="1">
        <v>1</v>
      </c>
      <c r="E999" s="12">
        <v>45746.854861111111</v>
      </c>
      <c r="F999" s="1" t="s">
        <v>12</v>
      </c>
      <c r="G999" s="1" t="s">
        <v>20</v>
      </c>
      <c r="H999" s="1" t="s">
        <v>41</v>
      </c>
      <c r="I999" s="1" t="s">
        <v>15</v>
      </c>
      <c r="J999" s="1" t="str">
        <f t="shared" si="30"/>
        <v>delivered</v>
      </c>
      <c r="K999" s="1" t="str">
        <f>_xlfn.XLOOKUP(C999, 'Product Catalog'!$A:$A, 'Product Catalog'!$B:$B, "Unknown Product")</f>
        <v>Cloud Storage Basic Model L63</v>
      </c>
      <c r="L999" s="1" t="str">
        <f>_xlfn.XLOOKUP(C999, 'Product Catalog'!$A:$A, 'Product Catalog'!$C:$C, "Unknown Category")</f>
        <v>Digital Services</v>
      </c>
      <c r="M999" s="1">
        <f>_xlfn.XLOOKUP(C999, 'Product Catalog'!$A:$A, 'Product Catalog'!$D:$D, 0)</f>
        <v>20.48</v>
      </c>
      <c r="N999" s="1">
        <f t="shared" si="31"/>
        <v>20.48</v>
      </c>
    </row>
    <row r="1000" spans="1:14" x14ac:dyDescent="0.3">
      <c r="A1000" s="1" t="s">
        <v>1467</v>
      </c>
      <c r="B1000" s="1" t="s">
        <v>787</v>
      </c>
      <c r="C1000" s="1" t="s">
        <v>782</v>
      </c>
      <c r="D1000" s="1">
        <v>1</v>
      </c>
      <c r="E1000" s="12">
        <v>45662.318055555559</v>
      </c>
      <c r="F1000" s="1" t="s">
        <v>19</v>
      </c>
      <c r="G1000" s="1" t="s">
        <v>31</v>
      </c>
      <c r="H1000" s="1" t="s">
        <v>24</v>
      </c>
      <c r="I1000" s="1" t="s">
        <v>15</v>
      </c>
      <c r="J1000" s="1" t="str">
        <f t="shared" si="30"/>
        <v>delivered</v>
      </c>
      <c r="K1000" s="1" t="str">
        <f>_xlfn.XLOOKUP(C1000, 'Product Catalog'!$A:$A, 'Product Catalog'!$B:$B, "Unknown Product")</f>
        <v>Headphones Model V47</v>
      </c>
      <c r="L1000" s="1" t="str">
        <f>_xlfn.XLOOKUP(C1000, 'Product Catalog'!$A:$A, 'Product Catalog'!$C:$C, "Unknown Category")</f>
        <v>Electronics</v>
      </c>
      <c r="M1000" s="1">
        <f>_xlfn.XLOOKUP(C1000, 'Product Catalog'!$A:$A, 'Product Catalog'!$D:$D, 0)</f>
        <v>19.940000000000001</v>
      </c>
      <c r="N1000" s="1">
        <f t="shared" si="31"/>
        <v>19.940000000000001</v>
      </c>
    </row>
    <row r="1001" spans="1:14" x14ac:dyDescent="0.3">
      <c r="A1001" s="1" t="s">
        <v>1468</v>
      </c>
      <c r="B1001" s="1" t="s">
        <v>747</v>
      </c>
      <c r="C1001" s="1" t="s">
        <v>512</v>
      </c>
      <c r="D1001" s="1">
        <v>4</v>
      </c>
      <c r="E1001" s="12">
        <v>45787.864583333336</v>
      </c>
      <c r="F1001" s="1" t="s">
        <v>12</v>
      </c>
      <c r="G1001" s="1" t="s">
        <v>50</v>
      </c>
      <c r="H1001" s="1" t="s">
        <v>51</v>
      </c>
      <c r="I1001" s="1" t="s">
        <v>81</v>
      </c>
      <c r="J1001" s="1" t="str">
        <f t="shared" si="30"/>
        <v>REFUNDED</v>
      </c>
      <c r="K1001" s="1" t="str">
        <f>_xlfn.XLOOKUP(C1001, 'Product Catalog'!$A:$A, 'Product Catalog'!$B:$B, "Unknown Product")</f>
        <v>Designer Watch Model M116</v>
      </c>
      <c r="L1001" s="1" t="str">
        <f>_xlfn.XLOOKUP(C1001, 'Product Catalog'!$A:$A, 'Product Catalog'!$C:$C, "Unknown Category")</f>
        <v>Luxury Goods</v>
      </c>
      <c r="M1001" s="1">
        <f>_xlfn.XLOOKUP(C1001, 'Product Catalog'!$A:$A, 'Product Catalog'!$D:$D, 0)</f>
        <v>968.52</v>
      </c>
      <c r="N1001" s="1">
        <f t="shared" si="31"/>
        <v>3874.08</v>
      </c>
    </row>
    <row r="1002" spans="1:14" x14ac:dyDescent="0.3">
      <c r="A1002" s="1" t="s">
        <v>1469</v>
      </c>
      <c r="B1002" s="1" t="s">
        <v>17</v>
      </c>
      <c r="C1002" s="1" t="s">
        <v>367</v>
      </c>
      <c r="D1002" s="1">
        <v>1</v>
      </c>
      <c r="E1002" s="12">
        <v>45814.913888888892</v>
      </c>
      <c r="F1002" s="1" t="s">
        <v>12</v>
      </c>
      <c r="G1002" s="1" t="s">
        <v>20</v>
      </c>
      <c r="H1002" s="1" t="s">
        <v>14</v>
      </c>
      <c r="I1002" s="1" t="s">
        <v>15</v>
      </c>
      <c r="J1002" s="1" t="str">
        <f t="shared" si="30"/>
        <v>delivered</v>
      </c>
      <c r="K1002" s="1" t="str">
        <f>_xlfn.XLOOKUP(C1002, 'Product Catalog'!$A:$A, 'Product Catalog'!$B:$B, "Unknown Product")</f>
        <v>Cable Model P67</v>
      </c>
      <c r="L1002" s="1" t="str">
        <f>_xlfn.XLOOKUP(C1002, 'Product Catalog'!$A:$A, 'Product Catalog'!$C:$C, "Unknown Category")</f>
        <v>Electronics</v>
      </c>
      <c r="M1002" s="1">
        <f>_xlfn.XLOOKUP(C1002, 'Product Catalog'!$A:$A, 'Product Catalog'!$D:$D, 0)</f>
        <v>187.9</v>
      </c>
      <c r="N1002" s="1">
        <f t="shared" si="31"/>
        <v>187.9</v>
      </c>
    </row>
    <row r="1003" spans="1:14" x14ac:dyDescent="0.3">
      <c r="A1003" s="1" t="s">
        <v>1470</v>
      </c>
      <c r="B1003" s="1" t="s">
        <v>809</v>
      </c>
      <c r="C1003" s="1" t="s">
        <v>592</v>
      </c>
      <c r="D1003" s="1">
        <v>1</v>
      </c>
      <c r="E1003" s="12">
        <v>45798.602083333331</v>
      </c>
      <c r="F1003" s="1" t="s">
        <v>185</v>
      </c>
      <c r="G1003" s="1" t="s">
        <v>20</v>
      </c>
      <c r="H1003" s="1" t="s">
        <v>14</v>
      </c>
      <c r="I1003" s="1" t="s">
        <v>56</v>
      </c>
      <c r="J1003" s="1" t="str">
        <f t="shared" si="30"/>
        <v>cancelled</v>
      </c>
      <c r="K1003" s="1" t="str">
        <f>_xlfn.XLOOKUP(C1003, 'Product Catalog'!$A:$A, 'Product Catalog'!$B:$B, "Unknown Product")</f>
        <v>Blender Model Q94</v>
      </c>
      <c r="L1003" s="1" t="str">
        <f>_xlfn.XLOOKUP(C1003, 'Product Catalog'!$A:$A, 'Product Catalog'!$C:$C, "Unknown Category")</f>
        <v>Home Goods</v>
      </c>
      <c r="M1003" s="1">
        <f>_xlfn.XLOOKUP(C1003, 'Product Catalog'!$A:$A, 'Product Catalog'!$D:$D, 0)</f>
        <v>129.13</v>
      </c>
      <c r="N1003" s="1">
        <f t="shared" si="31"/>
        <v>129.13</v>
      </c>
    </row>
    <row r="1004" spans="1:14" x14ac:dyDescent="0.3">
      <c r="A1004" s="1" t="s">
        <v>1471</v>
      </c>
      <c r="B1004" s="1" t="s">
        <v>44</v>
      </c>
      <c r="C1004" s="1" t="s">
        <v>80</v>
      </c>
      <c r="D1004" s="1">
        <v>4</v>
      </c>
      <c r="E1004" s="12">
        <v>45850.495833333334</v>
      </c>
      <c r="F1004" s="1" t="s">
        <v>19</v>
      </c>
      <c r="G1004" s="1" t="s">
        <v>40</v>
      </c>
      <c r="H1004" s="1" t="s">
        <v>55</v>
      </c>
      <c r="I1004" s="1" t="s">
        <v>56</v>
      </c>
      <c r="J1004" s="1" t="str">
        <f t="shared" si="30"/>
        <v>cancelled</v>
      </c>
      <c r="K1004" s="1" t="str">
        <f>_xlfn.XLOOKUP(C1004, 'Product Catalog'!$A:$A, 'Product Catalog'!$B:$B, "Unknown Product")</f>
        <v>Leather Handbag Model S18</v>
      </c>
      <c r="L1004" s="1" t="str">
        <f>_xlfn.XLOOKUP(C1004, 'Product Catalog'!$A:$A, 'Product Catalog'!$C:$C, "Unknown Category")</f>
        <v>Luxury Goods</v>
      </c>
      <c r="M1004" s="1">
        <f>_xlfn.XLOOKUP(C1004, 'Product Catalog'!$A:$A, 'Product Catalog'!$D:$D, 0)</f>
        <v>1475.11</v>
      </c>
      <c r="N1004" s="1">
        <f t="shared" si="31"/>
        <v>5900.44</v>
      </c>
    </row>
    <row r="1005" spans="1:14" x14ac:dyDescent="0.3">
      <c r="A1005" s="1" t="s">
        <v>1472</v>
      </c>
      <c r="B1005" s="1" t="s">
        <v>241</v>
      </c>
      <c r="C1005" s="1" t="s">
        <v>237</v>
      </c>
      <c r="D1005" s="1">
        <v>5</v>
      </c>
      <c r="E1005" s="12">
        <v>45893.35833333333</v>
      </c>
      <c r="F1005" s="1" t="s">
        <v>39</v>
      </c>
      <c r="G1005" s="1" t="s">
        <v>40</v>
      </c>
      <c r="H1005" s="1" t="s">
        <v>51</v>
      </c>
      <c r="I1005" s="1" t="s">
        <v>56</v>
      </c>
      <c r="J1005" s="1" t="str">
        <f t="shared" si="30"/>
        <v>cancelled</v>
      </c>
      <c r="K1005" s="1" t="str">
        <f>_xlfn.XLOOKUP(C1005, 'Product Catalog'!$A:$A, 'Product Catalog'!$B:$B, "Unknown Product")</f>
        <v>Leather Handbag Model U20</v>
      </c>
      <c r="L1005" s="1" t="str">
        <f>_xlfn.XLOOKUP(C1005, 'Product Catalog'!$A:$A, 'Product Catalog'!$C:$C, "Unknown Category")</f>
        <v>Luxury Goods</v>
      </c>
      <c r="M1005" s="1">
        <f>_xlfn.XLOOKUP(C1005, 'Product Catalog'!$A:$A, 'Product Catalog'!$D:$D, 0)</f>
        <v>1806.15</v>
      </c>
      <c r="N1005" s="1">
        <f t="shared" si="31"/>
        <v>9030.75</v>
      </c>
    </row>
    <row r="1006" spans="1:14" x14ac:dyDescent="0.3">
      <c r="A1006" s="1" t="s">
        <v>1473</v>
      </c>
      <c r="B1006" s="1" t="s">
        <v>1474</v>
      </c>
      <c r="C1006" s="1" t="s">
        <v>206</v>
      </c>
      <c r="D1006" s="1">
        <v>1</v>
      </c>
      <c r="E1006" s="12">
        <v>45769.663194444445</v>
      </c>
      <c r="F1006" s="1" t="s">
        <v>19</v>
      </c>
      <c r="G1006" s="1" t="s">
        <v>46</v>
      </c>
      <c r="H1006" s="1" t="s">
        <v>14</v>
      </c>
      <c r="I1006" s="1" t="s">
        <v>15</v>
      </c>
      <c r="J1006" s="1" t="str">
        <f t="shared" si="30"/>
        <v>delivered</v>
      </c>
      <c r="K1006" s="1" t="str">
        <f>_xlfn.XLOOKUP(C1006, 'Product Catalog'!$A:$A, 'Product Catalog'!$B:$B, "Unknown Product")</f>
        <v>Webcam Model F31</v>
      </c>
      <c r="L1006" s="1" t="str">
        <f>_xlfn.XLOOKUP(C1006, 'Product Catalog'!$A:$A, 'Product Catalog'!$C:$C, "Unknown Category")</f>
        <v>Electronics</v>
      </c>
      <c r="M1006" s="1">
        <f>_xlfn.XLOOKUP(C1006, 'Product Catalog'!$A:$A, 'Product Catalog'!$D:$D, 0)</f>
        <v>184.37</v>
      </c>
      <c r="N1006" s="1">
        <f t="shared" si="31"/>
        <v>184.37</v>
      </c>
    </row>
    <row r="1007" spans="1:14" x14ac:dyDescent="0.3">
      <c r="A1007" s="1" t="s">
        <v>1475</v>
      </c>
      <c r="B1007" s="1" t="s">
        <v>478</v>
      </c>
      <c r="C1007" s="1" t="s">
        <v>592</v>
      </c>
      <c r="D1007" s="1">
        <v>5</v>
      </c>
      <c r="E1007" s="12">
        <v>45812.962500000001</v>
      </c>
      <c r="F1007" s="1" t="s">
        <v>19</v>
      </c>
      <c r="G1007" s="1" t="s">
        <v>40</v>
      </c>
      <c r="H1007" s="1" t="s">
        <v>41</v>
      </c>
      <c r="I1007" s="1" t="s">
        <v>81</v>
      </c>
      <c r="J1007" s="1" t="str">
        <f t="shared" si="30"/>
        <v>REFUNDED</v>
      </c>
      <c r="K1007" s="1" t="str">
        <f>_xlfn.XLOOKUP(C1007, 'Product Catalog'!$A:$A, 'Product Catalog'!$B:$B, "Unknown Product")</f>
        <v>Blender Model Q94</v>
      </c>
      <c r="L1007" s="1" t="str">
        <f>_xlfn.XLOOKUP(C1007, 'Product Catalog'!$A:$A, 'Product Catalog'!$C:$C, "Unknown Category")</f>
        <v>Home Goods</v>
      </c>
      <c r="M1007" s="1">
        <f>_xlfn.XLOOKUP(C1007, 'Product Catalog'!$A:$A, 'Product Catalog'!$D:$D, 0)</f>
        <v>129.13</v>
      </c>
      <c r="N1007" s="1">
        <f t="shared" si="31"/>
        <v>645.65</v>
      </c>
    </row>
    <row r="1008" spans="1:14" x14ac:dyDescent="0.3">
      <c r="A1008" s="1" t="s">
        <v>1476</v>
      </c>
      <c r="B1008" s="1" t="s">
        <v>1356</v>
      </c>
      <c r="C1008" s="1" t="s">
        <v>542</v>
      </c>
      <c r="D1008" s="1">
        <v>1</v>
      </c>
      <c r="E1008" s="12">
        <v>45924.886805555558</v>
      </c>
      <c r="F1008" s="1" t="s">
        <v>19</v>
      </c>
      <c r="G1008" s="1" t="s">
        <v>50</v>
      </c>
      <c r="H1008" s="1" t="s">
        <v>55</v>
      </c>
      <c r="I1008" s="1" t="s">
        <v>102</v>
      </c>
      <c r="J1008" s="1" t="str">
        <f t="shared" si="30"/>
        <v>disputed</v>
      </c>
      <c r="K1008" s="1" t="str">
        <f>_xlfn.XLOOKUP(C1008, 'Product Catalog'!$A:$A, 'Product Catalog'!$B:$B, "Unknown Product")</f>
        <v>Cable Model M38</v>
      </c>
      <c r="L1008" s="1" t="str">
        <f>_xlfn.XLOOKUP(C1008, 'Product Catalog'!$A:$A, 'Product Catalog'!$C:$C, "Unknown Category")</f>
        <v>Electronics</v>
      </c>
      <c r="M1008" s="1">
        <f>_xlfn.XLOOKUP(C1008, 'Product Catalog'!$A:$A, 'Product Catalog'!$D:$D, 0)</f>
        <v>91.18</v>
      </c>
      <c r="N1008" s="1">
        <f t="shared" si="31"/>
        <v>91.18</v>
      </c>
    </row>
    <row r="1009" spans="1:14" x14ac:dyDescent="0.3">
      <c r="A1009" s="1" t="s">
        <v>1477</v>
      </c>
      <c r="B1009" s="1" t="s">
        <v>696</v>
      </c>
      <c r="C1009" s="1" t="s">
        <v>192</v>
      </c>
      <c r="D1009" s="1">
        <v>1</v>
      </c>
      <c r="E1009" s="12">
        <v>45861.831250000003</v>
      </c>
      <c r="F1009" s="1" t="s">
        <v>12</v>
      </c>
      <c r="G1009" s="1" t="s">
        <v>109</v>
      </c>
      <c r="H1009" s="1" t="s">
        <v>51</v>
      </c>
      <c r="I1009" s="1" t="s">
        <v>56</v>
      </c>
      <c r="J1009" s="1" t="str">
        <f t="shared" si="30"/>
        <v>cancelled</v>
      </c>
      <c r="K1009" s="1" t="str">
        <f>_xlfn.XLOOKUP(C1009, 'Product Catalog'!$A:$A, 'Product Catalog'!$B:$B, "Unknown Product")</f>
        <v>Leather Handbag Model R69</v>
      </c>
      <c r="L1009" s="1" t="str">
        <f>_xlfn.XLOOKUP(C1009, 'Product Catalog'!$A:$A, 'Product Catalog'!$C:$C, "Unknown Category")</f>
        <v>Luxury Goods</v>
      </c>
      <c r="M1009" s="1">
        <f>_xlfn.XLOOKUP(C1009, 'Product Catalog'!$A:$A, 'Product Catalog'!$D:$D, 0)</f>
        <v>425.14</v>
      </c>
      <c r="N1009" s="1">
        <f t="shared" si="31"/>
        <v>425.14</v>
      </c>
    </row>
    <row r="1010" spans="1:14" x14ac:dyDescent="0.3">
      <c r="A1010" s="1" t="s">
        <v>1478</v>
      </c>
      <c r="B1010" s="1" t="s">
        <v>886</v>
      </c>
      <c r="C1010" s="1" t="s">
        <v>209</v>
      </c>
      <c r="D1010" s="1">
        <v>4</v>
      </c>
      <c r="E1010" s="12">
        <v>45710.010416666664</v>
      </c>
      <c r="F1010" s="1" t="s">
        <v>39</v>
      </c>
      <c r="G1010" s="1" t="s">
        <v>31</v>
      </c>
      <c r="H1010" s="1" t="s">
        <v>51</v>
      </c>
      <c r="I1010" s="1" t="s">
        <v>81</v>
      </c>
      <c r="J1010" s="1" t="str">
        <f t="shared" si="30"/>
        <v>REFUNDED</v>
      </c>
      <c r="K1010" s="1" t="str">
        <f>_xlfn.XLOOKUP(C1010, 'Product Catalog'!$A:$A, 'Product Catalog'!$B:$B, "Unknown Product")</f>
        <v>Silk Scarf Model Z129</v>
      </c>
      <c r="L1010" s="1" t="str">
        <f>_xlfn.XLOOKUP(C1010, 'Product Catalog'!$A:$A, 'Product Catalog'!$C:$C, "Unknown Category")</f>
        <v>Luxury Goods</v>
      </c>
      <c r="M1010" s="1">
        <f>_xlfn.XLOOKUP(C1010, 'Product Catalog'!$A:$A, 'Product Catalog'!$D:$D, 0)</f>
        <v>1610</v>
      </c>
      <c r="N1010" s="1">
        <f t="shared" si="31"/>
        <v>6440</v>
      </c>
    </row>
    <row r="1011" spans="1:14" x14ac:dyDescent="0.3">
      <c r="A1011" s="1" t="s">
        <v>1479</v>
      </c>
      <c r="B1011" s="1" t="s">
        <v>963</v>
      </c>
      <c r="C1011" s="1" t="s">
        <v>586</v>
      </c>
      <c r="D1011" s="1">
        <v>1</v>
      </c>
      <c r="E1011" s="12">
        <v>45919.941666666666</v>
      </c>
      <c r="F1011" s="1" t="s">
        <v>170</v>
      </c>
      <c r="G1011" s="1" t="s">
        <v>40</v>
      </c>
      <c r="H1011" s="1" t="s">
        <v>41</v>
      </c>
      <c r="I1011" s="1" t="s">
        <v>102</v>
      </c>
      <c r="J1011" s="1" t="str">
        <f t="shared" si="30"/>
        <v>disputed</v>
      </c>
      <c r="K1011" s="1" t="str">
        <f>_xlfn.XLOOKUP(C1011, 'Product Catalog'!$A:$A, 'Product Catalog'!$B:$B, "Unknown Product")</f>
        <v>Designer Watch Model E82</v>
      </c>
      <c r="L1011" s="1" t="str">
        <f>_xlfn.XLOOKUP(C1011, 'Product Catalog'!$A:$A, 'Product Catalog'!$C:$C, "Unknown Category")</f>
        <v>Luxury Goods</v>
      </c>
      <c r="M1011" s="1">
        <f>_xlfn.XLOOKUP(C1011, 'Product Catalog'!$A:$A, 'Product Catalog'!$D:$D, 0)</f>
        <v>1769.3</v>
      </c>
      <c r="N1011" s="1">
        <f t="shared" si="31"/>
        <v>1769.3</v>
      </c>
    </row>
    <row r="1012" spans="1:14" x14ac:dyDescent="0.3">
      <c r="A1012" s="1" t="s">
        <v>1480</v>
      </c>
      <c r="B1012" s="1" t="s">
        <v>877</v>
      </c>
      <c r="C1012" s="1" t="s">
        <v>393</v>
      </c>
      <c r="D1012" s="1">
        <v>1</v>
      </c>
      <c r="E1012" s="12">
        <v>45849.79791666667</v>
      </c>
      <c r="F1012" s="1" t="s">
        <v>170</v>
      </c>
      <c r="G1012" s="1" t="s">
        <v>50</v>
      </c>
      <c r="H1012" s="1" t="s">
        <v>55</v>
      </c>
      <c r="I1012" s="1" t="s">
        <v>81</v>
      </c>
      <c r="J1012" s="1" t="str">
        <f t="shared" si="30"/>
        <v>REFUNDED</v>
      </c>
      <c r="K1012" s="1" t="str">
        <f>_xlfn.XLOOKUP(C1012, 'Product Catalog'!$A:$A, 'Product Catalog'!$B:$B, "Unknown Product")</f>
        <v>Mouse Model B1</v>
      </c>
      <c r="L1012" s="1" t="str">
        <f>_xlfn.XLOOKUP(C1012, 'Product Catalog'!$A:$A, 'Product Catalog'!$C:$C, "Unknown Category")</f>
        <v>Electronics</v>
      </c>
      <c r="M1012" s="1">
        <f>_xlfn.XLOOKUP(C1012, 'Product Catalog'!$A:$A, 'Product Catalog'!$D:$D, 0)</f>
        <v>189.26</v>
      </c>
      <c r="N1012" s="1">
        <f t="shared" si="31"/>
        <v>189.26</v>
      </c>
    </row>
    <row r="1013" spans="1:14" x14ac:dyDescent="0.3">
      <c r="A1013" s="1" t="s">
        <v>1481</v>
      </c>
      <c r="B1013" s="1" t="s">
        <v>689</v>
      </c>
      <c r="C1013" s="1" t="s">
        <v>780</v>
      </c>
      <c r="D1013" s="1">
        <v>4</v>
      </c>
      <c r="E1013" s="12">
        <v>45989.844444444447</v>
      </c>
      <c r="F1013" s="1" t="s">
        <v>170</v>
      </c>
      <c r="G1013" s="1" t="s">
        <v>40</v>
      </c>
      <c r="H1013" s="1" t="s">
        <v>51</v>
      </c>
      <c r="I1013" s="1" t="s">
        <v>81</v>
      </c>
      <c r="J1013" s="1" t="str">
        <f t="shared" si="30"/>
        <v>REFUNDED</v>
      </c>
      <c r="K1013" s="1" t="str">
        <f>_xlfn.XLOOKUP(C1013, 'Product Catalog'!$A:$A, 'Product Catalog'!$B:$B, "Unknown Product")</f>
        <v>Organizer Model D133</v>
      </c>
      <c r="L1013" s="1" t="str">
        <f>_xlfn.XLOOKUP(C1013, 'Product Catalog'!$A:$A, 'Product Catalog'!$C:$C, "Unknown Category")</f>
        <v>Home Goods</v>
      </c>
      <c r="M1013" s="1">
        <f>_xlfn.XLOOKUP(C1013, 'Product Catalog'!$A:$A, 'Product Catalog'!$D:$D, 0)</f>
        <v>144.43</v>
      </c>
      <c r="N1013" s="1">
        <f t="shared" si="31"/>
        <v>577.72</v>
      </c>
    </row>
    <row r="1014" spans="1:14" x14ac:dyDescent="0.3">
      <c r="A1014" s="1" t="s">
        <v>1482</v>
      </c>
      <c r="B1014" s="1" t="s">
        <v>960</v>
      </c>
      <c r="C1014" s="1" t="s">
        <v>446</v>
      </c>
      <c r="D1014" s="1">
        <v>5</v>
      </c>
      <c r="E1014" s="12">
        <v>45969.401388888888</v>
      </c>
      <c r="F1014" s="1" t="s">
        <v>39</v>
      </c>
      <c r="G1014" s="1" t="s">
        <v>13</v>
      </c>
      <c r="H1014" s="1" t="s">
        <v>51</v>
      </c>
      <c r="I1014" s="1" t="s">
        <v>56</v>
      </c>
      <c r="J1014" s="1" t="str">
        <f t="shared" si="30"/>
        <v>cancelled</v>
      </c>
      <c r="K1014" s="1" t="str">
        <f>_xlfn.XLOOKUP(C1014, 'Product Catalog'!$A:$A, 'Product Catalog'!$B:$B, "Unknown Product")</f>
        <v>Silk Scarf Model K36</v>
      </c>
      <c r="L1014" s="1" t="str">
        <f>_xlfn.XLOOKUP(C1014, 'Product Catalog'!$A:$A, 'Product Catalog'!$C:$C, "Unknown Category")</f>
        <v>Luxury Goods</v>
      </c>
      <c r="M1014" s="1">
        <f>_xlfn.XLOOKUP(C1014, 'Product Catalog'!$A:$A, 'Product Catalog'!$D:$D, 0)</f>
        <v>737.6</v>
      </c>
      <c r="N1014" s="1">
        <f t="shared" si="31"/>
        <v>3688</v>
      </c>
    </row>
    <row r="1015" spans="1:14" x14ac:dyDescent="0.3">
      <c r="A1015" s="1" t="s">
        <v>1483</v>
      </c>
      <c r="B1015" s="1" t="s">
        <v>22</v>
      </c>
      <c r="C1015" s="1" t="s">
        <v>195</v>
      </c>
      <c r="D1015" s="1">
        <v>1</v>
      </c>
      <c r="E1015" s="12">
        <v>45810.972916666666</v>
      </c>
      <c r="F1015" s="1" t="s">
        <v>12</v>
      </c>
      <c r="G1015" s="1" t="s">
        <v>109</v>
      </c>
      <c r="H1015" s="1" t="s">
        <v>41</v>
      </c>
      <c r="I1015" s="1" t="s">
        <v>15</v>
      </c>
      <c r="J1015" s="1" t="str">
        <f t="shared" si="30"/>
        <v>delivered</v>
      </c>
      <c r="K1015" s="1" t="str">
        <f>_xlfn.XLOOKUP(C1015, 'Product Catalog'!$A:$A, 'Product Catalog'!$B:$B, "Unknown Product")</f>
        <v>Blender Model L89</v>
      </c>
      <c r="L1015" s="1" t="str">
        <f>_xlfn.XLOOKUP(C1015, 'Product Catalog'!$A:$A, 'Product Catalog'!$C:$C, "Unknown Category")</f>
        <v>Home Goods</v>
      </c>
      <c r="M1015" s="1">
        <f>_xlfn.XLOOKUP(C1015, 'Product Catalog'!$A:$A, 'Product Catalog'!$D:$D, 0)</f>
        <v>138.6</v>
      </c>
      <c r="N1015" s="1">
        <f t="shared" si="31"/>
        <v>138.6</v>
      </c>
    </row>
    <row r="1016" spans="1:14" x14ac:dyDescent="0.3">
      <c r="A1016" s="1" t="s">
        <v>1484</v>
      </c>
      <c r="B1016" s="1" t="s">
        <v>295</v>
      </c>
      <c r="C1016" s="1" t="s">
        <v>95</v>
      </c>
      <c r="D1016" s="1">
        <v>1</v>
      </c>
      <c r="E1016" s="12">
        <v>45713.68472222222</v>
      </c>
      <c r="F1016" s="1" t="s">
        <v>19</v>
      </c>
      <c r="G1016" s="1" t="s">
        <v>50</v>
      </c>
      <c r="H1016" s="1" t="s">
        <v>41</v>
      </c>
      <c r="I1016" s="1" t="s">
        <v>81</v>
      </c>
      <c r="J1016" s="1" t="str">
        <f t="shared" si="30"/>
        <v>REFUNDED</v>
      </c>
      <c r="K1016" s="1" t="str">
        <f>_xlfn.XLOOKUP(C1016, 'Product Catalog'!$A:$A, 'Product Catalog'!$B:$B, "Unknown Product")</f>
        <v>Jacket Model U72</v>
      </c>
      <c r="L1016" s="1" t="str">
        <f>_xlfn.XLOOKUP(C1016, 'Product Catalog'!$A:$A, 'Product Catalog'!$C:$C, "Unknown Category")</f>
        <v>Apparel</v>
      </c>
      <c r="M1016" s="1">
        <f>_xlfn.XLOOKUP(C1016, 'Product Catalog'!$A:$A, 'Product Catalog'!$D:$D, 0)</f>
        <v>75.400000000000006</v>
      </c>
      <c r="N1016" s="1">
        <f t="shared" si="31"/>
        <v>75.400000000000006</v>
      </c>
    </row>
    <row r="1017" spans="1:14" x14ac:dyDescent="0.3">
      <c r="A1017" s="1" t="s">
        <v>1485</v>
      </c>
      <c r="B1017" s="1" t="s">
        <v>1486</v>
      </c>
      <c r="C1017" s="1" t="s">
        <v>296</v>
      </c>
      <c r="D1017" s="1">
        <v>5</v>
      </c>
      <c r="E1017" s="12">
        <v>45690.477777777778</v>
      </c>
      <c r="F1017" s="1" t="s">
        <v>19</v>
      </c>
      <c r="G1017" s="1" t="s">
        <v>50</v>
      </c>
      <c r="H1017" s="1" t="s">
        <v>41</v>
      </c>
      <c r="I1017" s="1" t="s">
        <v>81</v>
      </c>
      <c r="J1017" s="1" t="str">
        <f t="shared" si="30"/>
        <v>REFUNDED</v>
      </c>
      <c r="K1017" s="1" t="str">
        <f>_xlfn.XLOOKUP(C1017, 'Product Catalog'!$A:$A, 'Product Catalog'!$B:$B, "Unknown Product")</f>
        <v>Socks Model K62</v>
      </c>
      <c r="L1017" s="1" t="str">
        <f>_xlfn.XLOOKUP(C1017, 'Product Catalog'!$A:$A, 'Product Catalog'!$C:$C, "Unknown Category")</f>
        <v>Apparel</v>
      </c>
      <c r="M1017" s="1">
        <f>_xlfn.XLOOKUP(C1017, 'Product Catalog'!$A:$A, 'Product Catalog'!$D:$D, 0)</f>
        <v>63.42</v>
      </c>
      <c r="N1017" s="1">
        <f t="shared" si="31"/>
        <v>317.10000000000002</v>
      </c>
    </row>
    <row r="1018" spans="1:14" x14ac:dyDescent="0.3">
      <c r="A1018" s="1" t="s">
        <v>1487</v>
      </c>
      <c r="B1018" s="1" t="s">
        <v>823</v>
      </c>
      <c r="C1018" s="1" t="s">
        <v>62</v>
      </c>
      <c r="D1018" s="1">
        <v>4</v>
      </c>
      <c r="E1018" s="12">
        <v>45799.910416666666</v>
      </c>
      <c r="F1018" s="1" t="s">
        <v>39</v>
      </c>
      <c r="G1018" s="1" t="s">
        <v>40</v>
      </c>
      <c r="H1018" s="1" t="s">
        <v>51</v>
      </c>
      <c r="I1018" s="1" t="s">
        <v>102</v>
      </c>
      <c r="J1018" s="1" t="str">
        <f t="shared" si="30"/>
        <v>disputed</v>
      </c>
      <c r="K1018" s="1" t="str">
        <f>_xlfn.XLOOKUP(C1018, 'Product Catalog'!$A:$A, 'Product Catalog'!$B:$B, "Unknown Product")</f>
        <v>Cable Model M12</v>
      </c>
      <c r="L1018" s="1" t="str">
        <f>_xlfn.XLOOKUP(C1018, 'Product Catalog'!$A:$A, 'Product Catalog'!$C:$C, "Unknown Category")</f>
        <v>Electronics</v>
      </c>
      <c r="M1018" s="1">
        <f>_xlfn.XLOOKUP(C1018, 'Product Catalog'!$A:$A, 'Product Catalog'!$D:$D, 0)</f>
        <v>83.9</v>
      </c>
      <c r="N1018" s="1">
        <f t="shared" si="31"/>
        <v>335.6</v>
      </c>
    </row>
    <row r="1019" spans="1:14" x14ac:dyDescent="0.3">
      <c r="A1019" s="1" t="s">
        <v>1488</v>
      </c>
      <c r="B1019" s="1" t="s">
        <v>26</v>
      </c>
      <c r="C1019" s="1" t="s">
        <v>45</v>
      </c>
      <c r="D1019" s="1">
        <v>1</v>
      </c>
      <c r="E1019" s="12">
        <v>45824.393750000003</v>
      </c>
      <c r="F1019" s="1" t="s">
        <v>39</v>
      </c>
      <c r="G1019" s="1" t="s">
        <v>50</v>
      </c>
      <c r="H1019" s="1" t="s">
        <v>41</v>
      </c>
      <c r="I1019" s="1" t="s">
        <v>102</v>
      </c>
      <c r="J1019" s="1" t="str">
        <f t="shared" si="30"/>
        <v>disputed</v>
      </c>
      <c r="K1019" s="1" t="str">
        <f>_xlfn.XLOOKUP(C1019, 'Product Catalog'!$A:$A, 'Product Catalog'!$B:$B, "Unknown Product")</f>
        <v>Jacket Model N91</v>
      </c>
      <c r="L1019" s="1" t="str">
        <f>_xlfn.XLOOKUP(C1019, 'Product Catalog'!$A:$A, 'Product Catalog'!$C:$C, "Unknown Category")</f>
        <v>Apparel</v>
      </c>
      <c r="M1019" s="1">
        <f>_xlfn.XLOOKUP(C1019, 'Product Catalog'!$A:$A, 'Product Catalog'!$D:$D, 0)</f>
        <v>13.96</v>
      </c>
      <c r="N1019" s="1">
        <f t="shared" si="31"/>
        <v>13.96</v>
      </c>
    </row>
    <row r="1020" spans="1:14" x14ac:dyDescent="0.3">
      <c r="A1020" s="1" t="s">
        <v>1489</v>
      </c>
      <c r="B1020" s="1" t="s">
        <v>94</v>
      </c>
      <c r="C1020" s="1" t="s">
        <v>1204</v>
      </c>
      <c r="D1020" s="1">
        <v>4</v>
      </c>
      <c r="E1020" s="12">
        <v>45791.932638888888</v>
      </c>
      <c r="F1020" s="1" t="s">
        <v>170</v>
      </c>
      <c r="G1020" s="1" t="s">
        <v>50</v>
      </c>
      <c r="H1020" s="1" t="s">
        <v>51</v>
      </c>
      <c r="I1020" s="1" t="s">
        <v>81</v>
      </c>
      <c r="J1020" s="1" t="str">
        <f t="shared" si="30"/>
        <v>REFUNDED</v>
      </c>
      <c r="K1020" s="1" t="str">
        <f>_xlfn.XLOOKUP(C1020, 'Product Catalog'!$A:$A, 'Product Catalog'!$B:$B, "Unknown Product")</f>
        <v>Jacket Model L37</v>
      </c>
      <c r="L1020" s="1" t="str">
        <f>_xlfn.XLOOKUP(C1020, 'Product Catalog'!$A:$A, 'Product Catalog'!$C:$C, "Unknown Category")</f>
        <v>Apparel</v>
      </c>
      <c r="M1020" s="1">
        <f>_xlfn.XLOOKUP(C1020, 'Product Catalog'!$A:$A, 'Product Catalog'!$D:$D, 0)</f>
        <v>114.88</v>
      </c>
      <c r="N1020" s="1">
        <f t="shared" si="31"/>
        <v>459.52</v>
      </c>
    </row>
    <row r="1021" spans="1:14" x14ac:dyDescent="0.3">
      <c r="A1021" s="1" t="s">
        <v>1490</v>
      </c>
      <c r="B1021" s="1" t="s">
        <v>361</v>
      </c>
      <c r="C1021" s="1" t="s">
        <v>383</v>
      </c>
      <c r="D1021" s="1">
        <v>1</v>
      </c>
      <c r="E1021" s="12">
        <v>45991.424305555556</v>
      </c>
      <c r="F1021" s="1" t="s">
        <v>12</v>
      </c>
      <c r="G1021" s="1" t="s">
        <v>46</v>
      </c>
      <c r="H1021" s="1" t="s">
        <v>14</v>
      </c>
      <c r="I1021" s="1" t="s">
        <v>15</v>
      </c>
      <c r="J1021" s="1" t="str">
        <f t="shared" si="30"/>
        <v>delivered</v>
      </c>
      <c r="K1021" s="1" t="str">
        <f>_xlfn.XLOOKUP(C1021, 'Product Catalog'!$A:$A, 'Product Catalog'!$B:$B, "Unknown Product")</f>
        <v>Keyboard Model F83</v>
      </c>
      <c r="L1021" s="1" t="str">
        <f>_xlfn.XLOOKUP(C1021, 'Product Catalog'!$A:$A, 'Product Catalog'!$C:$C, "Unknown Category")</f>
        <v>Electronics</v>
      </c>
      <c r="M1021" s="1">
        <f>_xlfn.XLOOKUP(C1021, 'Product Catalog'!$A:$A, 'Product Catalog'!$D:$D, 0)</f>
        <v>77.150000000000006</v>
      </c>
      <c r="N1021" s="1">
        <f t="shared" si="31"/>
        <v>77.150000000000006</v>
      </c>
    </row>
    <row r="1022" spans="1:14" x14ac:dyDescent="0.3">
      <c r="A1022" s="1" t="s">
        <v>1491</v>
      </c>
      <c r="B1022" s="1" t="s">
        <v>444</v>
      </c>
      <c r="C1022" s="1" t="s">
        <v>224</v>
      </c>
      <c r="D1022" s="1">
        <v>2</v>
      </c>
      <c r="E1022" s="12">
        <v>45754.213194444441</v>
      </c>
      <c r="F1022" s="1" t="s">
        <v>12</v>
      </c>
      <c r="G1022" s="1" t="s">
        <v>13</v>
      </c>
      <c r="H1022" s="1" t="s">
        <v>14</v>
      </c>
      <c r="I1022" s="1" t="s">
        <v>15</v>
      </c>
      <c r="J1022" s="1" t="str">
        <f t="shared" si="30"/>
        <v>delivered</v>
      </c>
      <c r="K1022" s="1" t="str">
        <f>_xlfn.XLOOKUP(C1022, 'Product Catalog'!$A:$A, 'Product Catalog'!$B:$B, "Unknown Product")</f>
        <v>Organizer Model P93</v>
      </c>
      <c r="L1022" s="1" t="str">
        <f>_xlfn.XLOOKUP(C1022, 'Product Catalog'!$A:$A, 'Product Catalog'!$C:$C, "Unknown Category")</f>
        <v>Home Goods</v>
      </c>
      <c r="M1022" s="1">
        <f>_xlfn.XLOOKUP(C1022, 'Product Catalog'!$A:$A, 'Product Catalog'!$D:$D, 0)</f>
        <v>175.55</v>
      </c>
      <c r="N1022" s="1">
        <f t="shared" si="31"/>
        <v>351.1</v>
      </c>
    </row>
    <row r="1023" spans="1:14" x14ac:dyDescent="0.3">
      <c r="A1023" s="1" t="s">
        <v>1492</v>
      </c>
      <c r="B1023" s="1" t="s">
        <v>1081</v>
      </c>
      <c r="C1023" s="1" t="s">
        <v>348</v>
      </c>
      <c r="D1023" s="1">
        <v>1</v>
      </c>
      <c r="E1023" s="12">
        <v>45922.341666666667</v>
      </c>
      <c r="F1023" s="1" t="s">
        <v>170</v>
      </c>
      <c r="G1023" s="1" t="s">
        <v>109</v>
      </c>
      <c r="H1023" s="1" t="s">
        <v>51</v>
      </c>
      <c r="I1023" s="1" t="s">
        <v>102</v>
      </c>
      <c r="J1023" s="1" t="str">
        <f t="shared" si="30"/>
        <v>disputed</v>
      </c>
      <c r="K1023" s="1" t="str">
        <f>_xlfn.XLOOKUP(C1023, 'Product Catalog'!$A:$A, 'Product Catalog'!$B:$B, "Unknown Product")</f>
        <v>Leather Handbag Model G84</v>
      </c>
      <c r="L1023" s="1" t="str">
        <f>_xlfn.XLOOKUP(C1023, 'Product Catalog'!$A:$A, 'Product Catalog'!$C:$C, "Unknown Category")</f>
        <v>Luxury Goods</v>
      </c>
      <c r="M1023" s="1">
        <f>_xlfn.XLOOKUP(C1023, 'Product Catalog'!$A:$A, 'Product Catalog'!$D:$D, 0)</f>
        <v>899.17</v>
      </c>
      <c r="N1023" s="1">
        <f t="shared" si="31"/>
        <v>899.17</v>
      </c>
    </row>
    <row r="1024" spans="1:14" x14ac:dyDescent="0.3">
      <c r="A1024" s="1" t="s">
        <v>1493</v>
      </c>
      <c r="B1024" s="1" t="s">
        <v>1434</v>
      </c>
      <c r="C1024" s="1" t="s">
        <v>176</v>
      </c>
      <c r="D1024" s="1">
        <v>1</v>
      </c>
      <c r="E1024" s="12">
        <v>45687.852777777778</v>
      </c>
      <c r="F1024" s="1" t="s">
        <v>39</v>
      </c>
      <c r="G1024" s="1" t="s">
        <v>46</v>
      </c>
      <c r="H1024" s="1" t="s">
        <v>51</v>
      </c>
      <c r="I1024" s="1" t="s">
        <v>102</v>
      </c>
      <c r="J1024" s="1" t="str">
        <f t="shared" si="30"/>
        <v>disputed</v>
      </c>
      <c r="K1024" s="1" t="str">
        <f>_xlfn.XLOOKUP(C1024, 'Product Catalog'!$A:$A, 'Product Catalog'!$B:$B, "Unknown Product")</f>
        <v>Leather Handbag Model U124</v>
      </c>
      <c r="L1024" s="1" t="str">
        <f>_xlfn.XLOOKUP(C1024, 'Product Catalog'!$A:$A, 'Product Catalog'!$C:$C, "Unknown Category")</f>
        <v>Luxury Goods</v>
      </c>
      <c r="M1024" s="1">
        <f>_xlfn.XLOOKUP(C1024, 'Product Catalog'!$A:$A, 'Product Catalog'!$D:$D, 0)</f>
        <v>1880.36</v>
      </c>
      <c r="N1024" s="1">
        <f t="shared" si="31"/>
        <v>1880.36</v>
      </c>
    </row>
    <row r="1025" spans="1:14" x14ac:dyDescent="0.3">
      <c r="A1025" s="1" t="s">
        <v>1494</v>
      </c>
      <c r="B1025" s="1" t="s">
        <v>1132</v>
      </c>
      <c r="C1025" s="1" t="s">
        <v>879</v>
      </c>
      <c r="D1025" s="1">
        <v>4</v>
      </c>
      <c r="E1025" s="12">
        <v>45864.938888888886</v>
      </c>
      <c r="F1025" s="1" t="s">
        <v>170</v>
      </c>
      <c r="G1025" s="1" t="s">
        <v>50</v>
      </c>
      <c r="H1025" s="1" t="s">
        <v>41</v>
      </c>
      <c r="I1025" s="1" t="s">
        <v>42</v>
      </c>
      <c r="J1025" s="1" t="str">
        <f t="shared" si="30"/>
        <v>PENDING_REVIEW</v>
      </c>
      <c r="K1025" s="1" t="str">
        <f>_xlfn.XLOOKUP(C1025, 'Product Catalog'!$A:$A, 'Product Catalog'!$B:$B, "Unknown Product")</f>
        <v>Toaster Model I8</v>
      </c>
      <c r="L1025" s="1" t="str">
        <f>_xlfn.XLOOKUP(C1025, 'Product Catalog'!$A:$A, 'Product Catalog'!$C:$C, "Unknown Category")</f>
        <v>Home Goods</v>
      </c>
      <c r="M1025" s="1">
        <f>_xlfn.XLOOKUP(C1025, 'Product Catalog'!$A:$A, 'Product Catalog'!$D:$D, 0)</f>
        <v>44.88</v>
      </c>
      <c r="N1025" s="1">
        <f t="shared" si="31"/>
        <v>179.52</v>
      </c>
    </row>
    <row r="1026" spans="1:14" x14ac:dyDescent="0.3">
      <c r="A1026" s="1" t="s">
        <v>1495</v>
      </c>
      <c r="B1026" s="1" t="s">
        <v>1031</v>
      </c>
      <c r="C1026" s="1" t="s">
        <v>216</v>
      </c>
      <c r="D1026" s="1">
        <v>1</v>
      </c>
      <c r="E1026" s="12">
        <v>45821.968055555553</v>
      </c>
      <c r="F1026" s="1" t="s">
        <v>39</v>
      </c>
      <c r="G1026" s="1" t="s">
        <v>50</v>
      </c>
      <c r="H1026" s="1" t="s">
        <v>55</v>
      </c>
      <c r="I1026" s="1" t="s">
        <v>81</v>
      </c>
      <c r="J1026" s="1" t="str">
        <f t="shared" ref="J1026:J1089" si="32">TRIM(I1026)</f>
        <v>REFUNDED</v>
      </c>
      <c r="K1026" s="1" t="str">
        <f>_xlfn.XLOOKUP(C1026, 'Product Catalog'!$A:$A, 'Product Catalog'!$B:$B, "Unknown Product")</f>
        <v>Premium Perfume Model X23</v>
      </c>
      <c r="L1026" s="1" t="str">
        <f>_xlfn.XLOOKUP(C1026, 'Product Catalog'!$A:$A, 'Product Catalog'!$C:$C, "Unknown Category")</f>
        <v>Luxury Goods</v>
      </c>
      <c r="M1026" s="1">
        <f>_xlfn.XLOOKUP(C1026, 'Product Catalog'!$A:$A, 'Product Catalog'!$D:$D, 0)</f>
        <v>767.78</v>
      </c>
      <c r="N1026" s="1">
        <f t="shared" ref="N1026:N1089" si="33">D1026 * M1026</f>
        <v>767.78</v>
      </c>
    </row>
    <row r="1027" spans="1:14" x14ac:dyDescent="0.3">
      <c r="A1027" s="1" t="s">
        <v>1496</v>
      </c>
      <c r="B1027" s="1" t="s">
        <v>510</v>
      </c>
      <c r="C1027" s="1" t="s">
        <v>250</v>
      </c>
      <c r="D1027" s="1">
        <v>1</v>
      </c>
      <c r="E1027" s="12">
        <v>45729.036111111112</v>
      </c>
      <c r="F1027" s="1" t="s">
        <v>19</v>
      </c>
      <c r="G1027" s="1" t="s">
        <v>13</v>
      </c>
      <c r="H1027" s="1" t="s">
        <v>41</v>
      </c>
      <c r="I1027" s="1" t="s">
        <v>32</v>
      </c>
      <c r="J1027" s="1" t="str">
        <f t="shared" si="32"/>
        <v>SHIPPED</v>
      </c>
      <c r="K1027" s="1" t="str">
        <f>_xlfn.XLOOKUP(C1027, 'Product Catalog'!$A:$A, 'Product Catalog'!$B:$B, "Unknown Product")</f>
        <v>Keyboard Model U98</v>
      </c>
      <c r="L1027" s="1" t="str">
        <f>_xlfn.XLOOKUP(C1027, 'Product Catalog'!$A:$A, 'Product Catalog'!$C:$C, "Unknown Category")</f>
        <v>Electronics</v>
      </c>
      <c r="M1027" s="1">
        <f>_xlfn.XLOOKUP(C1027, 'Product Catalog'!$A:$A, 'Product Catalog'!$D:$D, 0)</f>
        <v>188.09</v>
      </c>
      <c r="N1027" s="1">
        <f t="shared" si="33"/>
        <v>188.09</v>
      </c>
    </row>
    <row r="1028" spans="1:14" x14ac:dyDescent="0.3">
      <c r="A1028" s="1" t="s">
        <v>1497</v>
      </c>
      <c r="B1028" s="1" t="s">
        <v>859</v>
      </c>
      <c r="C1028" s="1" t="s">
        <v>119</v>
      </c>
      <c r="D1028" s="1">
        <v>1</v>
      </c>
      <c r="E1028" s="12">
        <v>45993.706944444442</v>
      </c>
      <c r="F1028" s="1" t="s">
        <v>19</v>
      </c>
      <c r="G1028" s="1" t="s">
        <v>31</v>
      </c>
      <c r="H1028" s="1" t="s">
        <v>14</v>
      </c>
      <c r="I1028" s="1" t="s">
        <v>15</v>
      </c>
      <c r="J1028" s="1" t="str">
        <f t="shared" si="32"/>
        <v>delivered</v>
      </c>
      <c r="K1028" s="1" t="str">
        <f>_xlfn.XLOOKUP(C1028, 'Product Catalog'!$A:$A, 'Product Catalog'!$B:$B, "Unknown Product")</f>
        <v>Premium Stream 1M Model G6</v>
      </c>
      <c r="L1028" s="1" t="str">
        <f>_xlfn.XLOOKUP(C1028, 'Product Catalog'!$A:$A, 'Product Catalog'!$C:$C, "Unknown Category")</f>
        <v>Digital Services</v>
      </c>
      <c r="M1028" s="1">
        <f>_xlfn.XLOOKUP(C1028, 'Product Catalog'!$A:$A, 'Product Catalog'!$D:$D, 0)</f>
        <v>47.23</v>
      </c>
      <c r="N1028" s="1">
        <f t="shared" si="33"/>
        <v>47.23</v>
      </c>
    </row>
    <row r="1029" spans="1:14" x14ac:dyDescent="0.3">
      <c r="A1029" s="1" t="s">
        <v>1498</v>
      </c>
      <c r="B1029" s="1" t="s">
        <v>142</v>
      </c>
      <c r="C1029" s="1" t="s">
        <v>209</v>
      </c>
      <c r="D1029" s="1">
        <v>4</v>
      </c>
      <c r="E1029" s="12">
        <v>45809.368750000001</v>
      </c>
      <c r="F1029" s="1" t="s">
        <v>19</v>
      </c>
      <c r="G1029" s="1" t="s">
        <v>31</v>
      </c>
      <c r="H1029" s="1" t="s">
        <v>55</v>
      </c>
      <c r="I1029" s="1" t="s">
        <v>56</v>
      </c>
      <c r="J1029" s="1" t="str">
        <f t="shared" si="32"/>
        <v>cancelled</v>
      </c>
      <c r="K1029" s="1" t="str">
        <f>_xlfn.XLOOKUP(C1029, 'Product Catalog'!$A:$A, 'Product Catalog'!$B:$B, "Unknown Product")</f>
        <v>Silk Scarf Model Z129</v>
      </c>
      <c r="L1029" s="1" t="str">
        <f>_xlfn.XLOOKUP(C1029, 'Product Catalog'!$A:$A, 'Product Catalog'!$C:$C, "Unknown Category")</f>
        <v>Luxury Goods</v>
      </c>
      <c r="M1029" s="1">
        <f>_xlfn.XLOOKUP(C1029, 'Product Catalog'!$A:$A, 'Product Catalog'!$D:$D, 0)</f>
        <v>1610</v>
      </c>
      <c r="N1029" s="1">
        <f t="shared" si="33"/>
        <v>6440</v>
      </c>
    </row>
    <row r="1030" spans="1:14" x14ac:dyDescent="0.3">
      <c r="A1030" s="1" t="s">
        <v>1499</v>
      </c>
      <c r="B1030" s="1" t="s">
        <v>662</v>
      </c>
      <c r="C1030" s="1" t="s">
        <v>716</v>
      </c>
      <c r="D1030" s="1">
        <v>1</v>
      </c>
      <c r="E1030" s="12">
        <v>45872.574999999997</v>
      </c>
      <c r="F1030" s="1" t="s">
        <v>12</v>
      </c>
      <c r="G1030" s="1" t="s">
        <v>46</v>
      </c>
      <c r="H1030" s="1" t="s">
        <v>14</v>
      </c>
      <c r="I1030" s="1" t="s">
        <v>81</v>
      </c>
      <c r="J1030" s="1" t="str">
        <f t="shared" si="32"/>
        <v>REFUNDED</v>
      </c>
      <c r="K1030" s="1" t="str">
        <f>_xlfn.XLOOKUP(C1030, 'Product Catalog'!$A:$A, 'Product Catalog'!$B:$B, "Unknown Product")</f>
        <v>Jeans Model X101</v>
      </c>
      <c r="L1030" s="1" t="str">
        <f>_xlfn.XLOOKUP(C1030, 'Product Catalog'!$A:$A, 'Product Catalog'!$C:$C, "Unknown Category")</f>
        <v>Apparel</v>
      </c>
      <c r="M1030" s="1">
        <f>_xlfn.XLOOKUP(C1030, 'Product Catalog'!$A:$A, 'Product Catalog'!$D:$D, 0)</f>
        <v>99.82</v>
      </c>
      <c r="N1030" s="1">
        <f t="shared" si="33"/>
        <v>99.82</v>
      </c>
    </row>
    <row r="1031" spans="1:14" x14ac:dyDescent="0.3">
      <c r="A1031" s="1" t="s">
        <v>1500</v>
      </c>
      <c r="B1031" s="1" t="s">
        <v>1501</v>
      </c>
      <c r="C1031" s="1" t="s">
        <v>101</v>
      </c>
      <c r="D1031" s="1">
        <v>2</v>
      </c>
      <c r="E1031" s="12">
        <v>45856.05</v>
      </c>
      <c r="F1031" s="1" t="s">
        <v>12</v>
      </c>
      <c r="G1031" s="1" t="s">
        <v>46</v>
      </c>
      <c r="H1031" s="1" t="s">
        <v>14</v>
      </c>
      <c r="I1031" s="1" t="s">
        <v>32</v>
      </c>
      <c r="J1031" s="1" t="str">
        <f t="shared" si="32"/>
        <v>SHIPPED</v>
      </c>
      <c r="K1031" s="1" t="str">
        <f>_xlfn.XLOOKUP(C1031, 'Product Catalog'!$A:$A, 'Product Catalog'!$B:$B, "Unknown Product")</f>
        <v>Smartwatch Model W126</v>
      </c>
      <c r="L1031" s="1" t="str">
        <f>_xlfn.XLOOKUP(C1031, 'Product Catalog'!$A:$A, 'Product Catalog'!$C:$C, "Unknown Category")</f>
        <v>Electronics</v>
      </c>
      <c r="M1031" s="1">
        <f>_xlfn.XLOOKUP(C1031, 'Product Catalog'!$A:$A, 'Product Catalog'!$D:$D, 0)</f>
        <v>114.91</v>
      </c>
      <c r="N1031" s="1">
        <f t="shared" si="33"/>
        <v>229.82</v>
      </c>
    </row>
    <row r="1032" spans="1:14" x14ac:dyDescent="0.3">
      <c r="A1032" s="1" t="s">
        <v>1502</v>
      </c>
      <c r="B1032" s="1" t="s">
        <v>73</v>
      </c>
      <c r="C1032" s="1" t="s">
        <v>496</v>
      </c>
      <c r="D1032" s="1">
        <v>5</v>
      </c>
      <c r="E1032" s="12">
        <v>45956.813194444447</v>
      </c>
      <c r="F1032" s="1" t="s">
        <v>12</v>
      </c>
      <c r="G1032" s="1" t="s">
        <v>50</v>
      </c>
      <c r="H1032" s="1" t="s">
        <v>41</v>
      </c>
      <c r="I1032" s="1" t="s">
        <v>56</v>
      </c>
      <c r="J1032" s="1" t="str">
        <f t="shared" si="32"/>
        <v>cancelled</v>
      </c>
      <c r="K1032" s="1" t="str">
        <f>_xlfn.XLOOKUP(C1032, 'Product Catalog'!$A:$A, 'Product Catalog'!$B:$B, "Unknown Product")</f>
        <v>Mug Model T45</v>
      </c>
      <c r="L1032" s="1" t="str">
        <f>_xlfn.XLOOKUP(C1032, 'Product Catalog'!$A:$A, 'Product Catalog'!$C:$C, "Unknown Category")</f>
        <v>Home Goods</v>
      </c>
      <c r="M1032" s="1">
        <f>_xlfn.XLOOKUP(C1032, 'Product Catalog'!$A:$A, 'Product Catalog'!$D:$D, 0)</f>
        <v>179.22</v>
      </c>
      <c r="N1032" s="1">
        <f t="shared" si="33"/>
        <v>896.1</v>
      </c>
    </row>
    <row r="1033" spans="1:14" x14ac:dyDescent="0.3">
      <c r="A1033" s="1" t="s">
        <v>1503</v>
      </c>
      <c r="B1033" s="1" t="s">
        <v>977</v>
      </c>
      <c r="C1033" s="1" t="s">
        <v>402</v>
      </c>
      <c r="D1033" s="1">
        <v>1</v>
      </c>
      <c r="E1033" s="12">
        <v>45755.487500000003</v>
      </c>
      <c r="F1033" s="1" t="s">
        <v>19</v>
      </c>
      <c r="G1033" s="1" t="s">
        <v>31</v>
      </c>
      <c r="H1033" s="1" t="s">
        <v>14</v>
      </c>
      <c r="I1033" s="1" t="s">
        <v>15</v>
      </c>
      <c r="J1033" s="1" t="str">
        <f t="shared" si="32"/>
        <v>delivered</v>
      </c>
      <c r="K1033" s="1" t="str">
        <f>_xlfn.XLOOKUP(C1033, 'Product Catalog'!$A:$A, 'Product Catalog'!$B:$B, "Unknown Product")</f>
        <v>Software License Tier A Model J139</v>
      </c>
      <c r="L1033" s="1" t="str">
        <f>_xlfn.XLOOKUP(C1033, 'Product Catalog'!$A:$A, 'Product Catalog'!$C:$C, "Unknown Category")</f>
        <v>Digital Services</v>
      </c>
      <c r="M1033" s="1">
        <f>_xlfn.XLOOKUP(C1033, 'Product Catalog'!$A:$A, 'Product Catalog'!$D:$D, 0)</f>
        <v>90.05</v>
      </c>
      <c r="N1033" s="1">
        <f t="shared" si="33"/>
        <v>90.05</v>
      </c>
    </row>
    <row r="1034" spans="1:14" x14ac:dyDescent="0.3">
      <c r="A1034" s="1" t="s">
        <v>1504</v>
      </c>
      <c r="B1034" s="1" t="s">
        <v>1062</v>
      </c>
      <c r="C1034" s="1" t="s">
        <v>879</v>
      </c>
      <c r="D1034" s="1">
        <v>1</v>
      </c>
      <c r="E1034" s="12">
        <v>45771.975694444445</v>
      </c>
      <c r="F1034" s="1" t="s">
        <v>19</v>
      </c>
      <c r="G1034" s="1" t="s">
        <v>109</v>
      </c>
      <c r="H1034" s="1" t="s">
        <v>14</v>
      </c>
      <c r="I1034" s="1" t="s">
        <v>15</v>
      </c>
      <c r="J1034" s="1" t="str">
        <f t="shared" si="32"/>
        <v>delivered</v>
      </c>
      <c r="K1034" s="1" t="str">
        <f>_xlfn.XLOOKUP(C1034, 'Product Catalog'!$A:$A, 'Product Catalog'!$B:$B, "Unknown Product")</f>
        <v>Toaster Model I8</v>
      </c>
      <c r="L1034" s="1" t="str">
        <f>_xlfn.XLOOKUP(C1034, 'Product Catalog'!$A:$A, 'Product Catalog'!$C:$C, "Unknown Category")</f>
        <v>Home Goods</v>
      </c>
      <c r="M1034" s="1">
        <f>_xlfn.XLOOKUP(C1034, 'Product Catalog'!$A:$A, 'Product Catalog'!$D:$D, 0)</f>
        <v>44.88</v>
      </c>
      <c r="N1034" s="1">
        <f t="shared" si="33"/>
        <v>44.88</v>
      </c>
    </row>
    <row r="1035" spans="1:14" x14ac:dyDescent="0.3">
      <c r="A1035" s="1" t="s">
        <v>1505</v>
      </c>
      <c r="B1035" s="1" t="s">
        <v>954</v>
      </c>
      <c r="C1035" s="1" t="s">
        <v>213</v>
      </c>
      <c r="D1035" s="1">
        <v>1</v>
      </c>
      <c r="E1035" s="12">
        <v>45931.907638888886</v>
      </c>
      <c r="F1035" s="1" t="s">
        <v>19</v>
      </c>
      <c r="G1035" s="1" t="s">
        <v>46</v>
      </c>
      <c r="H1035" s="1" t="s">
        <v>14</v>
      </c>
      <c r="I1035" s="1" t="s">
        <v>102</v>
      </c>
      <c r="J1035" s="1" t="str">
        <f t="shared" si="32"/>
        <v>disputed</v>
      </c>
      <c r="K1035" s="1" t="str">
        <f>_xlfn.XLOOKUP(C1035, 'Product Catalog'!$A:$A, 'Product Catalog'!$B:$B, "Unknown Product")</f>
        <v>Cloud Storage Basic Model L63</v>
      </c>
      <c r="L1035" s="1" t="str">
        <f>_xlfn.XLOOKUP(C1035, 'Product Catalog'!$A:$A, 'Product Catalog'!$C:$C, "Unknown Category")</f>
        <v>Digital Services</v>
      </c>
      <c r="M1035" s="1">
        <f>_xlfn.XLOOKUP(C1035, 'Product Catalog'!$A:$A, 'Product Catalog'!$D:$D, 0)</f>
        <v>20.48</v>
      </c>
      <c r="N1035" s="1">
        <f t="shared" si="33"/>
        <v>20.48</v>
      </c>
    </row>
    <row r="1036" spans="1:14" x14ac:dyDescent="0.3">
      <c r="A1036" s="1" t="s">
        <v>1506</v>
      </c>
      <c r="B1036" s="1" t="s">
        <v>1031</v>
      </c>
      <c r="C1036" s="1" t="s">
        <v>619</v>
      </c>
      <c r="D1036" s="1">
        <v>2</v>
      </c>
      <c r="E1036" s="12">
        <v>45901.954861111109</v>
      </c>
      <c r="F1036" s="1" t="s">
        <v>19</v>
      </c>
      <c r="G1036" s="1" t="s">
        <v>109</v>
      </c>
      <c r="H1036" s="1" t="s">
        <v>41</v>
      </c>
      <c r="I1036" s="1" t="s">
        <v>15</v>
      </c>
      <c r="J1036" s="1" t="str">
        <f t="shared" si="32"/>
        <v>delivered</v>
      </c>
      <c r="K1036" s="1" t="str">
        <f>_xlfn.XLOOKUP(C1036, 'Product Catalog'!$A:$A, 'Product Catalog'!$B:$B, "Unknown Product")</f>
        <v>Jacket Model B27</v>
      </c>
      <c r="L1036" s="1" t="str">
        <f>_xlfn.XLOOKUP(C1036, 'Product Catalog'!$A:$A, 'Product Catalog'!$C:$C, "Unknown Category")</f>
        <v>Apparel</v>
      </c>
      <c r="M1036" s="1">
        <f>_xlfn.XLOOKUP(C1036, 'Product Catalog'!$A:$A, 'Product Catalog'!$D:$D, 0)</f>
        <v>64.290000000000006</v>
      </c>
      <c r="N1036" s="1">
        <f t="shared" si="33"/>
        <v>128.58000000000001</v>
      </c>
    </row>
    <row r="1037" spans="1:14" x14ac:dyDescent="0.3">
      <c r="A1037" s="1" t="s">
        <v>1507</v>
      </c>
      <c r="B1037" s="1" t="s">
        <v>648</v>
      </c>
      <c r="C1037" s="1" t="s">
        <v>716</v>
      </c>
      <c r="D1037" s="1">
        <v>1</v>
      </c>
      <c r="E1037" s="12">
        <v>45841.720833333333</v>
      </c>
      <c r="F1037" s="1" t="s">
        <v>19</v>
      </c>
      <c r="G1037" s="1" t="s">
        <v>31</v>
      </c>
      <c r="H1037" s="1" t="s">
        <v>14</v>
      </c>
      <c r="I1037" s="1" t="s">
        <v>15</v>
      </c>
      <c r="J1037" s="1" t="str">
        <f t="shared" si="32"/>
        <v>delivered</v>
      </c>
      <c r="K1037" s="1" t="str">
        <f>_xlfn.XLOOKUP(C1037, 'Product Catalog'!$A:$A, 'Product Catalog'!$B:$B, "Unknown Product")</f>
        <v>Jeans Model X101</v>
      </c>
      <c r="L1037" s="1" t="str">
        <f>_xlfn.XLOOKUP(C1037, 'Product Catalog'!$A:$A, 'Product Catalog'!$C:$C, "Unknown Category")</f>
        <v>Apparel</v>
      </c>
      <c r="M1037" s="1">
        <f>_xlfn.XLOOKUP(C1037, 'Product Catalog'!$A:$A, 'Product Catalog'!$D:$D, 0)</f>
        <v>99.82</v>
      </c>
      <c r="N1037" s="1">
        <f t="shared" si="33"/>
        <v>99.82</v>
      </c>
    </row>
    <row r="1038" spans="1:14" x14ac:dyDescent="0.3">
      <c r="A1038" s="1" t="s">
        <v>1508</v>
      </c>
      <c r="B1038" s="1" t="s">
        <v>354</v>
      </c>
      <c r="C1038" s="1" t="s">
        <v>636</v>
      </c>
      <c r="D1038" s="1">
        <v>4</v>
      </c>
      <c r="E1038" s="12">
        <v>45811.241666666669</v>
      </c>
      <c r="F1038" s="1" t="s">
        <v>19</v>
      </c>
      <c r="G1038" s="1" t="s">
        <v>20</v>
      </c>
      <c r="H1038" s="1" t="s">
        <v>51</v>
      </c>
      <c r="I1038" s="1" t="s">
        <v>56</v>
      </c>
      <c r="J1038" s="1" t="str">
        <f t="shared" si="32"/>
        <v>cancelled</v>
      </c>
      <c r="K1038" s="1" t="str">
        <f>_xlfn.XLOOKUP(C1038, 'Product Catalog'!$A:$A, 'Product Catalog'!$B:$B, "Unknown Product")</f>
        <v>Leather Handbag Model O92</v>
      </c>
      <c r="L1038" s="1" t="str">
        <f>_xlfn.XLOOKUP(C1038, 'Product Catalog'!$A:$A, 'Product Catalog'!$C:$C, "Unknown Category")</f>
        <v>Luxury Goods</v>
      </c>
      <c r="M1038" s="1">
        <f>_xlfn.XLOOKUP(C1038, 'Product Catalog'!$A:$A, 'Product Catalog'!$D:$D, 0)</f>
        <v>1245.53</v>
      </c>
      <c r="N1038" s="1">
        <f t="shared" si="33"/>
        <v>4982.12</v>
      </c>
    </row>
    <row r="1039" spans="1:14" x14ac:dyDescent="0.3">
      <c r="A1039" s="1" t="s">
        <v>1509</v>
      </c>
      <c r="B1039" s="1" t="s">
        <v>298</v>
      </c>
      <c r="C1039" s="1" t="s">
        <v>314</v>
      </c>
      <c r="D1039" s="1">
        <v>2</v>
      </c>
      <c r="E1039" s="12">
        <v>45994.793749999997</v>
      </c>
      <c r="F1039" s="1" t="s">
        <v>19</v>
      </c>
      <c r="G1039" s="1" t="s">
        <v>13</v>
      </c>
      <c r="H1039" s="1" t="s">
        <v>41</v>
      </c>
      <c r="I1039" s="1" t="s">
        <v>15</v>
      </c>
      <c r="J1039" s="1" t="str">
        <f t="shared" si="32"/>
        <v>delivered</v>
      </c>
      <c r="K1039" s="1" t="str">
        <f>_xlfn.XLOOKUP(C1039, 'Product Catalog'!$A:$A, 'Product Catalog'!$B:$B, "Unknown Product")</f>
        <v>Smartwatch Model A104</v>
      </c>
      <c r="L1039" s="1" t="str">
        <f>_xlfn.XLOOKUP(C1039, 'Product Catalog'!$A:$A, 'Product Catalog'!$C:$C, "Unknown Category")</f>
        <v>Electronics</v>
      </c>
      <c r="M1039" s="1">
        <f>_xlfn.XLOOKUP(C1039, 'Product Catalog'!$A:$A, 'Product Catalog'!$D:$D, 0)</f>
        <v>80.59</v>
      </c>
      <c r="N1039" s="1">
        <f t="shared" si="33"/>
        <v>161.18</v>
      </c>
    </row>
    <row r="1040" spans="1:14" x14ac:dyDescent="0.3">
      <c r="A1040" s="1" t="s">
        <v>1510</v>
      </c>
      <c r="B1040" s="1" t="s">
        <v>630</v>
      </c>
      <c r="C1040" s="1" t="s">
        <v>137</v>
      </c>
      <c r="D1040" s="1">
        <v>5</v>
      </c>
      <c r="E1040" s="12">
        <v>45750.417361111111</v>
      </c>
      <c r="F1040" s="1" t="s">
        <v>19</v>
      </c>
      <c r="G1040" s="1" t="s">
        <v>40</v>
      </c>
      <c r="H1040" s="1" t="s">
        <v>55</v>
      </c>
      <c r="I1040" s="1" t="s">
        <v>81</v>
      </c>
      <c r="J1040" s="1" t="str">
        <f t="shared" si="32"/>
        <v>REFUNDED</v>
      </c>
      <c r="K1040" s="1" t="str">
        <f>_xlfn.XLOOKUP(C1040, 'Product Catalog'!$A:$A, 'Product Catalog'!$B:$B, "Unknown Product")</f>
        <v>VPN 6-Month Pass Model M90</v>
      </c>
      <c r="L1040" s="1" t="str">
        <f>_xlfn.XLOOKUP(C1040, 'Product Catalog'!$A:$A, 'Product Catalog'!$C:$C, "Unknown Category")</f>
        <v>Digital Services</v>
      </c>
      <c r="M1040" s="1">
        <f>_xlfn.XLOOKUP(C1040, 'Product Catalog'!$A:$A, 'Product Catalog'!$D:$D, 0)</f>
        <v>5.91</v>
      </c>
      <c r="N1040" s="1">
        <f t="shared" si="33"/>
        <v>29.55</v>
      </c>
    </row>
    <row r="1041" spans="1:14" x14ac:dyDescent="0.3">
      <c r="A1041" s="1" t="s">
        <v>1511</v>
      </c>
      <c r="B1041" s="1" t="s">
        <v>121</v>
      </c>
      <c r="C1041" s="1" t="s">
        <v>268</v>
      </c>
      <c r="D1041" s="1">
        <v>4</v>
      </c>
      <c r="E1041" s="12">
        <v>45707.669444444444</v>
      </c>
      <c r="F1041" s="1" t="s">
        <v>170</v>
      </c>
      <c r="G1041" s="1" t="s">
        <v>50</v>
      </c>
      <c r="H1041" s="1" t="s">
        <v>55</v>
      </c>
      <c r="I1041" s="1" t="s">
        <v>56</v>
      </c>
      <c r="J1041" s="1" t="str">
        <f t="shared" si="32"/>
        <v>cancelled</v>
      </c>
      <c r="K1041" s="1" t="str">
        <f>_xlfn.XLOOKUP(C1041, 'Product Catalog'!$A:$A, 'Product Catalog'!$B:$B, "Unknown Product")</f>
        <v>Sneakers Model P119</v>
      </c>
      <c r="L1041" s="1" t="str">
        <f>_xlfn.XLOOKUP(C1041, 'Product Catalog'!$A:$A, 'Product Catalog'!$C:$C, "Unknown Category")</f>
        <v>Apparel</v>
      </c>
      <c r="M1041" s="1">
        <f>_xlfn.XLOOKUP(C1041, 'Product Catalog'!$A:$A, 'Product Catalog'!$D:$D, 0)</f>
        <v>19.329999999999998</v>
      </c>
      <c r="N1041" s="1">
        <f t="shared" si="33"/>
        <v>77.319999999999993</v>
      </c>
    </row>
    <row r="1042" spans="1:14" x14ac:dyDescent="0.3">
      <c r="A1042" s="1" t="s">
        <v>1512</v>
      </c>
      <c r="B1042" s="1" t="s">
        <v>283</v>
      </c>
      <c r="C1042" s="1" t="s">
        <v>619</v>
      </c>
      <c r="D1042" s="1">
        <v>4</v>
      </c>
      <c r="E1042" s="12">
        <v>45723.367361111108</v>
      </c>
      <c r="F1042" s="1" t="s">
        <v>170</v>
      </c>
      <c r="G1042" s="1" t="s">
        <v>50</v>
      </c>
      <c r="H1042" s="1" t="s">
        <v>55</v>
      </c>
      <c r="I1042" s="1" t="s">
        <v>42</v>
      </c>
      <c r="J1042" s="1" t="str">
        <f t="shared" si="32"/>
        <v>PENDING_REVIEW</v>
      </c>
      <c r="K1042" s="1" t="str">
        <f>_xlfn.XLOOKUP(C1042, 'Product Catalog'!$A:$A, 'Product Catalog'!$B:$B, "Unknown Product")</f>
        <v>Jacket Model B27</v>
      </c>
      <c r="L1042" s="1" t="str">
        <f>_xlfn.XLOOKUP(C1042, 'Product Catalog'!$A:$A, 'Product Catalog'!$C:$C, "Unknown Category")</f>
        <v>Apparel</v>
      </c>
      <c r="M1042" s="1">
        <f>_xlfn.XLOOKUP(C1042, 'Product Catalog'!$A:$A, 'Product Catalog'!$D:$D, 0)</f>
        <v>64.290000000000006</v>
      </c>
      <c r="N1042" s="1">
        <f t="shared" si="33"/>
        <v>257.16000000000003</v>
      </c>
    </row>
    <row r="1043" spans="1:14" x14ac:dyDescent="0.3">
      <c r="A1043" s="1" t="s">
        <v>1513</v>
      </c>
      <c r="B1043" s="1" t="s">
        <v>765</v>
      </c>
      <c r="C1043" s="1" t="s">
        <v>192</v>
      </c>
      <c r="D1043" s="1">
        <v>5</v>
      </c>
      <c r="E1043" s="12">
        <v>45944.259722222225</v>
      </c>
      <c r="F1043" s="1" t="s">
        <v>12</v>
      </c>
      <c r="G1043" s="1" t="s">
        <v>50</v>
      </c>
      <c r="H1043" s="1" t="s">
        <v>55</v>
      </c>
      <c r="I1043" s="1" t="s">
        <v>81</v>
      </c>
      <c r="J1043" s="1" t="str">
        <f t="shared" si="32"/>
        <v>REFUNDED</v>
      </c>
      <c r="K1043" s="1" t="str">
        <f>_xlfn.XLOOKUP(C1043, 'Product Catalog'!$A:$A, 'Product Catalog'!$B:$B, "Unknown Product")</f>
        <v>Leather Handbag Model R69</v>
      </c>
      <c r="L1043" s="1" t="str">
        <f>_xlfn.XLOOKUP(C1043, 'Product Catalog'!$A:$A, 'Product Catalog'!$C:$C, "Unknown Category")</f>
        <v>Luxury Goods</v>
      </c>
      <c r="M1043" s="1">
        <f>_xlfn.XLOOKUP(C1043, 'Product Catalog'!$A:$A, 'Product Catalog'!$D:$D, 0)</f>
        <v>425.14</v>
      </c>
      <c r="N1043" s="1">
        <f t="shared" si="33"/>
        <v>2125.6999999999998</v>
      </c>
    </row>
    <row r="1044" spans="1:14" x14ac:dyDescent="0.3">
      <c r="A1044" s="1" t="s">
        <v>1514</v>
      </c>
      <c r="B1044" s="1" t="s">
        <v>406</v>
      </c>
      <c r="C1044" s="1" t="s">
        <v>112</v>
      </c>
      <c r="D1044" s="1">
        <v>1</v>
      </c>
      <c r="E1044" s="12">
        <v>46006.477083333331</v>
      </c>
      <c r="F1044" s="1" t="s">
        <v>19</v>
      </c>
      <c r="G1044" s="1" t="s">
        <v>46</v>
      </c>
      <c r="H1044" s="1" t="s">
        <v>24</v>
      </c>
      <c r="I1044" s="1" t="s">
        <v>32</v>
      </c>
      <c r="J1044" s="1" t="str">
        <f t="shared" si="32"/>
        <v>SHIPPED</v>
      </c>
      <c r="K1044" s="1" t="str">
        <f>_xlfn.XLOOKUP(C1044, 'Product Catalog'!$A:$A, 'Product Catalog'!$B:$B, "Unknown Product")</f>
        <v>Mouse Model J87</v>
      </c>
      <c r="L1044" s="1" t="str">
        <f>_xlfn.XLOOKUP(C1044, 'Product Catalog'!$A:$A, 'Product Catalog'!$C:$C, "Unknown Category")</f>
        <v>Electronics</v>
      </c>
      <c r="M1044" s="1">
        <f>_xlfn.XLOOKUP(C1044, 'Product Catalog'!$A:$A, 'Product Catalog'!$D:$D, 0)</f>
        <v>164.06</v>
      </c>
      <c r="N1044" s="1">
        <f t="shared" si="33"/>
        <v>164.06</v>
      </c>
    </row>
    <row r="1045" spans="1:14" x14ac:dyDescent="0.3">
      <c r="A1045" s="1" t="s">
        <v>1515</v>
      </c>
      <c r="B1045" s="1" t="s">
        <v>159</v>
      </c>
      <c r="C1045" s="1" t="s">
        <v>485</v>
      </c>
      <c r="D1045" s="1">
        <v>1</v>
      </c>
      <c r="E1045" s="12">
        <v>45993.126388888886</v>
      </c>
      <c r="F1045" s="1" t="s">
        <v>170</v>
      </c>
      <c r="G1045" s="1" t="s">
        <v>50</v>
      </c>
      <c r="H1045" s="1" t="s">
        <v>41</v>
      </c>
      <c r="I1045" s="1" t="s">
        <v>42</v>
      </c>
      <c r="J1045" s="1" t="str">
        <f t="shared" si="32"/>
        <v>PENDING_REVIEW</v>
      </c>
      <c r="K1045" s="1" t="str">
        <f>_xlfn.XLOOKUP(C1045, 'Product Catalog'!$A:$A, 'Product Catalog'!$B:$B, "Unknown Product")</f>
        <v>Smartwatch Model K140</v>
      </c>
      <c r="L1045" s="1" t="str">
        <f>_xlfn.XLOOKUP(C1045, 'Product Catalog'!$A:$A, 'Product Catalog'!$C:$C, "Unknown Category")</f>
        <v>Electronics</v>
      </c>
      <c r="M1045" s="1">
        <f>_xlfn.XLOOKUP(C1045, 'Product Catalog'!$A:$A, 'Product Catalog'!$D:$D, 0)</f>
        <v>221.95</v>
      </c>
      <c r="N1045" s="1">
        <f t="shared" si="33"/>
        <v>221.95</v>
      </c>
    </row>
    <row r="1046" spans="1:14" x14ac:dyDescent="0.3">
      <c r="A1046" s="1" t="s">
        <v>1516</v>
      </c>
      <c r="B1046" s="1" t="s">
        <v>632</v>
      </c>
      <c r="C1046" s="1" t="s">
        <v>396</v>
      </c>
      <c r="D1046" s="1">
        <v>1</v>
      </c>
      <c r="E1046" s="12">
        <v>45771.504861111112</v>
      </c>
      <c r="F1046" s="1" t="s">
        <v>12</v>
      </c>
      <c r="G1046" s="1" t="s">
        <v>109</v>
      </c>
      <c r="H1046" s="1" t="s">
        <v>14</v>
      </c>
      <c r="I1046" s="1" t="s">
        <v>15</v>
      </c>
      <c r="J1046" s="1" t="str">
        <f t="shared" si="32"/>
        <v>delivered</v>
      </c>
      <c r="K1046" s="1" t="str">
        <f>_xlfn.XLOOKUP(C1046, 'Product Catalog'!$A:$A, 'Product Catalog'!$B:$B, "Unknown Product")</f>
        <v>Cap Model O14</v>
      </c>
      <c r="L1046" s="1" t="str">
        <f>_xlfn.XLOOKUP(C1046, 'Product Catalog'!$A:$A, 'Product Catalog'!$C:$C, "Unknown Category")</f>
        <v>Apparel</v>
      </c>
      <c r="M1046" s="1">
        <f>_xlfn.XLOOKUP(C1046, 'Product Catalog'!$A:$A, 'Product Catalog'!$D:$D, 0)</f>
        <v>41.83</v>
      </c>
      <c r="N1046" s="1">
        <f t="shared" si="33"/>
        <v>41.83</v>
      </c>
    </row>
    <row r="1047" spans="1:14" x14ac:dyDescent="0.3">
      <c r="A1047" s="1" t="s">
        <v>1517</v>
      </c>
      <c r="B1047" s="1" t="s">
        <v>333</v>
      </c>
      <c r="C1047" s="1" t="s">
        <v>496</v>
      </c>
      <c r="D1047" s="1">
        <v>2</v>
      </c>
      <c r="E1047" s="12">
        <v>45772.436111111114</v>
      </c>
      <c r="F1047" s="1" t="s">
        <v>19</v>
      </c>
      <c r="G1047" s="1" t="s">
        <v>13</v>
      </c>
      <c r="H1047" s="1" t="s">
        <v>14</v>
      </c>
      <c r="I1047" s="1" t="s">
        <v>15</v>
      </c>
      <c r="J1047" s="1" t="str">
        <f t="shared" si="32"/>
        <v>delivered</v>
      </c>
      <c r="K1047" s="1" t="str">
        <f>_xlfn.XLOOKUP(C1047, 'Product Catalog'!$A:$A, 'Product Catalog'!$B:$B, "Unknown Product")</f>
        <v>Mug Model T45</v>
      </c>
      <c r="L1047" s="1" t="str">
        <f>_xlfn.XLOOKUP(C1047, 'Product Catalog'!$A:$A, 'Product Catalog'!$C:$C, "Unknown Category")</f>
        <v>Home Goods</v>
      </c>
      <c r="M1047" s="1">
        <f>_xlfn.XLOOKUP(C1047, 'Product Catalog'!$A:$A, 'Product Catalog'!$D:$D, 0)</f>
        <v>179.22</v>
      </c>
      <c r="N1047" s="1">
        <f t="shared" si="33"/>
        <v>358.44</v>
      </c>
    </row>
    <row r="1048" spans="1:14" x14ac:dyDescent="0.3">
      <c r="A1048" s="1" t="s">
        <v>1518</v>
      </c>
      <c r="B1048" s="1" t="s">
        <v>283</v>
      </c>
      <c r="C1048" s="1" t="s">
        <v>256</v>
      </c>
      <c r="D1048" s="1">
        <v>4</v>
      </c>
      <c r="E1048" s="12">
        <v>45873.470833333333</v>
      </c>
      <c r="F1048" s="1" t="s">
        <v>170</v>
      </c>
      <c r="G1048" s="1" t="s">
        <v>50</v>
      </c>
      <c r="H1048" s="1" t="s">
        <v>41</v>
      </c>
      <c r="I1048" s="1" t="s">
        <v>42</v>
      </c>
      <c r="J1048" s="1" t="str">
        <f t="shared" si="32"/>
        <v>PENDING_REVIEW</v>
      </c>
      <c r="K1048" s="1" t="str">
        <f>_xlfn.XLOOKUP(C1048, 'Product Catalog'!$A:$A, 'Product Catalog'!$B:$B, "Unknown Product")</f>
        <v>Charger Model E56</v>
      </c>
      <c r="L1048" s="1" t="str">
        <f>_xlfn.XLOOKUP(C1048, 'Product Catalog'!$A:$A, 'Product Catalog'!$C:$C, "Unknown Category")</f>
        <v>Electronics</v>
      </c>
      <c r="M1048" s="1">
        <f>_xlfn.XLOOKUP(C1048, 'Product Catalog'!$A:$A, 'Product Catalog'!$D:$D, 0)</f>
        <v>186.13</v>
      </c>
      <c r="N1048" s="1">
        <f t="shared" si="33"/>
        <v>744.52</v>
      </c>
    </row>
    <row r="1049" spans="1:14" x14ac:dyDescent="0.3">
      <c r="A1049" s="1" t="s">
        <v>1519</v>
      </c>
      <c r="B1049" s="1" t="s">
        <v>734</v>
      </c>
      <c r="C1049" s="1" t="s">
        <v>11</v>
      </c>
      <c r="D1049" s="1">
        <v>2</v>
      </c>
      <c r="E1049" s="12">
        <v>45848.370138888888</v>
      </c>
      <c r="F1049" s="1" t="s">
        <v>19</v>
      </c>
      <c r="G1049" s="1" t="s">
        <v>20</v>
      </c>
      <c r="H1049" s="1" t="s">
        <v>24</v>
      </c>
      <c r="I1049" s="1" t="s">
        <v>15</v>
      </c>
      <c r="J1049" s="1" t="str">
        <f t="shared" si="32"/>
        <v>delivered</v>
      </c>
      <c r="K1049" s="1" t="str">
        <f>_xlfn.XLOOKUP(C1049, 'Product Catalog'!$A:$A, 'Product Catalog'!$B:$B, "Unknown Product")</f>
        <v>Keyboard Model F57</v>
      </c>
      <c r="L1049" s="1" t="str">
        <f>_xlfn.XLOOKUP(C1049, 'Product Catalog'!$A:$A, 'Product Catalog'!$C:$C, "Unknown Category")</f>
        <v>Electronics</v>
      </c>
      <c r="M1049" s="1">
        <f>_xlfn.XLOOKUP(C1049, 'Product Catalog'!$A:$A, 'Product Catalog'!$D:$D, 0)</f>
        <v>60.02</v>
      </c>
      <c r="N1049" s="1">
        <f t="shared" si="33"/>
        <v>120.04</v>
      </c>
    </row>
    <row r="1050" spans="1:14" x14ac:dyDescent="0.3">
      <c r="A1050" s="1" t="s">
        <v>1520</v>
      </c>
      <c r="B1050" s="1" t="s">
        <v>458</v>
      </c>
      <c r="C1050" s="1" t="s">
        <v>466</v>
      </c>
      <c r="D1050" s="1">
        <v>1</v>
      </c>
      <c r="E1050" s="12">
        <v>45957.418055555558</v>
      </c>
      <c r="F1050" s="1" t="s">
        <v>19</v>
      </c>
      <c r="G1050" s="1" t="s">
        <v>46</v>
      </c>
      <c r="H1050" s="1" t="s">
        <v>14</v>
      </c>
      <c r="I1050" s="1" t="s">
        <v>56</v>
      </c>
      <c r="J1050" s="1" t="str">
        <f t="shared" si="32"/>
        <v>cancelled</v>
      </c>
      <c r="K1050" s="1" t="str">
        <f>_xlfn.XLOOKUP(C1050, 'Product Catalog'!$A:$A, 'Product Catalog'!$B:$B, "Unknown Product")</f>
        <v>VPN 6-Month Pass Model L11</v>
      </c>
      <c r="L1050" s="1" t="str">
        <f>_xlfn.XLOOKUP(C1050, 'Product Catalog'!$A:$A, 'Product Catalog'!$C:$C, "Unknown Category")</f>
        <v>Digital Services</v>
      </c>
      <c r="M1050" s="1">
        <f>_xlfn.XLOOKUP(C1050, 'Product Catalog'!$A:$A, 'Product Catalog'!$D:$D, 0)</f>
        <v>16.73</v>
      </c>
      <c r="N1050" s="1">
        <f t="shared" si="33"/>
        <v>16.73</v>
      </c>
    </row>
    <row r="1051" spans="1:14" x14ac:dyDescent="0.3">
      <c r="A1051" s="1" t="s">
        <v>1521</v>
      </c>
      <c r="B1051" s="1" t="s">
        <v>1522</v>
      </c>
      <c r="C1051" s="1" t="s">
        <v>667</v>
      </c>
      <c r="D1051" s="1">
        <v>5</v>
      </c>
      <c r="E1051" s="12">
        <v>45895.167361111111</v>
      </c>
      <c r="F1051" s="1" t="s">
        <v>39</v>
      </c>
      <c r="G1051" s="1" t="s">
        <v>50</v>
      </c>
      <c r="H1051" s="1" t="s">
        <v>55</v>
      </c>
      <c r="I1051" s="1" t="s">
        <v>56</v>
      </c>
      <c r="J1051" s="1" t="str">
        <f t="shared" si="32"/>
        <v>cancelled</v>
      </c>
      <c r="K1051" s="1" t="str">
        <f>_xlfn.XLOOKUP(C1051, 'Product Catalog'!$A:$A, 'Product Catalog'!$B:$B, "Unknown Product")</f>
        <v>Mug Model N65</v>
      </c>
      <c r="L1051" s="1" t="str">
        <f>_xlfn.XLOOKUP(C1051, 'Product Catalog'!$A:$A, 'Product Catalog'!$C:$C, "Unknown Category")</f>
        <v>Home Goods</v>
      </c>
      <c r="M1051" s="1">
        <f>_xlfn.XLOOKUP(C1051, 'Product Catalog'!$A:$A, 'Product Catalog'!$D:$D, 0)</f>
        <v>131.44999999999999</v>
      </c>
      <c r="N1051" s="1">
        <f t="shared" si="33"/>
        <v>657.25</v>
      </c>
    </row>
    <row r="1052" spans="1:14" x14ac:dyDescent="0.3">
      <c r="A1052" s="1" t="s">
        <v>1523</v>
      </c>
      <c r="B1052" s="1" t="s">
        <v>280</v>
      </c>
      <c r="C1052" s="1" t="s">
        <v>383</v>
      </c>
      <c r="D1052" s="1">
        <v>5</v>
      </c>
      <c r="E1052" s="12">
        <v>45898.075694444444</v>
      </c>
      <c r="F1052" s="1" t="s">
        <v>170</v>
      </c>
      <c r="G1052" s="1" t="s">
        <v>50</v>
      </c>
      <c r="H1052" s="1" t="s">
        <v>55</v>
      </c>
      <c r="I1052" s="1" t="s">
        <v>81</v>
      </c>
      <c r="J1052" s="1" t="str">
        <f t="shared" si="32"/>
        <v>REFUNDED</v>
      </c>
      <c r="K1052" s="1" t="str">
        <f>_xlfn.XLOOKUP(C1052, 'Product Catalog'!$A:$A, 'Product Catalog'!$B:$B, "Unknown Product")</f>
        <v>Keyboard Model F83</v>
      </c>
      <c r="L1052" s="1" t="str">
        <f>_xlfn.XLOOKUP(C1052, 'Product Catalog'!$A:$A, 'Product Catalog'!$C:$C, "Unknown Category")</f>
        <v>Electronics</v>
      </c>
      <c r="M1052" s="1">
        <f>_xlfn.XLOOKUP(C1052, 'Product Catalog'!$A:$A, 'Product Catalog'!$D:$D, 0)</f>
        <v>77.150000000000006</v>
      </c>
      <c r="N1052" s="1">
        <f t="shared" si="33"/>
        <v>385.75</v>
      </c>
    </row>
    <row r="1053" spans="1:14" x14ac:dyDescent="0.3">
      <c r="A1053" s="1" t="s">
        <v>1524</v>
      </c>
      <c r="B1053" s="1" t="s">
        <v>366</v>
      </c>
      <c r="C1053" s="1" t="s">
        <v>740</v>
      </c>
      <c r="D1053" s="1">
        <v>1</v>
      </c>
      <c r="E1053" s="12">
        <v>45982.829861111109</v>
      </c>
      <c r="F1053" s="1" t="s">
        <v>12</v>
      </c>
      <c r="G1053" s="1" t="s">
        <v>20</v>
      </c>
      <c r="H1053" s="1" t="s">
        <v>41</v>
      </c>
      <c r="I1053" s="1" t="s">
        <v>15</v>
      </c>
      <c r="J1053" s="1" t="str">
        <f t="shared" si="32"/>
        <v>delivered</v>
      </c>
      <c r="K1053" s="1" t="str">
        <f>_xlfn.XLOOKUP(C1053, 'Product Catalog'!$A:$A, 'Product Catalog'!$B:$B, "Unknown Product")</f>
        <v>Jacket Model S44</v>
      </c>
      <c r="L1053" s="1" t="str">
        <f>_xlfn.XLOOKUP(C1053, 'Product Catalog'!$A:$A, 'Product Catalog'!$C:$C, "Unknown Category")</f>
        <v>Apparel</v>
      </c>
      <c r="M1053" s="1">
        <f>_xlfn.XLOOKUP(C1053, 'Product Catalog'!$A:$A, 'Product Catalog'!$D:$D, 0)</f>
        <v>93.08</v>
      </c>
      <c r="N1053" s="1">
        <f t="shared" si="33"/>
        <v>93.08</v>
      </c>
    </row>
    <row r="1054" spans="1:14" x14ac:dyDescent="0.3">
      <c r="A1054" s="1" t="s">
        <v>1525</v>
      </c>
      <c r="B1054" s="1" t="s">
        <v>382</v>
      </c>
      <c r="C1054" s="1" t="s">
        <v>54</v>
      </c>
      <c r="D1054" s="1">
        <v>2</v>
      </c>
      <c r="E1054" s="12">
        <v>45955.882638888892</v>
      </c>
      <c r="F1054" s="1" t="s">
        <v>19</v>
      </c>
      <c r="G1054" s="1" t="s">
        <v>109</v>
      </c>
      <c r="H1054" s="1" t="s">
        <v>41</v>
      </c>
      <c r="I1054" s="1" t="s">
        <v>15</v>
      </c>
      <c r="J1054" s="1" t="str">
        <f t="shared" si="32"/>
        <v>delivered</v>
      </c>
      <c r="K1054" s="1" t="str">
        <f>_xlfn.XLOOKUP(C1054, 'Product Catalog'!$A:$A, 'Product Catalog'!$B:$B, "Unknown Product")</f>
        <v>Keyboard Model V21</v>
      </c>
      <c r="L1054" s="1" t="str">
        <f>_xlfn.XLOOKUP(C1054, 'Product Catalog'!$A:$A, 'Product Catalog'!$C:$C, "Unknown Category")</f>
        <v>Electronics</v>
      </c>
      <c r="M1054" s="1">
        <f>_xlfn.XLOOKUP(C1054, 'Product Catalog'!$A:$A, 'Product Catalog'!$D:$D, 0)</f>
        <v>208.12</v>
      </c>
      <c r="N1054" s="1">
        <f t="shared" si="33"/>
        <v>416.24</v>
      </c>
    </row>
    <row r="1055" spans="1:14" x14ac:dyDescent="0.3">
      <c r="A1055" s="1" t="s">
        <v>1526</v>
      </c>
      <c r="B1055" s="1" t="s">
        <v>1114</v>
      </c>
      <c r="C1055" s="1" t="s">
        <v>281</v>
      </c>
      <c r="D1055" s="1">
        <v>1</v>
      </c>
      <c r="E1055" s="12">
        <v>45694.671527777777</v>
      </c>
      <c r="F1055" s="1" t="s">
        <v>12</v>
      </c>
      <c r="G1055" s="1" t="s">
        <v>20</v>
      </c>
      <c r="H1055" s="1" t="s">
        <v>14</v>
      </c>
      <c r="I1055" s="1" t="s">
        <v>15</v>
      </c>
      <c r="J1055" s="1" t="str">
        <f t="shared" si="32"/>
        <v>delivered</v>
      </c>
      <c r="K1055" s="1" t="str">
        <f>_xlfn.XLOOKUP(C1055, 'Product Catalog'!$A:$A, 'Product Catalog'!$B:$B, "Unknown Product")</f>
        <v>VPN 6-Month Pass Model B105</v>
      </c>
      <c r="L1055" s="1" t="str">
        <f>_xlfn.XLOOKUP(C1055, 'Product Catalog'!$A:$A, 'Product Catalog'!$C:$C, "Unknown Category")</f>
        <v>Digital Services</v>
      </c>
      <c r="M1055" s="1">
        <f>_xlfn.XLOOKUP(C1055, 'Product Catalog'!$A:$A, 'Product Catalog'!$D:$D, 0)</f>
        <v>36.130000000000003</v>
      </c>
      <c r="N1055" s="1">
        <f t="shared" si="33"/>
        <v>36.130000000000003</v>
      </c>
    </row>
    <row r="1056" spans="1:14" x14ac:dyDescent="0.3">
      <c r="A1056" s="1" t="s">
        <v>1527</v>
      </c>
      <c r="B1056" s="1" t="s">
        <v>761</v>
      </c>
      <c r="C1056" s="1" t="s">
        <v>334</v>
      </c>
      <c r="D1056" s="1">
        <v>5</v>
      </c>
      <c r="E1056" s="12">
        <v>45757.711111111108</v>
      </c>
      <c r="F1056" s="1" t="s">
        <v>170</v>
      </c>
      <c r="G1056" s="1" t="s">
        <v>40</v>
      </c>
      <c r="H1056" s="1" t="s">
        <v>41</v>
      </c>
      <c r="I1056" s="1" t="s">
        <v>56</v>
      </c>
      <c r="J1056" s="1" t="str">
        <f t="shared" si="32"/>
        <v>cancelled</v>
      </c>
      <c r="K1056" s="1" t="str">
        <f>_xlfn.XLOOKUP(C1056, 'Product Catalog'!$A:$A, 'Product Catalog'!$B:$B, "Unknown Product")</f>
        <v>Jeans Model Q42</v>
      </c>
      <c r="L1056" s="1" t="str">
        <f>_xlfn.XLOOKUP(C1056, 'Product Catalog'!$A:$A, 'Product Catalog'!$C:$C, "Unknown Category")</f>
        <v>Apparel</v>
      </c>
      <c r="M1056" s="1">
        <f>_xlfn.XLOOKUP(C1056, 'Product Catalog'!$A:$A, 'Product Catalog'!$D:$D, 0)</f>
        <v>82.57</v>
      </c>
      <c r="N1056" s="1">
        <f t="shared" si="33"/>
        <v>412.84999999999997</v>
      </c>
    </row>
    <row r="1057" spans="1:14" x14ac:dyDescent="0.3">
      <c r="A1057" s="1" t="s">
        <v>1528</v>
      </c>
      <c r="B1057" s="1" t="s">
        <v>525</v>
      </c>
      <c r="C1057" s="1" t="s">
        <v>261</v>
      </c>
      <c r="D1057" s="1">
        <v>5</v>
      </c>
      <c r="E1057" s="12">
        <v>45719.968055555553</v>
      </c>
      <c r="F1057" s="1" t="s">
        <v>19</v>
      </c>
      <c r="G1057" s="1" t="s">
        <v>40</v>
      </c>
      <c r="H1057" s="1" t="s">
        <v>51</v>
      </c>
      <c r="I1057" s="1" t="s">
        <v>56</v>
      </c>
      <c r="J1057" s="1" t="str">
        <f t="shared" si="32"/>
        <v>cancelled</v>
      </c>
      <c r="K1057" s="1" t="str">
        <f>_xlfn.XLOOKUP(C1057, 'Product Catalog'!$A:$A, 'Product Catalog'!$B:$B, "Unknown Product")</f>
        <v>Toaster Model C80</v>
      </c>
      <c r="L1057" s="1" t="str">
        <f>_xlfn.XLOOKUP(C1057, 'Product Catalog'!$A:$A, 'Product Catalog'!$C:$C, "Unknown Category")</f>
        <v>Home Goods</v>
      </c>
      <c r="M1057" s="1">
        <f>_xlfn.XLOOKUP(C1057, 'Product Catalog'!$A:$A, 'Product Catalog'!$D:$D, 0)</f>
        <v>45.24</v>
      </c>
      <c r="N1057" s="1">
        <f t="shared" si="33"/>
        <v>226.20000000000002</v>
      </c>
    </row>
    <row r="1058" spans="1:14" x14ac:dyDescent="0.3">
      <c r="A1058" s="1" t="s">
        <v>1529</v>
      </c>
      <c r="B1058" s="1" t="s">
        <v>166</v>
      </c>
      <c r="C1058" s="1" t="s">
        <v>253</v>
      </c>
      <c r="D1058" s="1">
        <v>4</v>
      </c>
      <c r="E1058" s="12">
        <v>45853.753472222219</v>
      </c>
      <c r="F1058" s="1" t="s">
        <v>170</v>
      </c>
      <c r="G1058" s="1" t="s">
        <v>40</v>
      </c>
      <c r="H1058" s="1" t="s">
        <v>55</v>
      </c>
      <c r="I1058" s="1" t="s">
        <v>81</v>
      </c>
      <c r="J1058" s="1" t="str">
        <f t="shared" si="32"/>
        <v>REFUNDED</v>
      </c>
      <c r="K1058" s="1" t="str">
        <f>_xlfn.XLOOKUP(C1058, 'Product Catalog'!$A:$A, 'Product Catalog'!$B:$B, "Unknown Product")</f>
        <v>Hoodie Model B79</v>
      </c>
      <c r="L1058" s="1" t="str">
        <f>_xlfn.XLOOKUP(C1058, 'Product Catalog'!$A:$A, 'Product Catalog'!$C:$C, "Unknown Category")</f>
        <v>Apparel</v>
      </c>
      <c r="M1058" s="1">
        <f>_xlfn.XLOOKUP(C1058, 'Product Catalog'!$A:$A, 'Product Catalog'!$D:$D, 0)</f>
        <v>106.9</v>
      </c>
      <c r="N1058" s="1">
        <f t="shared" si="33"/>
        <v>427.6</v>
      </c>
    </row>
    <row r="1059" spans="1:14" x14ac:dyDescent="0.3">
      <c r="A1059" s="1" t="s">
        <v>1530</v>
      </c>
      <c r="B1059" s="1" t="s">
        <v>166</v>
      </c>
      <c r="C1059" s="1" t="s">
        <v>281</v>
      </c>
      <c r="D1059" s="1">
        <v>1</v>
      </c>
      <c r="E1059" s="12">
        <v>45810.587500000001</v>
      </c>
      <c r="F1059" s="1" t="s">
        <v>12</v>
      </c>
      <c r="G1059" s="1" t="s">
        <v>20</v>
      </c>
      <c r="H1059" s="1" t="s">
        <v>41</v>
      </c>
      <c r="I1059" s="1" t="s">
        <v>15</v>
      </c>
      <c r="J1059" s="1" t="str">
        <f t="shared" si="32"/>
        <v>delivered</v>
      </c>
      <c r="K1059" s="1" t="str">
        <f>_xlfn.XLOOKUP(C1059, 'Product Catalog'!$A:$A, 'Product Catalog'!$B:$B, "Unknown Product")</f>
        <v>VPN 6-Month Pass Model B105</v>
      </c>
      <c r="L1059" s="1" t="str">
        <f>_xlfn.XLOOKUP(C1059, 'Product Catalog'!$A:$A, 'Product Catalog'!$C:$C, "Unknown Category")</f>
        <v>Digital Services</v>
      </c>
      <c r="M1059" s="1">
        <f>_xlfn.XLOOKUP(C1059, 'Product Catalog'!$A:$A, 'Product Catalog'!$D:$D, 0)</f>
        <v>36.130000000000003</v>
      </c>
      <c r="N1059" s="1">
        <f t="shared" si="33"/>
        <v>36.130000000000003</v>
      </c>
    </row>
    <row r="1060" spans="1:14" x14ac:dyDescent="0.3">
      <c r="A1060" s="1" t="s">
        <v>1531</v>
      </c>
      <c r="B1060" s="1" t="s">
        <v>319</v>
      </c>
      <c r="C1060" s="1" t="s">
        <v>636</v>
      </c>
      <c r="D1060" s="1">
        <v>4</v>
      </c>
      <c r="E1060" s="12">
        <v>45685.213888888888</v>
      </c>
      <c r="F1060" s="1" t="s">
        <v>170</v>
      </c>
      <c r="G1060" s="1" t="s">
        <v>40</v>
      </c>
      <c r="H1060" s="1" t="s">
        <v>51</v>
      </c>
      <c r="I1060" s="1" t="s">
        <v>42</v>
      </c>
      <c r="J1060" s="1" t="str">
        <f t="shared" si="32"/>
        <v>PENDING_REVIEW</v>
      </c>
      <c r="K1060" s="1" t="str">
        <f>_xlfn.XLOOKUP(C1060, 'Product Catalog'!$A:$A, 'Product Catalog'!$B:$B, "Unknown Product")</f>
        <v>Leather Handbag Model O92</v>
      </c>
      <c r="L1060" s="1" t="str">
        <f>_xlfn.XLOOKUP(C1060, 'Product Catalog'!$A:$A, 'Product Catalog'!$C:$C, "Unknown Category")</f>
        <v>Luxury Goods</v>
      </c>
      <c r="M1060" s="1">
        <f>_xlfn.XLOOKUP(C1060, 'Product Catalog'!$A:$A, 'Product Catalog'!$D:$D, 0)</f>
        <v>1245.53</v>
      </c>
      <c r="N1060" s="1">
        <f t="shared" si="33"/>
        <v>4982.12</v>
      </c>
    </row>
    <row r="1061" spans="1:14" x14ac:dyDescent="0.3">
      <c r="A1061" s="1" t="s">
        <v>1532</v>
      </c>
      <c r="B1061" s="1" t="s">
        <v>67</v>
      </c>
      <c r="C1061" s="1" t="s">
        <v>203</v>
      </c>
      <c r="D1061" s="1">
        <v>1</v>
      </c>
      <c r="E1061" s="12">
        <v>45728.284722222219</v>
      </c>
      <c r="F1061" s="1" t="s">
        <v>19</v>
      </c>
      <c r="G1061" s="1" t="s">
        <v>40</v>
      </c>
      <c r="H1061" s="1" t="s">
        <v>41</v>
      </c>
      <c r="I1061" s="1" t="s">
        <v>42</v>
      </c>
      <c r="J1061" s="1" t="str">
        <f t="shared" si="32"/>
        <v>PENDING_REVIEW</v>
      </c>
      <c r="K1061" s="1" t="str">
        <f>_xlfn.XLOOKUP(C1061, 'Product Catalog'!$A:$A, 'Product Catalog'!$B:$B, "Unknown Product")</f>
        <v>Pillow Model R17</v>
      </c>
      <c r="L1061" s="1" t="str">
        <f>_xlfn.XLOOKUP(C1061, 'Product Catalog'!$A:$A, 'Product Catalog'!$C:$C, "Unknown Category")</f>
        <v>Home Goods</v>
      </c>
      <c r="M1061" s="1">
        <f>_xlfn.XLOOKUP(C1061, 'Product Catalog'!$A:$A, 'Product Catalog'!$D:$D, 0)</f>
        <v>169.86</v>
      </c>
      <c r="N1061" s="1">
        <f t="shared" si="33"/>
        <v>169.86</v>
      </c>
    </row>
    <row r="1062" spans="1:14" x14ac:dyDescent="0.3">
      <c r="A1062" s="1" t="s">
        <v>1533</v>
      </c>
      <c r="B1062" s="1" t="s">
        <v>1534</v>
      </c>
      <c r="C1062" s="1" t="s">
        <v>758</v>
      </c>
      <c r="D1062" s="1">
        <v>2</v>
      </c>
      <c r="E1062" s="12">
        <v>45833.581944444442</v>
      </c>
      <c r="F1062" s="1" t="s">
        <v>12</v>
      </c>
      <c r="G1062" s="1" t="s">
        <v>46</v>
      </c>
      <c r="H1062" s="1" t="s">
        <v>41</v>
      </c>
      <c r="I1062" s="1" t="s">
        <v>15</v>
      </c>
      <c r="J1062" s="1" t="str">
        <f t="shared" si="32"/>
        <v>delivered</v>
      </c>
      <c r="K1062" s="1" t="str">
        <f>_xlfn.XLOOKUP(C1062, 'Product Catalog'!$A:$A, 'Product Catalog'!$B:$B, "Unknown Product")</f>
        <v>Cloud Storage Basic Model G110</v>
      </c>
      <c r="L1062" s="1" t="str">
        <f>_xlfn.XLOOKUP(C1062, 'Product Catalog'!$A:$A, 'Product Catalog'!$C:$C, "Unknown Category")</f>
        <v>Digital Services</v>
      </c>
      <c r="M1062" s="1">
        <f>_xlfn.XLOOKUP(C1062, 'Product Catalog'!$A:$A, 'Product Catalog'!$D:$D, 0)</f>
        <v>53.87</v>
      </c>
      <c r="N1062" s="1">
        <f t="shared" si="33"/>
        <v>107.74</v>
      </c>
    </row>
    <row r="1063" spans="1:14" x14ac:dyDescent="0.3">
      <c r="A1063" s="1" t="s">
        <v>1535</v>
      </c>
      <c r="B1063" s="1" t="s">
        <v>22</v>
      </c>
      <c r="C1063" s="1" t="s">
        <v>117</v>
      </c>
      <c r="D1063" s="1">
        <v>2</v>
      </c>
      <c r="E1063" s="12">
        <v>45949.650694444441</v>
      </c>
      <c r="F1063" s="1" t="s">
        <v>12</v>
      </c>
      <c r="G1063" s="1" t="s">
        <v>46</v>
      </c>
      <c r="H1063" s="1" t="s">
        <v>14</v>
      </c>
      <c r="I1063" s="1" t="s">
        <v>15</v>
      </c>
      <c r="J1063" s="1" t="str">
        <f t="shared" si="32"/>
        <v>delivered</v>
      </c>
      <c r="K1063" s="1" t="str">
        <f>_xlfn.XLOOKUP(C1063, 'Product Catalog'!$A:$A, 'Product Catalog'!$B:$B, "Unknown Product")</f>
        <v>Organizer Model R95</v>
      </c>
      <c r="L1063" s="1" t="str">
        <f>_xlfn.XLOOKUP(C1063, 'Product Catalog'!$A:$A, 'Product Catalog'!$C:$C, "Unknown Category")</f>
        <v>Home Goods</v>
      </c>
      <c r="M1063" s="1">
        <f>_xlfn.XLOOKUP(C1063, 'Product Catalog'!$A:$A, 'Product Catalog'!$D:$D, 0)</f>
        <v>109.58</v>
      </c>
      <c r="N1063" s="1">
        <f t="shared" si="33"/>
        <v>219.16</v>
      </c>
    </row>
    <row r="1064" spans="1:14" x14ac:dyDescent="0.3">
      <c r="A1064" s="1" t="s">
        <v>1536</v>
      </c>
      <c r="B1064" s="1" t="s">
        <v>739</v>
      </c>
      <c r="C1064" s="1" t="s">
        <v>160</v>
      </c>
      <c r="D1064" s="1">
        <v>4</v>
      </c>
      <c r="E1064" s="12">
        <v>45731.449305555558</v>
      </c>
      <c r="F1064" s="1" t="s">
        <v>170</v>
      </c>
      <c r="G1064" s="1" t="s">
        <v>40</v>
      </c>
      <c r="H1064" s="1" t="s">
        <v>41</v>
      </c>
      <c r="I1064" s="1" t="s">
        <v>56</v>
      </c>
      <c r="J1064" s="1" t="str">
        <f t="shared" si="32"/>
        <v>cancelled</v>
      </c>
      <c r="K1064" s="1" t="str">
        <f>_xlfn.XLOOKUP(C1064, 'Product Catalog'!$A:$A, 'Product Catalog'!$B:$B, "Unknown Product")</f>
        <v>Socks Model T149</v>
      </c>
      <c r="L1064" s="1" t="str">
        <f>_xlfn.XLOOKUP(C1064, 'Product Catalog'!$A:$A, 'Product Catalog'!$C:$C, "Unknown Category")</f>
        <v>Apparel</v>
      </c>
      <c r="M1064" s="1">
        <f>_xlfn.XLOOKUP(C1064, 'Product Catalog'!$A:$A, 'Product Catalog'!$D:$D, 0)</f>
        <v>45.95</v>
      </c>
      <c r="N1064" s="1">
        <f t="shared" si="33"/>
        <v>183.8</v>
      </c>
    </row>
    <row r="1065" spans="1:14" x14ac:dyDescent="0.3">
      <c r="A1065" s="1" t="s">
        <v>1537</v>
      </c>
      <c r="B1065" s="1" t="s">
        <v>972</v>
      </c>
      <c r="C1065" s="1" t="s">
        <v>38</v>
      </c>
      <c r="D1065" s="1">
        <v>1</v>
      </c>
      <c r="E1065" s="12">
        <v>45750.114583333336</v>
      </c>
      <c r="F1065" s="1" t="s">
        <v>19</v>
      </c>
      <c r="G1065" s="1" t="s">
        <v>40</v>
      </c>
      <c r="H1065" s="1" t="s">
        <v>51</v>
      </c>
      <c r="I1065" s="1" t="s">
        <v>56</v>
      </c>
      <c r="J1065" s="1" t="str">
        <f t="shared" si="32"/>
        <v>cancelled</v>
      </c>
      <c r="K1065" s="1" t="str">
        <f>_xlfn.XLOOKUP(C1065, 'Product Catalog'!$A:$A, 'Product Catalog'!$B:$B, "Unknown Product")</f>
        <v>VPN 6-Month Pass Model V73</v>
      </c>
      <c r="L1065" s="1" t="str">
        <f>_xlfn.XLOOKUP(C1065, 'Product Catalog'!$A:$A, 'Product Catalog'!$C:$C, "Unknown Category")</f>
        <v>Digital Services</v>
      </c>
      <c r="M1065" s="1">
        <f>_xlfn.XLOOKUP(C1065, 'Product Catalog'!$A:$A, 'Product Catalog'!$D:$D, 0)</f>
        <v>58.13</v>
      </c>
      <c r="N1065" s="1">
        <f t="shared" si="33"/>
        <v>58.13</v>
      </c>
    </row>
    <row r="1066" spans="1:14" x14ac:dyDescent="0.3">
      <c r="A1066" s="1" t="s">
        <v>1538</v>
      </c>
      <c r="B1066" s="1" t="s">
        <v>809</v>
      </c>
      <c r="C1066" s="1" t="s">
        <v>314</v>
      </c>
      <c r="D1066" s="1">
        <v>1</v>
      </c>
      <c r="E1066" s="12">
        <v>45907.472916666666</v>
      </c>
      <c r="F1066" s="1" t="s">
        <v>12</v>
      </c>
      <c r="G1066" s="1" t="s">
        <v>20</v>
      </c>
      <c r="H1066" s="1" t="s">
        <v>41</v>
      </c>
      <c r="I1066" s="1" t="s">
        <v>15</v>
      </c>
      <c r="J1066" s="1" t="str">
        <f t="shared" si="32"/>
        <v>delivered</v>
      </c>
      <c r="K1066" s="1" t="str">
        <f>_xlfn.XLOOKUP(C1066, 'Product Catalog'!$A:$A, 'Product Catalog'!$B:$B, "Unknown Product")</f>
        <v>Smartwatch Model A104</v>
      </c>
      <c r="L1066" s="1" t="str">
        <f>_xlfn.XLOOKUP(C1066, 'Product Catalog'!$A:$A, 'Product Catalog'!$C:$C, "Unknown Category")</f>
        <v>Electronics</v>
      </c>
      <c r="M1066" s="1">
        <f>_xlfn.XLOOKUP(C1066, 'Product Catalog'!$A:$A, 'Product Catalog'!$D:$D, 0)</f>
        <v>80.59</v>
      </c>
      <c r="N1066" s="1">
        <f t="shared" si="33"/>
        <v>80.59</v>
      </c>
    </row>
    <row r="1067" spans="1:14" x14ac:dyDescent="0.3">
      <c r="A1067" s="1" t="s">
        <v>1539</v>
      </c>
      <c r="B1067" s="1" t="s">
        <v>10</v>
      </c>
      <c r="C1067" s="1" t="s">
        <v>935</v>
      </c>
      <c r="D1067" s="1">
        <v>3</v>
      </c>
      <c r="E1067" s="12">
        <v>45981.251388888886</v>
      </c>
      <c r="F1067" s="1" t="s">
        <v>19</v>
      </c>
      <c r="G1067" s="1" t="s">
        <v>46</v>
      </c>
      <c r="H1067" s="1" t="s">
        <v>14</v>
      </c>
      <c r="I1067" s="1" t="s">
        <v>15</v>
      </c>
      <c r="J1067" s="1" t="str">
        <f t="shared" si="32"/>
        <v>delivered</v>
      </c>
      <c r="K1067" s="1" t="str">
        <f>_xlfn.XLOOKUP(C1067, 'Product Catalog'!$A:$A, 'Product Catalog'!$B:$B, "Unknown Product")</f>
        <v>Cloud Storage Basic Model L141</v>
      </c>
      <c r="L1067" s="1" t="str">
        <f>_xlfn.XLOOKUP(C1067, 'Product Catalog'!$A:$A, 'Product Catalog'!$C:$C, "Unknown Category")</f>
        <v>Digital Services</v>
      </c>
      <c r="M1067" s="1">
        <f>_xlfn.XLOOKUP(C1067, 'Product Catalog'!$A:$A, 'Product Catalog'!$D:$D, 0)</f>
        <v>93.62</v>
      </c>
      <c r="N1067" s="1">
        <f t="shared" si="33"/>
        <v>280.86</v>
      </c>
    </row>
    <row r="1068" spans="1:14" x14ac:dyDescent="0.3">
      <c r="A1068" s="1" t="s">
        <v>1540</v>
      </c>
      <c r="B1068" s="1" t="s">
        <v>298</v>
      </c>
      <c r="C1068" s="1" t="s">
        <v>415</v>
      </c>
      <c r="D1068" s="1">
        <v>1</v>
      </c>
      <c r="E1068" s="12">
        <v>45818.902083333334</v>
      </c>
      <c r="F1068" s="1" t="s">
        <v>19</v>
      </c>
      <c r="G1068" s="1" t="s">
        <v>20</v>
      </c>
      <c r="H1068" s="1" t="s">
        <v>14</v>
      </c>
      <c r="I1068" s="1" t="s">
        <v>15</v>
      </c>
      <c r="J1068" s="1" t="str">
        <f t="shared" si="32"/>
        <v>delivered</v>
      </c>
      <c r="K1068" s="1" t="str">
        <f>_xlfn.XLOOKUP(C1068, 'Product Catalog'!$A:$A, 'Product Catalog'!$B:$B, "Unknown Product")</f>
        <v>Premium Stream 1M Model S148</v>
      </c>
      <c r="L1068" s="1" t="str">
        <f>_xlfn.XLOOKUP(C1068, 'Product Catalog'!$A:$A, 'Product Catalog'!$C:$C, "Unknown Category")</f>
        <v>Digital Services</v>
      </c>
      <c r="M1068" s="1">
        <f>_xlfn.XLOOKUP(C1068, 'Product Catalog'!$A:$A, 'Product Catalog'!$D:$D, 0)</f>
        <v>9.73</v>
      </c>
      <c r="N1068" s="1">
        <f t="shared" si="33"/>
        <v>9.73</v>
      </c>
    </row>
    <row r="1069" spans="1:14" x14ac:dyDescent="0.3">
      <c r="A1069" s="1" t="s">
        <v>1541</v>
      </c>
      <c r="B1069" s="1" t="s">
        <v>1542</v>
      </c>
      <c r="C1069" s="1" t="s">
        <v>740</v>
      </c>
      <c r="D1069" s="1">
        <v>2</v>
      </c>
      <c r="E1069" s="12">
        <v>45687.006249999999</v>
      </c>
      <c r="F1069" s="1" t="s">
        <v>12</v>
      </c>
      <c r="G1069" s="1" t="s">
        <v>109</v>
      </c>
      <c r="H1069" s="1" t="s">
        <v>41</v>
      </c>
      <c r="I1069" s="1" t="s">
        <v>81</v>
      </c>
      <c r="J1069" s="1" t="str">
        <f t="shared" si="32"/>
        <v>REFUNDED</v>
      </c>
      <c r="K1069" s="1" t="str">
        <f>_xlfn.XLOOKUP(C1069, 'Product Catalog'!$A:$A, 'Product Catalog'!$B:$B, "Unknown Product")</f>
        <v>Jacket Model S44</v>
      </c>
      <c r="L1069" s="1" t="str">
        <f>_xlfn.XLOOKUP(C1069, 'Product Catalog'!$A:$A, 'Product Catalog'!$C:$C, "Unknown Category")</f>
        <v>Apparel</v>
      </c>
      <c r="M1069" s="1">
        <f>_xlfn.XLOOKUP(C1069, 'Product Catalog'!$A:$A, 'Product Catalog'!$D:$D, 0)</f>
        <v>93.08</v>
      </c>
      <c r="N1069" s="1">
        <f t="shared" si="33"/>
        <v>186.16</v>
      </c>
    </row>
    <row r="1070" spans="1:14" x14ac:dyDescent="0.3">
      <c r="A1070" s="1" t="s">
        <v>1543</v>
      </c>
      <c r="B1070" s="1" t="s">
        <v>1114</v>
      </c>
      <c r="C1070" s="1" t="s">
        <v>636</v>
      </c>
      <c r="D1070" s="1">
        <v>5</v>
      </c>
      <c r="E1070" s="12">
        <v>45889.388888888891</v>
      </c>
      <c r="F1070" s="1" t="s">
        <v>12</v>
      </c>
      <c r="G1070" s="1" t="s">
        <v>13</v>
      </c>
      <c r="H1070" s="1" t="s">
        <v>51</v>
      </c>
      <c r="I1070" s="1" t="s">
        <v>102</v>
      </c>
      <c r="J1070" s="1" t="str">
        <f t="shared" si="32"/>
        <v>disputed</v>
      </c>
      <c r="K1070" s="1" t="str">
        <f>_xlfn.XLOOKUP(C1070, 'Product Catalog'!$A:$A, 'Product Catalog'!$B:$B, "Unknown Product")</f>
        <v>Leather Handbag Model O92</v>
      </c>
      <c r="L1070" s="1" t="str">
        <f>_xlfn.XLOOKUP(C1070, 'Product Catalog'!$A:$A, 'Product Catalog'!$C:$C, "Unknown Category")</f>
        <v>Luxury Goods</v>
      </c>
      <c r="M1070" s="1">
        <f>_xlfn.XLOOKUP(C1070, 'Product Catalog'!$A:$A, 'Product Catalog'!$D:$D, 0)</f>
        <v>1245.53</v>
      </c>
      <c r="N1070" s="1">
        <f t="shared" si="33"/>
        <v>6227.65</v>
      </c>
    </row>
    <row r="1071" spans="1:14" x14ac:dyDescent="0.3">
      <c r="A1071" s="1" t="s">
        <v>1544</v>
      </c>
      <c r="B1071" s="1" t="s">
        <v>324</v>
      </c>
      <c r="C1071" s="1" t="s">
        <v>316</v>
      </c>
      <c r="D1071" s="1">
        <v>5</v>
      </c>
      <c r="E1071" s="12">
        <v>45765.239583333336</v>
      </c>
      <c r="F1071" s="1" t="s">
        <v>12</v>
      </c>
      <c r="G1071" s="1" t="s">
        <v>20</v>
      </c>
      <c r="H1071" s="1" t="s">
        <v>41</v>
      </c>
      <c r="I1071" s="1" t="s">
        <v>56</v>
      </c>
      <c r="J1071" s="1" t="str">
        <f t="shared" si="32"/>
        <v>cancelled</v>
      </c>
      <c r="K1071" s="1" t="str">
        <f>_xlfn.XLOOKUP(C1071, 'Product Catalog'!$A:$A, 'Product Catalog'!$B:$B, "Unknown Product")</f>
        <v>Leather Handbag Model W48</v>
      </c>
      <c r="L1071" s="1" t="str">
        <f>_xlfn.XLOOKUP(C1071, 'Product Catalog'!$A:$A, 'Product Catalog'!$C:$C, "Unknown Category")</f>
        <v>Luxury Goods</v>
      </c>
      <c r="M1071" s="1">
        <f>_xlfn.XLOOKUP(C1071, 'Product Catalog'!$A:$A, 'Product Catalog'!$D:$D, 0)</f>
        <v>315.82</v>
      </c>
      <c r="N1071" s="1">
        <f t="shared" si="33"/>
        <v>1579.1</v>
      </c>
    </row>
    <row r="1072" spans="1:14" x14ac:dyDescent="0.3">
      <c r="A1072" s="1" t="s">
        <v>1545</v>
      </c>
      <c r="B1072" s="1" t="s">
        <v>283</v>
      </c>
      <c r="C1072" s="1" t="s">
        <v>253</v>
      </c>
      <c r="D1072" s="1">
        <v>1</v>
      </c>
      <c r="E1072" s="12">
        <v>45953.224999999999</v>
      </c>
      <c r="F1072" s="1" t="s">
        <v>12</v>
      </c>
      <c r="G1072" s="1" t="s">
        <v>31</v>
      </c>
      <c r="H1072" s="1" t="s">
        <v>14</v>
      </c>
      <c r="I1072" s="1" t="s">
        <v>32</v>
      </c>
      <c r="J1072" s="1" t="str">
        <f t="shared" si="32"/>
        <v>SHIPPED</v>
      </c>
      <c r="K1072" s="1" t="str">
        <f>_xlfn.XLOOKUP(C1072, 'Product Catalog'!$A:$A, 'Product Catalog'!$B:$B, "Unknown Product")</f>
        <v>Hoodie Model B79</v>
      </c>
      <c r="L1072" s="1" t="str">
        <f>_xlfn.XLOOKUP(C1072, 'Product Catalog'!$A:$A, 'Product Catalog'!$C:$C, "Unknown Category")</f>
        <v>Apparel</v>
      </c>
      <c r="M1072" s="1">
        <f>_xlfn.XLOOKUP(C1072, 'Product Catalog'!$A:$A, 'Product Catalog'!$D:$D, 0)</f>
        <v>106.9</v>
      </c>
      <c r="N1072" s="1">
        <f t="shared" si="33"/>
        <v>106.9</v>
      </c>
    </row>
    <row r="1073" spans="1:14" x14ac:dyDescent="0.3">
      <c r="A1073" s="1" t="s">
        <v>1546</v>
      </c>
      <c r="B1073" s="1" t="s">
        <v>605</v>
      </c>
      <c r="C1073" s="1" t="s">
        <v>452</v>
      </c>
      <c r="D1073" s="1">
        <v>2</v>
      </c>
      <c r="E1073" s="12">
        <v>45908.125</v>
      </c>
      <c r="F1073" s="1" t="s">
        <v>19</v>
      </c>
      <c r="G1073" s="1" t="s">
        <v>109</v>
      </c>
      <c r="H1073" s="1" t="s">
        <v>14</v>
      </c>
      <c r="I1073" s="1" t="s">
        <v>15</v>
      </c>
      <c r="J1073" s="1" t="str">
        <f t="shared" si="32"/>
        <v>delivered</v>
      </c>
      <c r="K1073" s="1" t="str">
        <f>_xlfn.XLOOKUP(C1073, 'Product Catalog'!$A:$A, 'Product Catalog'!$B:$B, "Unknown Product")</f>
        <v>E-Book Access Model U150</v>
      </c>
      <c r="L1073" s="1" t="str">
        <f>_xlfn.XLOOKUP(C1073, 'Product Catalog'!$A:$A, 'Product Catalog'!$C:$C, "Unknown Category")</f>
        <v>Digital Services</v>
      </c>
      <c r="M1073" s="1">
        <f>_xlfn.XLOOKUP(C1073, 'Product Catalog'!$A:$A, 'Product Catalog'!$D:$D, 0)</f>
        <v>75.69</v>
      </c>
      <c r="N1073" s="1">
        <f t="shared" si="33"/>
        <v>151.38</v>
      </c>
    </row>
    <row r="1074" spans="1:14" x14ac:dyDescent="0.3">
      <c r="A1074" s="1" t="s">
        <v>1547</v>
      </c>
      <c r="B1074" s="1" t="s">
        <v>313</v>
      </c>
      <c r="C1074" s="1" t="s">
        <v>556</v>
      </c>
      <c r="D1074" s="1">
        <v>4</v>
      </c>
      <c r="E1074" s="12">
        <v>45724.873611111114</v>
      </c>
      <c r="F1074" s="1" t="s">
        <v>19</v>
      </c>
      <c r="G1074" s="1" t="s">
        <v>40</v>
      </c>
      <c r="H1074" s="1" t="s">
        <v>51</v>
      </c>
      <c r="I1074" s="1" t="s">
        <v>42</v>
      </c>
      <c r="J1074" s="1" t="str">
        <f t="shared" si="32"/>
        <v>PENDING_REVIEW</v>
      </c>
      <c r="K1074" s="1" t="str">
        <f>_xlfn.XLOOKUP(C1074, 'Product Catalog'!$A:$A, 'Product Catalog'!$B:$B, "Unknown Product")</f>
        <v>Mug Model C54</v>
      </c>
      <c r="L1074" s="1" t="str">
        <f>_xlfn.XLOOKUP(C1074, 'Product Catalog'!$A:$A, 'Product Catalog'!$C:$C, "Unknown Category")</f>
        <v>Home Goods</v>
      </c>
      <c r="M1074" s="1">
        <f>_xlfn.XLOOKUP(C1074, 'Product Catalog'!$A:$A, 'Product Catalog'!$D:$D, 0)</f>
        <v>85.78</v>
      </c>
      <c r="N1074" s="1">
        <f t="shared" si="33"/>
        <v>343.12</v>
      </c>
    </row>
    <row r="1075" spans="1:14" x14ac:dyDescent="0.3">
      <c r="A1075" s="1" t="s">
        <v>1548</v>
      </c>
      <c r="B1075" s="1" t="s">
        <v>601</v>
      </c>
      <c r="C1075" s="1" t="s">
        <v>237</v>
      </c>
      <c r="D1075" s="1">
        <v>5</v>
      </c>
      <c r="E1075" s="12">
        <v>45880.900694444441</v>
      </c>
      <c r="F1075" s="1" t="s">
        <v>39</v>
      </c>
      <c r="G1075" s="1" t="s">
        <v>31</v>
      </c>
      <c r="H1075" s="1" t="s">
        <v>41</v>
      </c>
      <c r="I1075" s="1" t="s">
        <v>102</v>
      </c>
      <c r="J1075" s="1" t="str">
        <f t="shared" si="32"/>
        <v>disputed</v>
      </c>
      <c r="K1075" s="1" t="str">
        <f>_xlfn.XLOOKUP(C1075, 'Product Catalog'!$A:$A, 'Product Catalog'!$B:$B, "Unknown Product")</f>
        <v>Leather Handbag Model U20</v>
      </c>
      <c r="L1075" s="1" t="str">
        <f>_xlfn.XLOOKUP(C1075, 'Product Catalog'!$A:$A, 'Product Catalog'!$C:$C, "Unknown Category")</f>
        <v>Luxury Goods</v>
      </c>
      <c r="M1075" s="1">
        <f>_xlfn.XLOOKUP(C1075, 'Product Catalog'!$A:$A, 'Product Catalog'!$D:$D, 0)</f>
        <v>1806.15</v>
      </c>
      <c r="N1075" s="1">
        <f t="shared" si="33"/>
        <v>9030.75</v>
      </c>
    </row>
    <row r="1076" spans="1:14" x14ac:dyDescent="0.3">
      <c r="A1076" s="1" t="s">
        <v>1549</v>
      </c>
      <c r="B1076" s="1" t="s">
        <v>1550</v>
      </c>
      <c r="C1076" s="1" t="s">
        <v>140</v>
      </c>
      <c r="D1076" s="1">
        <v>4</v>
      </c>
      <c r="E1076" s="12">
        <v>45877.573611111111</v>
      </c>
      <c r="F1076" s="1" t="s">
        <v>19</v>
      </c>
      <c r="G1076" s="1" t="s">
        <v>50</v>
      </c>
      <c r="H1076" s="1" t="s">
        <v>41</v>
      </c>
      <c r="I1076" s="1" t="s">
        <v>81</v>
      </c>
      <c r="J1076" s="1" t="str">
        <f t="shared" si="32"/>
        <v>REFUNDED</v>
      </c>
      <c r="K1076" s="1" t="str">
        <f>_xlfn.XLOOKUP(C1076, 'Product Catalog'!$A:$A, 'Product Catalog'!$B:$B, "Unknown Product")</f>
        <v>Blender Model H85</v>
      </c>
      <c r="L1076" s="1" t="str">
        <f>_xlfn.XLOOKUP(C1076, 'Product Catalog'!$A:$A, 'Product Catalog'!$C:$C, "Unknown Category")</f>
        <v>Home Goods</v>
      </c>
      <c r="M1076" s="1">
        <f>_xlfn.XLOOKUP(C1076, 'Product Catalog'!$A:$A, 'Product Catalog'!$D:$D, 0)</f>
        <v>130</v>
      </c>
      <c r="N1076" s="1">
        <f t="shared" si="33"/>
        <v>520</v>
      </c>
    </row>
    <row r="1077" spans="1:14" x14ac:dyDescent="0.3">
      <c r="A1077" s="1" t="s">
        <v>1551</v>
      </c>
      <c r="B1077" s="1" t="s">
        <v>739</v>
      </c>
      <c r="C1077" s="1" t="s">
        <v>23</v>
      </c>
      <c r="D1077" s="1">
        <v>1</v>
      </c>
      <c r="E1077" s="12">
        <v>45877.678472222222</v>
      </c>
      <c r="F1077" s="1" t="s">
        <v>12</v>
      </c>
      <c r="G1077" s="1" t="s">
        <v>13</v>
      </c>
      <c r="H1077" s="1" t="s">
        <v>41</v>
      </c>
      <c r="I1077" s="1" t="s">
        <v>15</v>
      </c>
      <c r="J1077" s="1" t="str">
        <f t="shared" si="32"/>
        <v>delivered</v>
      </c>
      <c r="K1077" s="1" t="str">
        <f>_xlfn.XLOOKUP(C1077, 'Product Catalog'!$A:$A, 'Product Catalog'!$B:$B, "Unknown Product")</f>
        <v>Mouse Model A78</v>
      </c>
      <c r="L1077" s="1" t="str">
        <f>_xlfn.XLOOKUP(C1077, 'Product Catalog'!$A:$A, 'Product Catalog'!$C:$C, "Unknown Category")</f>
        <v>Electronics</v>
      </c>
      <c r="M1077" s="1">
        <f>_xlfn.XLOOKUP(C1077, 'Product Catalog'!$A:$A, 'Product Catalog'!$D:$D, 0)</f>
        <v>141.34</v>
      </c>
      <c r="N1077" s="1">
        <f t="shared" si="33"/>
        <v>141.34</v>
      </c>
    </row>
    <row r="1078" spans="1:14" x14ac:dyDescent="0.3">
      <c r="A1078" s="1" t="s">
        <v>1552</v>
      </c>
      <c r="B1078" s="1" t="s">
        <v>333</v>
      </c>
      <c r="C1078" s="1" t="s">
        <v>117</v>
      </c>
      <c r="D1078" s="1">
        <v>4</v>
      </c>
      <c r="E1078" s="12">
        <v>45854.006249999999</v>
      </c>
      <c r="F1078" s="1" t="s">
        <v>170</v>
      </c>
      <c r="G1078" s="1" t="s">
        <v>40</v>
      </c>
      <c r="H1078" s="1" t="s">
        <v>51</v>
      </c>
      <c r="I1078" s="1" t="s">
        <v>81</v>
      </c>
      <c r="J1078" s="1" t="str">
        <f t="shared" si="32"/>
        <v>REFUNDED</v>
      </c>
      <c r="K1078" s="1" t="str">
        <f>_xlfn.XLOOKUP(C1078, 'Product Catalog'!$A:$A, 'Product Catalog'!$B:$B, "Unknown Product")</f>
        <v>Organizer Model R95</v>
      </c>
      <c r="L1078" s="1" t="str">
        <f>_xlfn.XLOOKUP(C1078, 'Product Catalog'!$A:$A, 'Product Catalog'!$C:$C, "Unknown Category")</f>
        <v>Home Goods</v>
      </c>
      <c r="M1078" s="1">
        <f>_xlfn.XLOOKUP(C1078, 'Product Catalog'!$A:$A, 'Product Catalog'!$D:$D, 0)</f>
        <v>109.58</v>
      </c>
      <c r="N1078" s="1">
        <f t="shared" si="33"/>
        <v>438.32</v>
      </c>
    </row>
    <row r="1079" spans="1:14" x14ac:dyDescent="0.3">
      <c r="A1079" s="1" t="s">
        <v>1553</v>
      </c>
      <c r="B1079" s="1" t="s">
        <v>842</v>
      </c>
      <c r="C1079" s="1" t="s">
        <v>35</v>
      </c>
      <c r="D1079" s="1">
        <v>1</v>
      </c>
      <c r="E1079" s="12">
        <v>45677.759027777778</v>
      </c>
      <c r="F1079" s="1" t="s">
        <v>19</v>
      </c>
      <c r="G1079" s="1" t="s">
        <v>13</v>
      </c>
      <c r="H1079" s="1" t="s">
        <v>24</v>
      </c>
      <c r="I1079" s="1" t="s">
        <v>15</v>
      </c>
      <c r="J1079" s="1" t="str">
        <f t="shared" si="32"/>
        <v>delivered</v>
      </c>
      <c r="K1079" s="1" t="str">
        <f>_xlfn.XLOOKUP(C1079, 'Product Catalog'!$A:$A, 'Product Catalog'!$B:$B, "Unknown Product")</f>
        <v>Blender Model W74</v>
      </c>
      <c r="L1079" s="1" t="str">
        <f>_xlfn.XLOOKUP(C1079, 'Product Catalog'!$A:$A, 'Product Catalog'!$C:$C, "Unknown Category")</f>
        <v>Home Goods</v>
      </c>
      <c r="M1079" s="1">
        <f>_xlfn.XLOOKUP(C1079, 'Product Catalog'!$A:$A, 'Product Catalog'!$D:$D, 0)</f>
        <v>127.16</v>
      </c>
      <c r="N1079" s="1">
        <f t="shared" si="33"/>
        <v>127.16</v>
      </c>
    </row>
    <row r="1080" spans="1:14" x14ac:dyDescent="0.3">
      <c r="A1080" s="1" t="s">
        <v>1554</v>
      </c>
      <c r="B1080" s="1" t="s">
        <v>773</v>
      </c>
      <c r="C1080" s="1" t="s">
        <v>619</v>
      </c>
      <c r="D1080" s="1">
        <v>1</v>
      </c>
      <c r="E1080" s="12">
        <v>45760.530555555553</v>
      </c>
      <c r="F1080" s="1" t="s">
        <v>19</v>
      </c>
      <c r="G1080" s="1" t="s">
        <v>46</v>
      </c>
      <c r="H1080" s="1" t="s">
        <v>14</v>
      </c>
      <c r="I1080" s="1" t="s">
        <v>32</v>
      </c>
      <c r="J1080" s="1" t="str">
        <f t="shared" si="32"/>
        <v>SHIPPED</v>
      </c>
      <c r="K1080" s="1" t="str">
        <f>_xlfn.XLOOKUP(C1080, 'Product Catalog'!$A:$A, 'Product Catalog'!$B:$B, "Unknown Product")</f>
        <v>Jacket Model B27</v>
      </c>
      <c r="L1080" s="1" t="str">
        <f>_xlfn.XLOOKUP(C1080, 'Product Catalog'!$A:$A, 'Product Catalog'!$C:$C, "Unknown Category")</f>
        <v>Apparel</v>
      </c>
      <c r="M1080" s="1">
        <f>_xlfn.XLOOKUP(C1080, 'Product Catalog'!$A:$A, 'Product Catalog'!$D:$D, 0)</f>
        <v>64.290000000000006</v>
      </c>
      <c r="N1080" s="1">
        <f t="shared" si="33"/>
        <v>64.290000000000006</v>
      </c>
    </row>
    <row r="1081" spans="1:14" x14ac:dyDescent="0.3">
      <c r="A1081" s="1" t="s">
        <v>1555</v>
      </c>
      <c r="B1081" s="1" t="s">
        <v>581</v>
      </c>
      <c r="C1081" s="1" t="s">
        <v>636</v>
      </c>
      <c r="D1081" s="1">
        <v>4</v>
      </c>
      <c r="E1081" s="12">
        <v>45665.457638888889</v>
      </c>
      <c r="F1081" s="1" t="s">
        <v>12</v>
      </c>
      <c r="G1081" s="1" t="s">
        <v>31</v>
      </c>
      <c r="H1081" s="1" t="s">
        <v>55</v>
      </c>
      <c r="I1081" s="1" t="s">
        <v>81</v>
      </c>
      <c r="J1081" s="1" t="str">
        <f t="shared" si="32"/>
        <v>REFUNDED</v>
      </c>
      <c r="K1081" s="1" t="str">
        <f>_xlfn.XLOOKUP(C1081, 'Product Catalog'!$A:$A, 'Product Catalog'!$B:$B, "Unknown Product")</f>
        <v>Leather Handbag Model O92</v>
      </c>
      <c r="L1081" s="1" t="str">
        <f>_xlfn.XLOOKUP(C1081, 'Product Catalog'!$A:$A, 'Product Catalog'!$C:$C, "Unknown Category")</f>
        <v>Luxury Goods</v>
      </c>
      <c r="M1081" s="1">
        <f>_xlfn.XLOOKUP(C1081, 'Product Catalog'!$A:$A, 'Product Catalog'!$D:$D, 0)</f>
        <v>1245.53</v>
      </c>
      <c r="N1081" s="1">
        <f t="shared" si="33"/>
        <v>4982.12</v>
      </c>
    </row>
    <row r="1082" spans="1:14" x14ac:dyDescent="0.3">
      <c r="A1082" s="1" t="s">
        <v>1556</v>
      </c>
      <c r="B1082" s="1" t="s">
        <v>232</v>
      </c>
      <c r="C1082" s="1" t="s">
        <v>301</v>
      </c>
      <c r="D1082" s="1">
        <v>1</v>
      </c>
      <c r="E1082" s="12">
        <v>45929.270833333336</v>
      </c>
      <c r="F1082" s="1" t="s">
        <v>19</v>
      </c>
      <c r="G1082" s="1" t="s">
        <v>46</v>
      </c>
      <c r="H1082" s="1" t="s">
        <v>41</v>
      </c>
      <c r="I1082" s="1" t="s">
        <v>15</v>
      </c>
      <c r="J1082" s="1" t="str">
        <f t="shared" si="32"/>
        <v>delivered</v>
      </c>
      <c r="K1082" s="1" t="str">
        <f>_xlfn.XLOOKUP(C1082, 'Product Catalog'!$A:$A, 'Product Catalog'!$B:$B, "Unknown Product")</f>
        <v>Mouse Model D107</v>
      </c>
      <c r="L1082" s="1" t="str">
        <f>_xlfn.XLOOKUP(C1082, 'Product Catalog'!$A:$A, 'Product Catalog'!$C:$C, "Unknown Category")</f>
        <v>Electronics</v>
      </c>
      <c r="M1082" s="1">
        <f>_xlfn.XLOOKUP(C1082, 'Product Catalog'!$A:$A, 'Product Catalog'!$D:$D, 0)</f>
        <v>155.19</v>
      </c>
      <c r="N1082" s="1">
        <f t="shared" si="33"/>
        <v>155.19</v>
      </c>
    </row>
    <row r="1083" spans="1:14" x14ac:dyDescent="0.3">
      <c r="A1083" s="1" t="s">
        <v>1557</v>
      </c>
      <c r="B1083" s="1" t="s">
        <v>420</v>
      </c>
      <c r="C1083" s="1" t="s">
        <v>622</v>
      </c>
      <c r="D1083" s="1">
        <v>5</v>
      </c>
      <c r="E1083" s="12">
        <v>45667.961805555555</v>
      </c>
      <c r="F1083" s="1" t="s">
        <v>19</v>
      </c>
      <c r="G1083" s="1" t="s">
        <v>20</v>
      </c>
      <c r="H1083" s="1" t="s">
        <v>41</v>
      </c>
      <c r="I1083" s="1" t="s">
        <v>81</v>
      </c>
      <c r="J1083" s="1" t="str">
        <f t="shared" si="32"/>
        <v>REFUNDED</v>
      </c>
      <c r="K1083" s="1" t="str">
        <f>_xlfn.XLOOKUP(C1083, 'Product Catalog'!$A:$A, 'Product Catalog'!$B:$B, "Unknown Product")</f>
        <v>Designer Watch Model R147</v>
      </c>
      <c r="L1083" s="1" t="str">
        <f>_xlfn.XLOOKUP(C1083, 'Product Catalog'!$A:$A, 'Product Catalog'!$C:$C, "Unknown Category")</f>
        <v>Luxury Goods</v>
      </c>
      <c r="M1083" s="1">
        <f>_xlfn.XLOOKUP(C1083, 'Product Catalog'!$A:$A, 'Product Catalog'!$D:$D, 0)</f>
        <v>484.68</v>
      </c>
      <c r="N1083" s="1">
        <f t="shared" si="33"/>
        <v>2423.4</v>
      </c>
    </row>
    <row r="1084" spans="1:14" x14ac:dyDescent="0.3">
      <c r="A1084" s="1" t="s">
        <v>1558</v>
      </c>
      <c r="B1084" s="1" t="s">
        <v>249</v>
      </c>
      <c r="C1084" s="1" t="s">
        <v>393</v>
      </c>
      <c r="D1084" s="1">
        <v>4</v>
      </c>
      <c r="E1084" s="12">
        <v>45660.890972222223</v>
      </c>
      <c r="F1084" s="1" t="s">
        <v>170</v>
      </c>
      <c r="G1084" s="1" t="s">
        <v>40</v>
      </c>
      <c r="H1084" s="1" t="s">
        <v>51</v>
      </c>
      <c r="I1084" s="1" t="s">
        <v>42</v>
      </c>
      <c r="J1084" s="1" t="str">
        <f t="shared" si="32"/>
        <v>PENDING_REVIEW</v>
      </c>
      <c r="K1084" s="1" t="str">
        <f>_xlfn.XLOOKUP(C1084, 'Product Catalog'!$A:$A, 'Product Catalog'!$B:$B, "Unknown Product")</f>
        <v>Mouse Model B1</v>
      </c>
      <c r="L1084" s="1" t="str">
        <f>_xlfn.XLOOKUP(C1084, 'Product Catalog'!$A:$A, 'Product Catalog'!$C:$C, "Unknown Category")</f>
        <v>Electronics</v>
      </c>
      <c r="M1084" s="1">
        <f>_xlfn.XLOOKUP(C1084, 'Product Catalog'!$A:$A, 'Product Catalog'!$D:$D, 0)</f>
        <v>189.26</v>
      </c>
      <c r="N1084" s="1">
        <f t="shared" si="33"/>
        <v>757.04</v>
      </c>
    </row>
    <row r="1085" spans="1:14" x14ac:dyDescent="0.3">
      <c r="A1085" s="1" t="s">
        <v>1559</v>
      </c>
      <c r="B1085" s="1" t="s">
        <v>702</v>
      </c>
      <c r="C1085" s="1" t="s">
        <v>105</v>
      </c>
      <c r="D1085" s="1">
        <v>4</v>
      </c>
      <c r="E1085" s="12">
        <v>45785.321527777778</v>
      </c>
      <c r="F1085" s="1" t="s">
        <v>12</v>
      </c>
      <c r="G1085" s="1" t="s">
        <v>50</v>
      </c>
      <c r="H1085" s="1" t="s">
        <v>41</v>
      </c>
      <c r="I1085" s="1" t="s">
        <v>81</v>
      </c>
      <c r="J1085" s="1" t="str">
        <f t="shared" si="32"/>
        <v>REFUNDED</v>
      </c>
      <c r="K1085" s="1" t="str">
        <f>_xlfn.XLOOKUP(C1085, 'Product Catalog'!$A:$A, 'Product Catalog'!$B:$B, "Unknown Product")</f>
        <v>Keyboard Model E4</v>
      </c>
      <c r="L1085" s="1" t="str">
        <f>_xlfn.XLOOKUP(C1085, 'Product Catalog'!$A:$A, 'Product Catalog'!$C:$C, "Unknown Category")</f>
        <v>Electronics</v>
      </c>
      <c r="M1085" s="1">
        <f>_xlfn.XLOOKUP(C1085, 'Product Catalog'!$A:$A, 'Product Catalog'!$D:$D, 0)</f>
        <v>69.680000000000007</v>
      </c>
      <c r="N1085" s="1">
        <f t="shared" si="33"/>
        <v>278.72000000000003</v>
      </c>
    </row>
    <row r="1086" spans="1:14" x14ac:dyDescent="0.3">
      <c r="A1086" s="1" t="s">
        <v>1560</v>
      </c>
      <c r="B1086" s="1" t="s">
        <v>954</v>
      </c>
      <c r="C1086" s="1" t="s">
        <v>592</v>
      </c>
      <c r="D1086" s="1">
        <v>1</v>
      </c>
      <c r="E1086" s="12">
        <v>46013.489583333336</v>
      </c>
      <c r="F1086" s="1" t="s">
        <v>19</v>
      </c>
      <c r="G1086" s="1" t="s">
        <v>109</v>
      </c>
      <c r="H1086" s="1" t="s">
        <v>41</v>
      </c>
      <c r="I1086" s="1" t="s">
        <v>15</v>
      </c>
      <c r="J1086" s="1" t="str">
        <f t="shared" si="32"/>
        <v>delivered</v>
      </c>
      <c r="K1086" s="1" t="str">
        <f>_xlfn.XLOOKUP(C1086, 'Product Catalog'!$A:$A, 'Product Catalog'!$B:$B, "Unknown Product")</f>
        <v>Blender Model Q94</v>
      </c>
      <c r="L1086" s="1" t="str">
        <f>_xlfn.XLOOKUP(C1086, 'Product Catalog'!$A:$A, 'Product Catalog'!$C:$C, "Unknown Category")</f>
        <v>Home Goods</v>
      </c>
      <c r="M1086" s="1">
        <f>_xlfn.XLOOKUP(C1086, 'Product Catalog'!$A:$A, 'Product Catalog'!$D:$D, 0)</f>
        <v>129.13</v>
      </c>
      <c r="N1086" s="1">
        <f t="shared" si="33"/>
        <v>129.13</v>
      </c>
    </row>
    <row r="1087" spans="1:14" x14ac:dyDescent="0.3">
      <c r="A1087" s="1" t="s">
        <v>1561</v>
      </c>
      <c r="B1087" s="1" t="s">
        <v>1062</v>
      </c>
      <c r="C1087" s="1" t="s">
        <v>80</v>
      </c>
      <c r="D1087" s="1">
        <v>5</v>
      </c>
      <c r="E1087" s="12">
        <v>45817.183333333334</v>
      </c>
      <c r="F1087" s="1" t="s">
        <v>39</v>
      </c>
      <c r="G1087" s="1" t="s">
        <v>13</v>
      </c>
      <c r="H1087" s="1" t="s">
        <v>55</v>
      </c>
      <c r="I1087" s="1" t="s">
        <v>102</v>
      </c>
      <c r="J1087" s="1" t="str">
        <f t="shared" si="32"/>
        <v>disputed</v>
      </c>
      <c r="K1087" s="1" t="str">
        <f>_xlfn.XLOOKUP(C1087, 'Product Catalog'!$A:$A, 'Product Catalog'!$B:$B, "Unknown Product")</f>
        <v>Leather Handbag Model S18</v>
      </c>
      <c r="L1087" s="1" t="str">
        <f>_xlfn.XLOOKUP(C1087, 'Product Catalog'!$A:$A, 'Product Catalog'!$C:$C, "Unknown Category")</f>
        <v>Luxury Goods</v>
      </c>
      <c r="M1087" s="1">
        <f>_xlfn.XLOOKUP(C1087, 'Product Catalog'!$A:$A, 'Product Catalog'!$D:$D, 0)</f>
        <v>1475.11</v>
      </c>
      <c r="N1087" s="1">
        <f t="shared" si="33"/>
        <v>7375.5499999999993</v>
      </c>
    </row>
    <row r="1088" spans="1:14" x14ac:dyDescent="0.3">
      <c r="A1088" s="1" t="s">
        <v>1562</v>
      </c>
      <c r="B1088" s="1" t="s">
        <v>617</v>
      </c>
      <c r="C1088" s="1" t="s">
        <v>677</v>
      </c>
      <c r="D1088" s="1">
        <v>1</v>
      </c>
      <c r="E1088" s="12">
        <v>45710.545138888891</v>
      </c>
      <c r="F1088" s="1" t="s">
        <v>19</v>
      </c>
      <c r="G1088" s="1" t="s">
        <v>31</v>
      </c>
      <c r="H1088" s="1" t="s">
        <v>24</v>
      </c>
      <c r="I1088" s="1" t="s">
        <v>81</v>
      </c>
      <c r="J1088" s="1" t="str">
        <f t="shared" si="32"/>
        <v>REFUNDED</v>
      </c>
      <c r="K1088" s="1" t="str">
        <f>_xlfn.XLOOKUP(C1088, 'Product Catalog'!$A:$A, 'Product Catalog'!$B:$B, "Unknown Product")</f>
        <v>Charger Model Y128</v>
      </c>
      <c r="L1088" s="1" t="str">
        <f>_xlfn.XLOOKUP(C1088, 'Product Catalog'!$A:$A, 'Product Catalog'!$C:$C, "Unknown Category")</f>
        <v>Electronics</v>
      </c>
      <c r="M1088" s="1">
        <f>_xlfn.XLOOKUP(C1088, 'Product Catalog'!$A:$A, 'Product Catalog'!$D:$D, 0)</f>
        <v>46.33</v>
      </c>
      <c r="N1088" s="1">
        <f t="shared" si="33"/>
        <v>46.33</v>
      </c>
    </row>
    <row r="1089" spans="1:14" x14ac:dyDescent="0.3">
      <c r="A1089" s="1" t="s">
        <v>1563</v>
      </c>
      <c r="B1089" s="1" t="s">
        <v>303</v>
      </c>
      <c r="C1089" s="1" t="s">
        <v>173</v>
      </c>
      <c r="D1089" s="1">
        <v>4</v>
      </c>
      <c r="E1089" s="12">
        <v>45915.836805555555</v>
      </c>
      <c r="F1089" s="1" t="s">
        <v>39</v>
      </c>
      <c r="G1089" s="1" t="s">
        <v>50</v>
      </c>
      <c r="H1089" s="1" t="s">
        <v>41</v>
      </c>
      <c r="I1089" s="1" t="s">
        <v>81</v>
      </c>
      <c r="J1089" s="1" t="str">
        <f t="shared" si="32"/>
        <v>REFUNDED</v>
      </c>
      <c r="K1089" s="1" t="str">
        <f>_xlfn.XLOOKUP(C1089, 'Product Catalog'!$A:$A, 'Product Catalog'!$B:$B, "Unknown Product")</f>
        <v>Premium Perfume Model Q120</v>
      </c>
      <c r="L1089" s="1" t="str">
        <f>_xlfn.XLOOKUP(C1089, 'Product Catalog'!$A:$A, 'Product Catalog'!$C:$C, "Unknown Category")</f>
        <v>Luxury Goods</v>
      </c>
      <c r="M1089" s="1">
        <f>_xlfn.XLOOKUP(C1089, 'Product Catalog'!$A:$A, 'Product Catalog'!$D:$D, 0)</f>
        <v>505.45</v>
      </c>
      <c r="N1089" s="1">
        <f t="shared" si="33"/>
        <v>2021.8</v>
      </c>
    </row>
    <row r="1090" spans="1:14" x14ac:dyDescent="0.3">
      <c r="A1090" s="1" t="s">
        <v>1564</v>
      </c>
      <c r="B1090" s="1" t="s">
        <v>1565</v>
      </c>
      <c r="C1090" s="1" t="s">
        <v>452</v>
      </c>
      <c r="D1090" s="1">
        <v>1</v>
      </c>
      <c r="E1090" s="12">
        <v>45814.237500000003</v>
      </c>
      <c r="F1090" s="1" t="s">
        <v>19</v>
      </c>
      <c r="G1090" s="1" t="s">
        <v>46</v>
      </c>
      <c r="H1090" s="1" t="s">
        <v>14</v>
      </c>
      <c r="I1090" s="1" t="s">
        <v>15</v>
      </c>
      <c r="J1090" s="1" t="str">
        <f t="shared" ref="J1090:J1153" si="34">TRIM(I1090)</f>
        <v>delivered</v>
      </c>
      <c r="K1090" s="1" t="str">
        <f>_xlfn.XLOOKUP(C1090, 'Product Catalog'!$A:$A, 'Product Catalog'!$B:$B, "Unknown Product")</f>
        <v>E-Book Access Model U150</v>
      </c>
      <c r="L1090" s="1" t="str">
        <f>_xlfn.XLOOKUP(C1090, 'Product Catalog'!$A:$A, 'Product Catalog'!$C:$C, "Unknown Category")</f>
        <v>Digital Services</v>
      </c>
      <c r="M1090" s="1">
        <f>_xlfn.XLOOKUP(C1090, 'Product Catalog'!$A:$A, 'Product Catalog'!$D:$D, 0)</f>
        <v>75.69</v>
      </c>
      <c r="N1090" s="1">
        <f t="shared" ref="N1090:N1153" si="35">D1090 * M1090</f>
        <v>75.69</v>
      </c>
    </row>
    <row r="1091" spans="1:14" x14ac:dyDescent="0.3">
      <c r="A1091" s="1" t="s">
        <v>1566</v>
      </c>
      <c r="B1091" s="1" t="s">
        <v>739</v>
      </c>
      <c r="C1091" s="1" t="s">
        <v>213</v>
      </c>
      <c r="D1091" s="1">
        <v>1</v>
      </c>
      <c r="E1091" s="12">
        <v>45691.064583333333</v>
      </c>
      <c r="F1091" s="1" t="s">
        <v>19</v>
      </c>
      <c r="G1091" s="1" t="s">
        <v>40</v>
      </c>
      <c r="H1091" s="1" t="s">
        <v>41</v>
      </c>
      <c r="I1091" s="1" t="s">
        <v>42</v>
      </c>
      <c r="J1091" s="1" t="str">
        <f t="shared" si="34"/>
        <v>PENDING_REVIEW</v>
      </c>
      <c r="K1091" s="1" t="str">
        <f>_xlfn.XLOOKUP(C1091, 'Product Catalog'!$A:$A, 'Product Catalog'!$B:$B, "Unknown Product")</f>
        <v>Cloud Storage Basic Model L63</v>
      </c>
      <c r="L1091" s="1" t="str">
        <f>_xlfn.XLOOKUP(C1091, 'Product Catalog'!$A:$A, 'Product Catalog'!$C:$C, "Unknown Category")</f>
        <v>Digital Services</v>
      </c>
      <c r="M1091" s="1">
        <f>_xlfn.XLOOKUP(C1091, 'Product Catalog'!$A:$A, 'Product Catalog'!$D:$D, 0)</f>
        <v>20.48</v>
      </c>
      <c r="N1091" s="1">
        <f t="shared" si="35"/>
        <v>20.48</v>
      </c>
    </row>
    <row r="1092" spans="1:14" x14ac:dyDescent="0.3">
      <c r="A1092" s="1" t="s">
        <v>1567</v>
      </c>
      <c r="B1092" s="1" t="s">
        <v>64</v>
      </c>
      <c r="C1092" s="1" t="s">
        <v>380</v>
      </c>
      <c r="D1092" s="1">
        <v>1</v>
      </c>
      <c r="E1092" s="12">
        <v>45810.413194444445</v>
      </c>
      <c r="F1092" s="1" t="s">
        <v>12</v>
      </c>
      <c r="G1092" s="1" t="s">
        <v>20</v>
      </c>
      <c r="H1092" s="1" t="s">
        <v>14</v>
      </c>
      <c r="I1092" s="1" t="s">
        <v>15</v>
      </c>
      <c r="J1092" s="1" t="str">
        <f t="shared" si="34"/>
        <v>delivered</v>
      </c>
      <c r="K1092" s="1" t="str">
        <f>_xlfn.XLOOKUP(C1092, 'Product Catalog'!$A:$A, 'Product Catalog'!$B:$B, "Unknown Product")</f>
        <v>Premium Stream 1M Model Z51</v>
      </c>
      <c r="L1092" s="1" t="str">
        <f>_xlfn.XLOOKUP(C1092, 'Product Catalog'!$A:$A, 'Product Catalog'!$C:$C, "Unknown Category")</f>
        <v>Digital Services</v>
      </c>
      <c r="M1092" s="1">
        <f>_xlfn.XLOOKUP(C1092, 'Product Catalog'!$A:$A, 'Product Catalog'!$D:$D, 0)</f>
        <v>55.69</v>
      </c>
      <c r="N1092" s="1">
        <f t="shared" si="35"/>
        <v>55.69</v>
      </c>
    </row>
    <row r="1093" spans="1:14" x14ac:dyDescent="0.3">
      <c r="A1093" s="1" t="s">
        <v>1568</v>
      </c>
      <c r="B1093" s="1" t="s">
        <v>150</v>
      </c>
      <c r="C1093" s="1" t="s">
        <v>140</v>
      </c>
      <c r="D1093" s="1">
        <v>1</v>
      </c>
      <c r="E1093" s="12">
        <v>45891.739583333336</v>
      </c>
      <c r="F1093" s="1" t="s">
        <v>19</v>
      </c>
      <c r="G1093" s="1" t="s">
        <v>46</v>
      </c>
      <c r="H1093" s="1" t="s">
        <v>14</v>
      </c>
      <c r="I1093" s="1" t="s">
        <v>15</v>
      </c>
      <c r="J1093" s="1" t="str">
        <f t="shared" si="34"/>
        <v>delivered</v>
      </c>
      <c r="K1093" s="1" t="str">
        <f>_xlfn.XLOOKUP(C1093, 'Product Catalog'!$A:$A, 'Product Catalog'!$B:$B, "Unknown Product")</f>
        <v>Blender Model H85</v>
      </c>
      <c r="L1093" s="1" t="str">
        <f>_xlfn.XLOOKUP(C1093, 'Product Catalog'!$A:$A, 'Product Catalog'!$C:$C, "Unknown Category")</f>
        <v>Home Goods</v>
      </c>
      <c r="M1093" s="1">
        <f>_xlfn.XLOOKUP(C1093, 'Product Catalog'!$A:$A, 'Product Catalog'!$D:$D, 0)</f>
        <v>130</v>
      </c>
      <c r="N1093" s="1">
        <f t="shared" si="35"/>
        <v>130</v>
      </c>
    </row>
    <row r="1094" spans="1:14" x14ac:dyDescent="0.3">
      <c r="A1094" s="1" t="s">
        <v>1569</v>
      </c>
      <c r="B1094" s="1" t="s">
        <v>350</v>
      </c>
      <c r="C1094" s="1" t="s">
        <v>527</v>
      </c>
      <c r="D1094" s="1">
        <v>1</v>
      </c>
      <c r="E1094" s="12">
        <v>45963.745138888888</v>
      </c>
      <c r="F1094" s="1" t="s">
        <v>19</v>
      </c>
      <c r="G1094" s="1" t="s">
        <v>109</v>
      </c>
      <c r="H1094" s="1" t="s">
        <v>51</v>
      </c>
      <c r="I1094" s="1" t="s">
        <v>81</v>
      </c>
      <c r="J1094" s="1" t="str">
        <f t="shared" si="34"/>
        <v>REFUNDED</v>
      </c>
      <c r="K1094" s="1" t="str">
        <f>_xlfn.XLOOKUP(C1094, 'Product Catalog'!$A:$A, 'Product Catalog'!$B:$B, "Unknown Product")</f>
        <v>Leather Handbag Model S96</v>
      </c>
      <c r="L1094" s="1" t="str">
        <f>_xlfn.XLOOKUP(C1094, 'Product Catalog'!$A:$A, 'Product Catalog'!$C:$C, "Unknown Category")</f>
        <v>Luxury Goods</v>
      </c>
      <c r="M1094" s="1">
        <f>_xlfn.XLOOKUP(C1094, 'Product Catalog'!$A:$A, 'Product Catalog'!$D:$D, 0)</f>
        <v>2336.6799999999998</v>
      </c>
      <c r="N1094" s="1">
        <f t="shared" si="35"/>
        <v>2336.6799999999998</v>
      </c>
    </row>
    <row r="1095" spans="1:14" x14ac:dyDescent="0.3">
      <c r="A1095" s="1" t="s">
        <v>1570</v>
      </c>
      <c r="B1095" s="1" t="s">
        <v>891</v>
      </c>
      <c r="C1095" s="1" t="s">
        <v>309</v>
      </c>
      <c r="D1095" s="1">
        <v>1</v>
      </c>
      <c r="E1095" s="12">
        <v>45830.616666666669</v>
      </c>
      <c r="F1095" s="1" t="s">
        <v>19</v>
      </c>
      <c r="G1095" s="1" t="s">
        <v>109</v>
      </c>
      <c r="H1095" s="1" t="s">
        <v>41</v>
      </c>
      <c r="I1095" s="1" t="s">
        <v>15</v>
      </c>
      <c r="J1095" s="1" t="str">
        <f t="shared" si="34"/>
        <v>delivered</v>
      </c>
      <c r="K1095" s="1" t="str">
        <f>_xlfn.XLOOKUP(C1095, 'Product Catalog'!$A:$A, 'Product Catalog'!$B:$B, "Unknown Product")</f>
        <v>Sneakers Model C2</v>
      </c>
      <c r="L1095" s="1" t="str">
        <f>_xlfn.XLOOKUP(C1095, 'Product Catalog'!$A:$A, 'Product Catalog'!$C:$C, "Unknown Category")</f>
        <v>Apparel</v>
      </c>
      <c r="M1095" s="1">
        <f>_xlfn.XLOOKUP(C1095, 'Product Catalog'!$A:$A, 'Product Catalog'!$D:$D, 0)</f>
        <v>21.27</v>
      </c>
      <c r="N1095" s="1">
        <f t="shared" si="35"/>
        <v>21.27</v>
      </c>
    </row>
    <row r="1096" spans="1:14" x14ac:dyDescent="0.3">
      <c r="A1096" s="1" t="s">
        <v>1571</v>
      </c>
      <c r="B1096" s="1" t="s">
        <v>630</v>
      </c>
      <c r="C1096" s="1" t="s">
        <v>206</v>
      </c>
      <c r="D1096" s="1">
        <v>1</v>
      </c>
      <c r="E1096" s="12">
        <v>46009.19027777778</v>
      </c>
      <c r="F1096" s="1" t="s">
        <v>19</v>
      </c>
      <c r="G1096" s="1" t="s">
        <v>20</v>
      </c>
      <c r="H1096" s="1" t="s">
        <v>41</v>
      </c>
      <c r="I1096" s="1" t="s">
        <v>42</v>
      </c>
      <c r="J1096" s="1" t="str">
        <f t="shared" si="34"/>
        <v>PENDING_REVIEW</v>
      </c>
      <c r="K1096" s="1" t="str">
        <f>_xlfn.XLOOKUP(C1096, 'Product Catalog'!$A:$A, 'Product Catalog'!$B:$B, "Unknown Product")</f>
        <v>Webcam Model F31</v>
      </c>
      <c r="L1096" s="1" t="str">
        <f>_xlfn.XLOOKUP(C1096, 'Product Catalog'!$A:$A, 'Product Catalog'!$C:$C, "Unknown Category")</f>
        <v>Electronics</v>
      </c>
      <c r="M1096" s="1">
        <f>_xlfn.XLOOKUP(C1096, 'Product Catalog'!$A:$A, 'Product Catalog'!$D:$D, 0)</f>
        <v>184.37</v>
      </c>
      <c r="N1096" s="1">
        <f t="shared" si="35"/>
        <v>184.37</v>
      </c>
    </row>
    <row r="1097" spans="1:14" x14ac:dyDescent="0.3">
      <c r="A1097" s="1" t="s">
        <v>1572</v>
      </c>
      <c r="B1097" s="1" t="s">
        <v>127</v>
      </c>
      <c r="C1097" s="1" t="s">
        <v>151</v>
      </c>
      <c r="D1097" s="1">
        <v>1</v>
      </c>
      <c r="E1097" s="12">
        <v>45833.696527777778</v>
      </c>
      <c r="F1097" s="1" t="s">
        <v>19</v>
      </c>
      <c r="G1097" s="1" t="s">
        <v>109</v>
      </c>
      <c r="H1097" s="1" t="s">
        <v>24</v>
      </c>
      <c r="I1097" s="1" t="s">
        <v>15</v>
      </c>
      <c r="J1097" s="1" t="str">
        <f t="shared" si="34"/>
        <v>delivered</v>
      </c>
      <c r="K1097" s="1" t="str">
        <f>_xlfn.XLOOKUP(C1097, 'Product Catalog'!$A:$A, 'Product Catalog'!$B:$B, "Unknown Product")</f>
        <v>Hoodie Model R43</v>
      </c>
      <c r="L1097" s="1" t="str">
        <f>_xlfn.XLOOKUP(C1097, 'Product Catalog'!$A:$A, 'Product Catalog'!$C:$C, "Unknown Category")</f>
        <v>Apparel</v>
      </c>
      <c r="M1097" s="1">
        <f>_xlfn.XLOOKUP(C1097, 'Product Catalog'!$A:$A, 'Product Catalog'!$D:$D, 0)</f>
        <v>68.040000000000006</v>
      </c>
      <c r="N1097" s="1">
        <f t="shared" si="35"/>
        <v>68.040000000000006</v>
      </c>
    </row>
    <row r="1098" spans="1:14" x14ac:dyDescent="0.3">
      <c r="A1098" s="1" t="s">
        <v>1573</v>
      </c>
      <c r="B1098" s="1" t="s">
        <v>525</v>
      </c>
      <c r="C1098" s="1" t="s">
        <v>268</v>
      </c>
      <c r="D1098" s="1">
        <v>1</v>
      </c>
      <c r="E1098" s="12">
        <v>45841.267361111109</v>
      </c>
      <c r="F1098" s="1" t="s">
        <v>19</v>
      </c>
      <c r="G1098" s="1" t="s">
        <v>20</v>
      </c>
      <c r="H1098" s="1" t="s">
        <v>14</v>
      </c>
      <c r="I1098" s="1" t="s">
        <v>56</v>
      </c>
      <c r="J1098" s="1" t="str">
        <f t="shared" si="34"/>
        <v>cancelled</v>
      </c>
      <c r="K1098" s="1" t="str">
        <f>_xlfn.XLOOKUP(C1098, 'Product Catalog'!$A:$A, 'Product Catalog'!$B:$B, "Unknown Product")</f>
        <v>Sneakers Model P119</v>
      </c>
      <c r="L1098" s="1" t="str">
        <f>_xlfn.XLOOKUP(C1098, 'Product Catalog'!$A:$A, 'Product Catalog'!$C:$C, "Unknown Category")</f>
        <v>Apparel</v>
      </c>
      <c r="M1098" s="1">
        <f>_xlfn.XLOOKUP(C1098, 'Product Catalog'!$A:$A, 'Product Catalog'!$D:$D, 0)</f>
        <v>19.329999999999998</v>
      </c>
      <c r="N1098" s="1">
        <f t="shared" si="35"/>
        <v>19.329999999999998</v>
      </c>
    </row>
    <row r="1099" spans="1:14" x14ac:dyDescent="0.3">
      <c r="A1099" s="1" t="s">
        <v>1574</v>
      </c>
      <c r="B1099" s="1" t="s">
        <v>79</v>
      </c>
      <c r="C1099" s="1" t="s">
        <v>782</v>
      </c>
      <c r="D1099" s="1">
        <v>1</v>
      </c>
      <c r="E1099" s="12">
        <v>45742.573611111111</v>
      </c>
      <c r="F1099" s="1" t="s">
        <v>19</v>
      </c>
      <c r="G1099" s="1" t="s">
        <v>46</v>
      </c>
      <c r="H1099" s="1" t="s">
        <v>41</v>
      </c>
      <c r="I1099" s="1" t="s">
        <v>15</v>
      </c>
      <c r="J1099" s="1" t="str">
        <f t="shared" si="34"/>
        <v>delivered</v>
      </c>
      <c r="K1099" s="1" t="str">
        <f>_xlfn.XLOOKUP(C1099, 'Product Catalog'!$A:$A, 'Product Catalog'!$B:$B, "Unknown Product")</f>
        <v>Headphones Model V47</v>
      </c>
      <c r="L1099" s="1" t="str">
        <f>_xlfn.XLOOKUP(C1099, 'Product Catalog'!$A:$A, 'Product Catalog'!$C:$C, "Unknown Category")</f>
        <v>Electronics</v>
      </c>
      <c r="M1099" s="1">
        <f>_xlfn.XLOOKUP(C1099, 'Product Catalog'!$A:$A, 'Product Catalog'!$D:$D, 0)</f>
        <v>19.940000000000001</v>
      </c>
      <c r="N1099" s="1">
        <f t="shared" si="35"/>
        <v>19.940000000000001</v>
      </c>
    </row>
    <row r="1100" spans="1:14" x14ac:dyDescent="0.3">
      <c r="A1100" s="1" t="s">
        <v>1575</v>
      </c>
      <c r="B1100" s="1" t="s">
        <v>10</v>
      </c>
      <c r="C1100" s="1" t="s">
        <v>1454</v>
      </c>
      <c r="D1100" s="1">
        <v>5</v>
      </c>
      <c r="E1100" s="12">
        <v>45667.324305555558</v>
      </c>
      <c r="F1100" s="1" t="s">
        <v>170</v>
      </c>
      <c r="G1100" s="1" t="s">
        <v>40</v>
      </c>
      <c r="H1100" s="1" t="s">
        <v>51</v>
      </c>
      <c r="I1100" s="1" t="s">
        <v>102</v>
      </c>
      <c r="J1100" s="1" t="str">
        <f t="shared" si="34"/>
        <v>disputed</v>
      </c>
      <c r="K1100" s="1" t="str">
        <f>_xlfn.XLOOKUP(C1100, 'Product Catalog'!$A:$A, 'Product Catalog'!$B:$B, "Unknown Product")</f>
        <v>Charger Model Z77</v>
      </c>
      <c r="L1100" s="1" t="str">
        <f>_xlfn.XLOOKUP(C1100, 'Product Catalog'!$A:$A, 'Product Catalog'!$C:$C, "Unknown Category")</f>
        <v>Electronics</v>
      </c>
      <c r="M1100" s="1">
        <f>_xlfn.XLOOKUP(C1100, 'Product Catalog'!$A:$A, 'Product Catalog'!$D:$D, 0)</f>
        <v>160.97</v>
      </c>
      <c r="N1100" s="1">
        <f t="shared" si="35"/>
        <v>804.85</v>
      </c>
    </row>
    <row r="1101" spans="1:14" x14ac:dyDescent="0.3">
      <c r="A1101" s="1" t="s">
        <v>1576</v>
      </c>
      <c r="B1101" s="1" t="s">
        <v>617</v>
      </c>
      <c r="C1101" s="1" t="s">
        <v>633</v>
      </c>
      <c r="D1101" s="1">
        <v>2</v>
      </c>
      <c r="E1101" s="12">
        <v>45772.186111111114</v>
      </c>
      <c r="F1101" s="1" t="s">
        <v>19</v>
      </c>
      <c r="G1101" s="1" t="s">
        <v>109</v>
      </c>
      <c r="H1101" s="1" t="s">
        <v>41</v>
      </c>
      <c r="I1101" s="1" t="s">
        <v>32</v>
      </c>
      <c r="J1101" s="1" t="str">
        <f t="shared" si="34"/>
        <v>SHIPPED</v>
      </c>
      <c r="K1101" s="1" t="str">
        <f>_xlfn.XLOOKUP(C1101, 'Product Catalog'!$A:$A, 'Product Catalog'!$B:$B, "Unknown Product")</f>
        <v>Keyboard Model X49</v>
      </c>
      <c r="L1101" s="1" t="str">
        <f>_xlfn.XLOOKUP(C1101, 'Product Catalog'!$A:$A, 'Product Catalog'!$C:$C, "Unknown Category")</f>
        <v>Electronics</v>
      </c>
      <c r="M1101" s="1">
        <f>_xlfn.XLOOKUP(C1101, 'Product Catalog'!$A:$A, 'Product Catalog'!$D:$D, 0)</f>
        <v>30.84</v>
      </c>
      <c r="N1101" s="1">
        <f t="shared" si="35"/>
        <v>61.68</v>
      </c>
    </row>
    <row r="1102" spans="1:14" x14ac:dyDescent="0.3">
      <c r="A1102" s="1" t="s">
        <v>1577</v>
      </c>
      <c r="B1102" s="1" t="s">
        <v>277</v>
      </c>
      <c r="C1102" s="1" t="s">
        <v>393</v>
      </c>
      <c r="D1102" s="1">
        <v>1</v>
      </c>
      <c r="E1102" s="12">
        <v>45766.030555555553</v>
      </c>
      <c r="F1102" s="1" t="s">
        <v>12</v>
      </c>
      <c r="G1102" s="1" t="s">
        <v>46</v>
      </c>
      <c r="H1102" s="1" t="s">
        <v>24</v>
      </c>
      <c r="I1102" s="1" t="s">
        <v>15</v>
      </c>
      <c r="J1102" s="1" t="str">
        <f t="shared" si="34"/>
        <v>delivered</v>
      </c>
      <c r="K1102" s="1" t="str">
        <f>_xlfn.XLOOKUP(C1102, 'Product Catalog'!$A:$A, 'Product Catalog'!$B:$B, "Unknown Product")</f>
        <v>Mouse Model B1</v>
      </c>
      <c r="L1102" s="1" t="str">
        <f>_xlfn.XLOOKUP(C1102, 'Product Catalog'!$A:$A, 'Product Catalog'!$C:$C, "Unknown Category")</f>
        <v>Electronics</v>
      </c>
      <c r="M1102" s="1">
        <f>_xlfn.XLOOKUP(C1102, 'Product Catalog'!$A:$A, 'Product Catalog'!$D:$D, 0)</f>
        <v>189.26</v>
      </c>
      <c r="N1102" s="1">
        <f t="shared" si="35"/>
        <v>189.26</v>
      </c>
    </row>
    <row r="1103" spans="1:14" x14ac:dyDescent="0.3">
      <c r="A1103" s="1" t="s">
        <v>1578</v>
      </c>
      <c r="B1103" s="1" t="s">
        <v>877</v>
      </c>
      <c r="C1103" s="1" t="s">
        <v>337</v>
      </c>
      <c r="D1103" s="1">
        <v>1</v>
      </c>
      <c r="E1103" s="12">
        <v>45959.717361111114</v>
      </c>
      <c r="F1103" s="1" t="s">
        <v>19</v>
      </c>
      <c r="G1103" s="1" t="s">
        <v>13</v>
      </c>
      <c r="H1103" s="1" t="s">
        <v>41</v>
      </c>
      <c r="I1103" s="1" t="s">
        <v>15</v>
      </c>
      <c r="J1103" s="1" t="str">
        <f t="shared" si="34"/>
        <v>delivered</v>
      </c>
      <c r="K1103" s="1" t="str">
        <f>_xlfn.XLOOKUP(C1103, 'Product Catalog'!$A:$A, 'Product Catalog'!$B:$B, "Unknown Product")</f>
        <v>Webcam Model Z103</v>
      </c>
      <c r="L1103" s="1" t="str">
        <f>_xlfn.XLOOKUP(C1103, 'Product Catalog'!$A:$A, 'Product Catalog'!$C:$C, "Unknown Category")</f>
        <v>Electronics</v>
      </c>
      <c r="M1103" s="1">
        <f>_xlfn.XLOOKUP(C1103, 'Product Catalog'!$A:$A, 'Product Catalog'!$D:$D, 0)</f>
        <v>60.39</v>
      </c>
      <c r="N1103" s="1">
        <f t="shared" si="35"/>
        <v>60.39</v>
      </c>
    </row>
    <row r="1104" spans="1:14" x14ac:dyDescent="0.3">
      <c r="A1104" s="1" t="s">
        <v>1579</v>
      </c>
      <c r="B1104" s="1" t="s">
        <v>1542</v>
      </c>
      <c r="C1104" s="1" t="s">
        <v>190</v>
      </c>
      <c r="D1104" s="1">
        <v>4</v>
      </c>
      <c r="E1104" s="12">
        <v>45744.175000000003</v>
      </c>
      <c r="F1104" s="1" t="s">
        <v>12</v>
      </c>
      <c r="G1104" s="1" t="s">
        <v>31</v>
      </c>
      <c r="H1104" s="1" t="s">
        <v>55</v>
      </c>
      <c r="I1104" s="1" t="s">
        <v>102</v>
      </c>
      <c r="J1104" s="1" t="str">
        <f t="shared" si="34"/>
        <v>disputed</v>
      </c>
      <c r="K1104" s="1" t="str">
        <f>_xlfn.XLOOKUP(C1104, 'Product Catalog'!$A:$A, 'Product Catalog'!$B:$B, "Unknown Product")</f>
        <v>Silk Scarf Model A52</v>
      </c>
      <c r="L1104" s="1" t="str">
        <f>_xlfn.XLOOKUP(C1104, 'Product Catalog'!$A:$A, 'Product Catalog'!$C:$C, "Unknown Category")</f>
        <v>Luxury Goods</v>
      </c>
      <c r="M1104" s="1">
        <f>_xlfn.XLOOKUP(C1104, 'Product Catalog'!$A:$A, 'Product Catalog'!$D:$D, 0)</f>
        <v>1339.88</v>
      </c>
      <c r="N1104" s="1">
        <f t="shared" si="35"/>
        <v>5359.52</v>
      </c>
    </row>
    <row r="1105" spans="1:14" x14ac:dyDescent="0.3">
      <c r="A1105" s="1" t="s">
        <v>1580</v>
      </c>
      <c r="B1105" s="1" t="s">
        <v>1501</v>
      </c>
      <c r="C1105" s="1" t="s">
        <v>90</v>
      </c>
      <c r="D1105" s="1">
        <v>1</v>
      </c>
      <c r="E1105" s="12">
        <v>45845.925000000003</v>
      </c>
      <c r="F1105" s="1" t="s">
        <v>19</v>
      </c>
      <c r="G1105" s="1" t="s">
        <v>31</v>
      </c>
      <c r="H1105" s="1" t="s">
        <v>41</v>
      </c>
      <c r="I1105" s="1" t="s">
        <v>32</v>
      </c>
      <c r="J1105" s="1" t="str">
        <f t="shared" si="34"/>
        <v>SHIPPED</v>
      </c>
      <c r="K1105" s="1" t="str">
        <f>_xlfn.XLOOKUP(C1105, 'Product Catalog'!$A:$A, 'Product Catalog'!$B:$B, "Unknown Product")</f>
        <v>VPN 6-Month Pass Model F109</v>
      </c>
      <c r="L1105" s="1" t="str">
        <f>_xlfn.XLOOKUP(C1105, 'Product Catalog'!$A:$A, 'Product Catalog'!$C:$C, "Unknown Category")</f>
        <v>Digital Services</v>
      </c>
      <c r="M1105" s="1">
        <f>_xlfn.XLOOKUP(C1105, 'Product Catalog'!$A:$A, 'Product Catalog'!$D:$D, 0)</f>
        <v>22.87</v>
      </c>
      <c r="N1105" s="1">
        <f t="shared" si="35"/>
        <v>22.87</v>
      </c>
    </row>
    <row r="1106" spans="1:14" x14ac:dyDescent="0.3">
      <c r="A1106" s="1" t="s">
        <v>1581</v>
      </c>
      <c r="B1106" s="1" t="s">
        <v>331</v>
      </c>
      <c r="C1106" s="1" t="s">
        <v>224</v>
      </c>
      <c r="D1106" s="1">
        <v>1</v>
      </c>
      <c r="E1106" s="12">
        <v>45677.533333333333</v>
      </c>
      <c r="F1106" s="1" t="s">
        <v>185</v>
      </c>
      <c r="G1106" s="1" t="s">
        <v>109</v>
      </c>
      <c r="H1106" s="1" t="s">
        <v>14</v>
      </c>
      <c r="I1106" s="1" t="s">
        <v>15</v>
      </c>
      <c r="J1106" s="1" t="str">
        <f t="shared" si="34"/>
        <v>delivered</v>
      </c>
      <c r="K1106" s="1" t="str">
        <f>_xlfn.XLOOKUP(C1106, 'Product Catalog'!$A:$A, 'Product Catalog'!$B:$B, "Unknown Product")</f>
        <v>Organizer Model P93</v>
      </c>
      <c r="L1106" s="1" t="str">
        <f>_xlfn.XLOOKUP(C1106, 'Product Catalog'!$A:$A, 'Product Catalog'!$C:$C, "Unknown Category")</f>
        <v>Home Goods</v>
      </c>
      <c r="M1106" s="1">
        <f>_xlfn.XLOOKUP(C1106, 'Product Catalog'!$A:$A, 'Product Catalog'!$D:$D, 0)</f>
        <v>175.55</v>
      </c>
      <c r="N1106" s="1">
        <f t="shared" si="35"/>
        <v>175.55</v>
      </c>
    </row>
    <row r="1107" spans="1:14" x14ac:dyDescent="0.3">
      <c r="A1107" s="1" t="s">
        <v>1582</v>
      </c>
      <c r="B1107" s="1" t="s">
        <v>553</v>
      </c>
      <c r="C1107" s="1" t="s">
        <v>522</v>
      </c>
      <c r="D1107" s="1">
        <v>5</v>
      </c>
      <c r="E1107" s="12">
        <v>45985.363194444442</v>
      </c>
      <c r="F1107" s="1" t="s">
        <v>170</v>
      </c>
      <c r="G1107" s="1" t="s">
        <v>46</v>
      </c>
      <c r="H1107" s="1" t="s">
        <v>41</v>
      </c>
      <c r="I1107" s="1" t="s">
        <v>42</v>
      </c>
      <c r="J1107" s="1" t="str">
        <f t="shared" si="34"/>
        <v>PENDING_REVIEW</v>
      </c>
      <c r="K1107" s="1" t="str">
        <f>_xlfn.XLOOKUP(C1107, 'Product Catalog'!$A:$A, 'Product Catalog'!$B:$B, "Unknown Product")</f>
        <v>Leather Handbag Model F5</v>
      </c>
      <c r="L1107" s="1" t="str">
        <f>_xlfn.XLOOKUP(C1107, 'Product Catalog'!$A:$A, 'Product Catalog'!$C:$C, "Unknown Category")</f>
        <v>Luxury Goods</v>
      </c>
      <c r="M1107" s="1">
        <f>_xlfn.XLOOKUP(C1107, 'Product Catalog'!$A:$A, 'Product Catalog'!$D:$D, 0)</f>
        <v>1875.24</v>
      </c>
      <c r="N1107" s="1">
        <f t="shared" si="35"/>
        <v>9376.2000000000007</v>
      </c>
    </row>
    <row r="1108" spans="1:14" x14ac:dyDescent="0.3">
      <c r="A1108" s="1" t="s">
        <v>1583</v>
      </c>
      <c r="B1108" s="1" t="s">
        <v>546</v>
      </c>
      <c r="C1108" s="1" t="s">
        <v>619</v>
      </c>
      <c r="D1108" s="1">
        <v>1</v>
      </c>
      <c r="E1108" s="12">
        <v>45931.886111111111</v>
      </c>
      <c r="F1108" s="1" t="s">
        <v>12</v>
      </c>
      <c r="G1108" s="1" t="s">
        <v>46</v>
      </c>
      <c r="H1108" s="1" t="s">
        <v>14</v>
      </c>
      <c r="I1108" s="1" t="s">
        <v>15</v>
      </c>
      <c r="J1108" s="1" t="str">
        <f t="shared" si="34"/>
        <v>delivered</v>
      </c>
      <c r="K1108" s="1" t="str">
        <f>_xlfn.XLOOKUP(C1108, 'Product Catalog'!$A:$A, 'Product Catalog'!$B:$B, "Unknown Product")</f>
        <v>Jacket Model B27</v>
      </c>
      <c r="L1108" s="1" t="str">
        <f>_xlfn.XLOOKUP(C1108, 'Product Catalog'!$A:$A, 'Product Catalog'!$C:$C, "Unknown Category")</f>
        <v>Apparel</v>
      </c>
      <c r="M1108" s="1">
        <f>_xlfn.XLOOKUP(C1108, 'Product Catalog'!$A:$A, 'Product Catalog'!$D:$D, 0)</f>
        <v>64.290000000000006</v>
      </c>
      <c r="N1108" s="1">
        <f t="shared" si="35"/>
        <v>64.290000000000006</v>
      </c>
    </row>
    <row r="1109" spans="1:14" x14ac:dyDescent="0.3">
      <c r="A1109" s="1" t="s">
        <v>1584</v>
      </c>
      <c r="B1109" s="1" t="s">
        <v>97</v>
      </c>
      <c r="C1109" s="1" t="s">
        <v>903</v>
      </c>
      <c r="D1109" s="1">
        <v>2</v>
      </c>
      <c r="E1109" s="12">
        <v>45682.844444444447</v>
      </c>
      <c r="F1109" s="1" t="s">
        <v>19</v>
      </c>
      <c r="G1109" s="1" t="s">
        <v>46</v>
      </c>
      <c r="H1109" s="1" t="s">
        <v>41</v>
      </c>
      <c r="I1109" s="1" t="s">
        <v>15</v>
      </c>
      <c r="J1109" s="1" t="str">
        <f t="shared" si="34"/>
        <v>delivered</v>
      </c>
      <c r="K1109" s="1" t="str">
        <f>_xlfn.XLOOKUP(C1109, 'Product Catalog'!$A:$A, 'Product Catalog'!$B:$B, "Unknown Product")</f>
        <v>Coffee Maker Model Y50</v>
      </c>
      <c r="L1109" s="1" t="str">
        <f>_xlfn.XLOOKUP(C1109, 'Product Catalog'!$A:$A, 'Product Catalog'!$C:$C, "Unknown Category")</f>
        <v>Home Goods</v>
      </c>
      <c r="M1109" s="1">
        <f>_xlfn.XLOOKUP(C1109, 'Product Catalog'!$A:$A, 'Product Catalog'!$D:$D, 0)</f>
        <v>102.26</v>
      </c>
      <c r="N1109" s="1">
        <f t="shared" si="35"/>
        <v>204.52</v>
      </c>
    </row>
    <row r="1110" spans="1:14" x14ac:dyDescent="0.3">
      <c r="A1110" s="1" t="s">
        <v>1585</v>
      </c>
      <c r="B1110" s="1" t="s">
        <v>212</v>
      </c>
      <c r="C1110" s="1" t="s">
        <v>380</v>
      </c>
      <c r="D1110" s="1">
        <v>1</v>
      </c>
      <c r="E1110" s="12">
        <v>45682.940972222219</v>
      </c>
      <c r="F1110" s="1" t="s">
        <v>19</v>
      </c>
      <c r="G1110" s="1" t="s">
        <v>46</v>
      </c>
      <c r="H1110" s="1" t="s">
        <v>14</v>
      </c>
      <c r="I1110" s="1" t="s">
        <v>15</v>
      </c>
      <c r="J1110" s="1" t="str">
        <f t="shared" si="34"/>
        <v>delivered</v>
      </c>
      <c r="K1110" s="1" t="str">
        <f>_xlfn.XLOOKUP(C1110, 'Product Catalog'!$A:$A, 'Product Catalog'!$B:$B, "Unknown Product")</f>
        <v>Premium Stream 1M Model Z51</v>
      </c>
      <c r="L1110" s="1" t="str">
        <f>_xlfn.XLOOKUP(C1110, 'Product Catalog'!$A:$A, 'Product Catalog'!$C:$C, "Unknown Category")</f>
        <v>Digital Services</v>
      </c>
      <c r="M1110" s="1">
        <f>_xlfn.XLOOKUP(C1110, 'Product Catalog'!$A:$A, 'Product Catalog'!$D:$D, 0)</f>
        <v>55.69</v>
      </c>
      <c r="N1110" s="1">
        <f t="shared" si="35"/>
        <v>55.69</v>
      </c>
    </row>
    <row r="1111" spans="1:14" x14ac:dyDescent="0.3">
      <c r="A1111" s="1" t="s">
        <v>1586</v>
      </c>
      <c r="B1111" s="1" t="s">
        <v>1101</v>
      </c>
      <c r="C1111" s="1" t="s">
        <v>716</v>
      </c>
      <c r="D1111" s="1">
        <v>4</v>
      </c>
      <c r="E1111" s="12">
        <v>45713.929166666669</v>
      </c>
      <c r="F1111" s="1" t="s">
        <v>170</v>
      </c>
      <c r="G1111" s="1" t="s">
        <v>50</v>
      </c>
      <c r="H1111" s="1" t="s">
        <v>41</v>
      </c>
      <c r="I1111" s="1" t="s">
        <v>81</v>
      </c>
      <c r="J1111" s="1" t="str">
        <f t="shared" si="34"/>
        <v>REFUNDED</v>
      </c>
      <c r="K1111" s="1" t="str">
        <f>_xlfn.XLOOKUP(C1111, 'Product Catalog'!$A:$A, 'Product Catalog'!$B:$B, "Unknown Product")</f>
        <v>Jeans Model X101</v>
      </c>
      <c r="L1111" s="1" t="str">
        <f>_xlfn.XLOOKUP(C1111, 'Product Catalog'!$A:$A, 'Product Catalog'!$C:$C, "Unknown Category")</f>
        <v>Apparel</v>
      </c>
      <c r="M1111" s="1">
        <f>_xlfn.XLOOKUP(C1111, 'Product Catalog'!$A:$A, 'Product Catalog'!$D:$D, 0)</f>
        <v>99.82</v>
      </c>
      <c r="N1111" s="1">
        <f t="shared" si="35"/>
        <v>399.28</v>
      </c>
    </row>
    <row r="1112" spans="1:14" x14ac:dyDescent="0.3">
      <c r="A1112" s="1" t="s">
        <v>1587</v>
      </c>
      <c r="B1112" s="1" t="s">
        <v>422</v>
      </c>
      <c r="C1112" s="1" t="s">
        <v>473</v>
      </c>
      <c r="D1112" s="1">
        <v>1</v>
      </c>
      <c r="E1112" s="12">
        <v>45668.068055555559</v>
      </c>
      <c r="F1112" s="1" t="s">
        <v>12</v>
      </c>
      <c r="G1112" s="1" t="s">
        <v>20</v>
      </c>
      <c r="H1112" s="1" t="s">
        <v>14</v>
      </c>
      <c r="I1112" s="1" t="s">
        <v>32</v>
      </c>
      <c r="J1112" s="1" t="str">
        <f t="shared" si="34"/>
        <v>SHIPPED</v>
      </c>
      <c r="K1112" s="1" t="str">
        <f>_xlfn.XLOOKUP(C1112, 'Product Catalog'!$A:$A, 'Product Catalog'!$B:$B, "Unknown Product")</f>
        <v>Desk Lamp Model I138</v>
      </c>
      <c r="L1112" s="1" t="str">
        <f>_xlfn.XLOOKUP(C1112, 'Product Catalog'!$A:$A, 'Product Catalog'!$C:$C, "Unknown Category")</f>
        <v>Home Goods</v>
      </c>
      <c r="M1112" s="1">
        <f>_xlfn.XLOOKUP(C1112, 'Product Catalog'!$A:$A, 'Product Catalog'!$D:$D, 0)</f>
        <v>94.55</v>
      </c>
      <c r="N1112" s="1">
        <f t="shared" si="35"/>
        <v>94.55</v>
      </c>
    </row>
    <row r="1113" spans="1:14" x14ac:dyDescent="0.3">
      <c r="A1113" s="1" t="s">
        <v>1588</v>
      </c>
      <c r="B1113" s="1" t="s">
        <v>747</v>
      </c>
      <c r="C1113" s="1" t="s">
        <v>173</v>
      </c>
      <c r="D1113" s="1">
        <v>4</v>
      </c>
      <c r="E1113" s="12">
        <v>46011.164583333331</v>
      </c>
      <c r="F1113" s="1" t="s">
        <v>19</v>
      </c>
      <c r="G1113" s="1" t="s">
        <v>31</v>
      </c>
      <c r="H1113" s="1" t="s">
        <v>41</v>
      </c>
      <c r="I1113" s="1" t="s">
        <v>56</v>
      </c>
      <c r="J1113" s="1" t="str">
        <f t="shared" si="34"/>
        <v>cancelled</v>
      </c>
      <c r="K1113" s="1" t="str">
        <f>_xlfn.XLOOKUP(C1113, 'Product Catalog'!$A:$A, 'Product Catalog'!$B:$B, "Unknown Product")</f>
        <v>Premium Perfume Model Q120</v>
      </c>
      <c r="L1113" s="1" t="str">
        <f>_xlfn.XLOOKUP(C1113, 'Product Catalog'!$A:$A, 'Product Catalog'!$C:$C, "Unknown Category")</f>
        <v>Luxury Goods</v>
      </c>
      <c r="M1113" s="1">
        <f>_xlfn.XLOOKUP(C1113, 'Product Catalog'!$A:$A, 'Product Catalog'!$D:$D, 0)</f>
        <v>505.45</v>
      </c>
      <c r="N1113" s="1">
        <f t="shared" si="35"/>
        <v>2021.8</v>
      </c>
    </row>
    <row r="1114" spans="1:14" x14ac:dyDescent="0.3">
      <c r="A1114" s="1" t="s">
        <v>1589</v>
      </c>
      <c r="B1114" s="1" t="s">
        <v>773</v>
      </c>
      <c r="C1114" s="1" t="s">
        <v>65</v>
      </c>
      <c r="D1114" s="1">
        <v>2</v>
      </c>
      <c r="E1114" s="12">
        <v>45871.631249999999</v>
      </c>
      <c r="F1114" s="1" t="s">
        <v>185</v>
      </c>
      <c r="G1114" s="1" t="s">
        <v>31</v>
      </c>
      <c r="H1114" s="1" t="s">
        <v>41</v>
      </c>
      <c r="I1114" s="1" t="s">
        <v>15</v>
      </c>
      <c r="J1114" s="1" t="str">
        <f t="shared" si="34"/>
        <v>delivered</v>
      </c>
      <c r="K1114" s="1" t="str">
        <f>_xlfn.XLOOKUP(C1114, 'Product Catalog'!$A:$A, 'Product Catalog'!$B:$B, "Unknown Product")</f>
        <v>Cap Model T97</v>
      </c>
      <c r="L1114" s="1" t="str">
        <f>_xlfn.XLOOKUP(C1114, 'Product Catalog'!$A:$A, 'Product Catalog'!$C:$C, "Unknown Category")</f>
        <v>Apparel</v>
      </c>
      <c r="M1114" s="1">
        <f>_xlfn.XLOOKUP(C1114, 'Product Catalog'!$A:$A, 'Product Catalog'!$D:$D, 0)</f>
        <v>99.18</v>
      </c>
      <c r="N1114" s="1">
        <f t="shared" si="35"/>
        <v>198.36</v>
      </c>
    </row>
    <row r="1115" spans="1:14" x14ac:dyDescent="0.3">
      <c r="A1115" s="1" t="s">
        <v>1590</v>
      </c>
      <c r="B1115" s="1" t="s">
        <v>1522</v>
      </c>
      <c r="C1115" s="1" t="s">
        <v>38</v>
      </c>
      <c r="D1115" s="1">
        <v>1</v>
      </c>
      <c r="E1115" s="12">
        <v>45852.175694444442</v>
      </c>
      <c r="F1115" s="1" t="s">
        <v>12</v>
      </c>
      <c r="G1115" s="1" t="s">
        <v>109</v>
      </c>
      <c r="H1115" s="1" t="s">
        <v>24</v>
      </c>
      <c r="I1115" s="1" t="s">
        <v>15</v>
      </c>
      <c r="J1115" s="1" t="str">
        <f t="shared" si="34"/>
        <v>delivered</v>
      </c>
      <c r="K1115" s="1" t="str">
        <f>_xlfn.XLOOKUP(C1115, 'Product Catalog'!$A:$A, 'Product Catalog'!$B:$B, "Unknown Product")</f>
        <v>VPN 6-Month Pass Model V73</v>
      </c>
      <c r="L1115" s="1" t="str">
        <f>_xlfn.XLOOKUP(C1115, 'Product Catalog'!$A:$A, 'Product Catalog'!$C:$C, "Unknown Category")</f>
        <v>Digital Services</v>
      </c>
      <c r="M1115" s="1">
        <f>_xlfn.XLOOKUP(C1115, 'Product Catalog'!$A:$A, 'Product Catalog'!$D:$D, 0)</f>
        <v>58.13</v>
      </c>
      <c r="N1115" s="1">
        <f t="shared" si="35"/>
        <v>58.13</v>
      </c>
    </row>
    <row r="1116" spans="1:14" x14ac:dyDescent="0.3">
      <c r="A1116" s="1" t="s">
        <v>1591</v>
      </c>
      <c r="B1116" s="1" t="s">
        <v>827</v>
      </c>
      <c r="C1116" s="1" t="s">
        <v>117</v>
      </c>
      <c r="D1116" s="1">
        <v>1</v>
      </c>
      <c r="E1116" s="12">
        <v>45938.359027777777</v>
      </c>
      <c r="F1116" s="1" t="s">
        <v>12</v>
      </c>
      <c r="G1116" s="1" t="s">
        <v>20</v>
      </c>
      <c r="H1116" s="1" t="s">
        <v>14</v>
      </c>
      <c r="I1116" s="1" t="s">
        <v>15</v>
      </c>
      <c r="J1116" s="1" t="str">
        <f t="shared" si="34"/>
        <v>delivered</v>
      </c>
      <c r="K1116" s="1" t="str">
        <f>_xlfn.XLOOKUP(C1116, 'Product Catalog'!$A:$A, 'Product Catalog'!$B:$B, "Unknown Product")</f>
        <v>Organizer Model R95</v>
      </c>
      <c r="L1116" s="1" t="str">
        <f>_xlfn.XLOOKUP(C1116, 'Product Catalog'!$A:$A, 'Product Catalog'!$C:$C, "Unknown Category")</f>
        <v>Home Goods</v>
      </c>
      <c r="M1116" s="1">
        <f>_xlfn.XLOOKUP(C1116, 'Product Catalog'!$A:$A, 'Product Catalog'!$D:$D, 0)</f>
        <v>109.58</v>
      </c>
      <c r="N1116" s="1">
        <f t="shared" si="35"/>
        <v>109.58</v>
      </c>
    </row>
    <row r="1117" spans="1:14" x14ac:dyDescent="0.3">
      <c r="A1117" s="1" t="s">
        <v>1592</v>
      </c>
      <c r="B1117" s="1" t="s">
        <v>827</v>
      </c>
      <c r="C1117" s="1" t="s">
        <v>721</v>
      </c>
      <c r="D1117" s="1">
        <v>5</v>
      </c>
      <c r="E1117" s="12">
        <v>45900.997916666667</v>
      </c>
      <c r="F1117" s="1" t="s">
        <v>12</v>
      </c>
      <c r="G1117" s="1" t="s">
        <v>40</v>
      </c>
      <c r="H1117" s="1" t="s">
        <v>41</v>
      </c>
      <c r="I1117" s="1" t="s">
        <v>42</v>
      </c>
      <c r="J1117" s="1" t="str">
        <f t="shared" si="34"/>
        <v>PENDING_REVIEW</v>
      </c>
      <c r="K1117" s="1" t="str">
        <f>_xlfn.XLOOKUP(C1117, 'Product Catalog'!$A:$A, 'Product Catalog'!$B:$B, "Unknown Product")</f>
        <v>Hoodie Model E134</v>
      </c>
      <c r="L1117" s="1" t="str">
        <f>_xlfn.XLOOKUP(C1117, 'Product Catalog'!$A:$A, 'Product Catalog'!$C:$C, "Unknown Category")</f>
        <v>Apparel</v>
      </c>
      <c r="M1117" s="1">
        <f>_xlfn.XLOOKUP(C1117, 'Product Catalog'!$A:$A, 'Product Catalog'!$D:$D, 0)</f>
        <v>58.39</v>
      </c>
      <c r="N1117" s="1">
        <f t="shared" si="35"/>
        <v>291.95</v>
      </c>
    </row>
    <row r="1118" spans="1:14" x14ac:dyDescent="0.3">
      <c r="A1118" s="1" t="s">
        <v>1593</v>
      </c>
      <c r="B1118" s="1" t="s">
        <v>97</v>
      </c>
      <c r="C1118" s="1" t="s">
        <v>817</v>
      </c>
      <c r="D1118" s="1">
        <v>4</v>
      </c>
      <c r="E1118" s="12">
        <v>45736.291666666664</v>
      </c>
      <c r="F1118" s="1" t="s">
        <v>19</v>
      </c>
      <c r="G1118" s="1" t="s">
        <v>40</v>
      </c>
      <c r="H1118" s="1" t="s">
        <v>51</v>
      </c>
      <c r="I1118" s="1" t="s">
        <v>42</v>
      </c>
      <c r="J1118" s="1" t="str">
        <f t="shared" si="34"/>
        <v>PENDING_REVIEW</v>
      </c>
      <c r="K1118" s="1" t="str">
        <f>_xlfn.XLOOKUP(C1118, 'Product Catalog'!$A:$A, 'Product Catalog'!$B:$B, "Unknown Product")</f>
        <v>Desk Lamp Model D81</v>
      </c>
      <c r="L1118" s="1" t="str">
        <f>_xlfn.XLOOKUP(C1118, 'Product Catalog'!$A:$A, 'Product Catalog'!$C:$C, "Unknown Category")</f>
        <v>Home Goods</v>
      </c>
      <c r="M1118" s="1">
        <f>_xlfn.XLOOKUP(C1118, 'Product Catalog'!$A:$A, 'Product Catalog'!$D:$D, 0)</f>
        <v>177.42</v>
      </c>
      <c r="N1118" s="1">
        <f t="shared" si="35"/>
        <v>709.68</v>
      </c>
    </row>
    <row r="1119" spans="1:14" x14ac:dyDescent="0.3">
      <c r="A1119" s="1" t="s">
        <v>1594</v>
      </c>
      <c r="B1119" s="1" t="s">
        <v>584</v>
      </c>
      <c r="C1119" s="1" t="s">
        <v>380</v>
      </c>
      <c r="D1119" s="1">
        <v>4</v>
      </c>
      <c r="E1119" s="12">
        <v>46013.974999999999</v>
      </c>
      <c r="F1119" s="1" t="s">
        <v>12</v>
      </c>
      <c r="G1119" s="1" t="s">
        <v>40</v>
      </c>
      <c r="H1119" s="1" t="s">
        <v>41</v>
      </c>
      <c r="I1119" s="1" t="s">
        <v>42</v>
      </c>
      <c r="J1119" s="1" t="str">
        <f t="shared" si="34"/>
        <v>PENDING_REVIEW</v>
      </c>
      <c r="K1119" s="1" t="str">
        <f>_xlfn.XLOOKUP(C1119, 'Product Catalog'!$A:$A, 'Product Catalog'!$B:$B, "Unknown Product")</f>
        <v>Premium Stream 1M Model Z51</v>
      </c>
      <c r="L1119" s="1" t="str">
        <f>_xlfn.XLOOKUP(C1119, 'Product Catalog'!$A:$A, 'Product Catalog'!$C:$C, "Unknown Category")</f>
        <v>Digital Services</v>
      </c>
      <c r="M1119" s="1">
        <f>_xlfn.XLOOKUP(C1119, 'Product Catalog'!$A:$A, 'Product Catalog'!$D:$D, 0)</f>
        <v>55.69</v>
      </c>
      <c r="N1119" s="1">
        <f t="shared" si="35"/>
        <v>222.76</v>
      </c>
    </row>
    <row r="1120" spans="1:14" x14ac:dyDescent="0.3">
      <c r="A1120" s="1" t="s">
        <v>1595</v>
      </c>
      <c r="B1120" s="1" t="s">
        <v>530</v>
      </c>
      <c r="C1120" s="1" t="s">
        <v>229</v>
      </c>
      <c r="D1120" s="1">
        <v>5</v>
      </c>
      <c r="E1120" s="12">
        <v>45980.013194444444</v>
      </c>
      <c r="F1120" s="1" t="s">
        <v>19</v>
      </c>
      <c r="G1120" s="1" t="s">
        <v>40</v>
      </c>
      <c r="H1120" s="1" t="s">
        <v>41</v>
      </c>
      <c r="I1120" s="1" t="s">
        <v>81</v>
      </c>
      <c r="J1120" s="1" t="str">
        <f t="shared" si="34"/>
        <v>REFUNDED</v>
      </c>
      <c r="K1120" s="1" t="str">
        <f>_xlfn.XLOOKUP(C1120, 'Product Catalog'!$A:$A, 'Product Catalog'!$B:$B, "Unknown Product")</f>
        <v>Premium Stream 1M Model O118</v>
      </c>
      <c r="L1120" s="1" t="str">
        <f>_xlfn.XLOOKUP(C1120, 'Product Catalog'!$A:$A, 'Product Catalog'!$C:$C, "Unknown Category")</f>
        <v>Digital Services</v>
      </c>
      <c r="M1120" s="1">
        <f>_xlfn.XLOOKUP(C1120, 'Product Catalog'!$A:$A, 'Product Catalog'!$D:$D, 0)</f>
        <v>53.05</v>
      </c>
      <c r="N1120" s="1">
        <f t="shared" si="35"/>
        <v>265.25</v>
      </c>
    </row>
    <row r="1121" spans="1:14" x14ac:dyDescent="0.3">
      <c r="A1121" s="1" t="s">
        <v>1596</v>
      </c>
      <c r="B1121" s="1" t="s">
        <v>1449</v>
      </c>
      <c r="C1121" s="1" t="s">
        <v>213</v>
      </c>
      <c r="D1121" s="1">
        <v>1</v>
      </c>
      <c r="E1121" s="12">
        <v>45812.597916666666</v>
      </c>
      <c r="F1121" s="1" t="s">
        <v>19</v>
      </c>
      <c r="G1121" s="1" t="s">
        <v>46</v>
      </c>
      <c r="H1121" s="1" t="s">
        <v>14</v>
      </c>
      <c r="I1121" s="1" t="s">
        <v>15</v>
      </c>
      <c r="J1121" s="1" t="str">
        <f t="shared" si="34"/>
        <v>delivered</v>
      </c>
      <c r="K1121" s="1" t="str">
        <f>_xlfn.XLOOKUP(C1121, 'Product Catalog'!$A:$A, 'Product Catalog'!$B:$B, "Unknown Product")</f>
        <v>Cloud Storage Basic Model L63</v>
      </c>
      <c r="L1121" s="1" t="str">
        <f>_xlfn.XLOOKUP(C1121, 'Product Catalog'!$A:$A, 'Product Catalog'!$C:$C, "Unknown Category")</f>
        <v>Digital Services</v>
      </c>
      <c r="M1121" s="1">
        <f>_xlfn.XLOOKUP(C1121, 'Product Catalog'!$A:$A, 'Product Catalog'!$D:$D, 0)</f>
        <v>20.48</v>
      </c>
      <c r="N1121" s="1">
        <f t="shared" si="35"/>
        <v>20.48</v>
      </c>
    </row>
    <row r="1122" spans="1:14" x14ac:dyDescent="0.3">
      <c r="A1122" s="1" t="s">
        <v>1597</v>
      </c>
      <c r="B1122" s="1" t="s">
        <v>326</v>
      </c>
      <c r="C1122" s="1" t="s">
        <v>275</v>
      </c>
      <c r="D1122" s="1">
        <v>1</v>
      </c>
      <c r="E1122" s="12">
        <v>45996.143055555556</v>
      </c>
      <c r="F1122" s="1" t="s">
        <v>19</v>
      </c>
      <c r="G1122" s="1" t="s">
        <v>50</v>
      </c>
      <c r="H1122" s="1" t="s">
        <v>41</v>
      </c>
      <c r="I1122" s="1" t="s">
        <v>81</v>
      </c>
      <c r="J1122" s="1" t="str">
        <f t="shared" si="34"/>
        <v>REFUNDED</v>
      </c>
      <c r="K1122" s="1" t="str">
        <f>_xlfn.XLOOKUP(C1122, 'Product Catalog'!$A:$A, 'Product Catalog'!$B:$B, "Unknown Product")</f>
        <v>Desk Lamp Model I112</v>
      </c>
      <c r="L1122" s="1" t="str">
        <f>_xlfn.XLOOKUP(C1122, 'Product Catalog'!$A:$A, 'Product Catalog'!$C:$C, "Unknown Category")</f>
        <v>Home Goods</v>
      </c>
      <c r="M1122" s="1">
        <f>_xlfn.XLOOKUP(C1122, 'Product Catalog'!$A:$A, 'Product Catalog'!$D:$D, 0)</f>
        <v>70.23</v>
      </c>
      <c r="N1122" s="1">
        <f t="shared" si="35"/>
        <v>70.23</v>
      </c>
    </row>
    <row r="1123" spans="1:14" x14ac:dyDescent="0.3">
      <c r="A1123" s="1" t="s">
        <v>1598</v>
      </c>
      <c r="B1123" s="1" t="s">
        <v>823</v>
      </c>
      <c r="C1123" s="1" t="s">
        <v>101</v>
      </c>
      <c r="D1123" s="1">
        <v>1</v>
      </c>
      <c r="E1123" s="12">
        <v>45997.739583333336</v>
      </c>
      <c r="F1123" s="1" t="s">
        <v>19</v>
      </c>
      <c r="G1123" s="1" t="s">
        <v>31</v>
      </c>
      <c r="H1123" s="1" t="s">
        <v>14</v>
      </c>
      <c r="I1123" s="1" t="s">
        <v>15</v>
      </c>
      <c r="J1123" s="1" t="str">
        <f t="shared" si="34"/>
        <v>delivered</v>
      </c>
      <c r="K1123" s="1" t="str">
        <f>_xlfn.XLOOKUP(C1123, 'Product Catalog'!$A:$A, 'Product Catalog'!$B:$B, "Unknown Product")</f>
        <v>Smartwatch Model W126</v>
      </c>
      <c r="L1123" s="1" t="str">
        <f>_xlfn.XLOOKUP(C1123, 'Product Catalog'!$A:$A, 'Product Catalog'!$C:$C, "Unknown Category")</f>
        <v>Electronics</v>
      </c>
      <c r="M1123" s="1">
        <f>_xlfn.XLOOKUP(C1123, 'Product Catalog'!$A:$A, 'Product Catalog'!$D:$D, 0)</f>
        <v>114.91</v>
      </c>
      <c r="N1123" s="1">
        <f t="shared" si="35"/>
        <v>114.91</v>
      </c>
    </row>
    <row r="1124" spans="1:14" x14ac:dyDescent="0.3">
      <c r="A1124" s="1" t="s">
        <v>1599</v>
      </c>
      <c r="B1124" s="1" t="s">
        <v>811</v>
      </c>
      <c r="C1124" s="1" t="s">
        <v>496</v>
      </c>
      <c r="D1124" s="1">
        <v>1</v>
      </c>
      <c r="E1124" s="12">
        <v>45796.885416666664</v>
      </c>
      <c r="F1124" s="1" t="s">
        <v>19</v>
      </c>
      <c r="G1124" s="1" t="s">
        <v>20</v>
      </c>
      <c r="H1124" s="1" t="s">
        <v>14</v>
      </c>
      <c r="I1124" s="1" t="s">
        <v>15</v>
      </c>
      <c r="J1124" s="1" t="str">
        <f t="shared" si="34"/>
        <v>delivered</v>
      </c>
      <c r="K1124" s="1" t="str">
        <f>_xlfn.XLOOKUP(C1124, 'Product Catalog'!$A:$A, 'Product Catalog'!$B:$B, "Unknown Product")</f>
        <v>Mug Model T45</v>
      </c>
      <c r="L1124" s="1" t="str">
        <f>_xlfn.XLOOKUP(C1124, 'Product Catalog'!$A:$A, 'Product Catalog'!$C:$C, "Unknown Category")</f>
        <v>Home Goods</v>
      </c>
      <c r="M1124" s="1">
        <f>_xlfn.XLOOKUP(C1124, 'Product Catalog'!$A:$A, 'Product Catalog'!$D:$D, 0)</f>
        <v>179.22</v>
      </c>
      <c r="N1124" s="1">
        <f t="shared" si="35"/>
        <v>179.22</v>
      </c>
    </row>
    <row r="1125" spans="1:14" x14ac:dyDescent="0.3">
      <c r="A1125" s="1" t="s">
        <v>1600</v>
      </c>
      <c r="B1125" s="1" t="s">
        <v>589</v>
      </c>
      <c r="C1125" s="1" t="s">
        <v>90</v>
      </c>
      <c r="D1125" s="1">
        <v>1</v>
      </c>
      <c r="E1125" s="12">
        <v>45968.996527777781</v>
      </c>
      <c r="F1125" s="1" t="s">
        <v>19</v>
      </c>
      <c r="G1125" s="1" t="s">
        <v>46</v>
      </c>
      <c r="H1125" s="1" t="s">
        <v>14</v>
      </c>
      <c r="I1125" s="1" t="s">
        <v>15</v>
      </c>
      <c r="J1125" s="1" t="str">
        <f t="shared" si="34"/>
        <v>delivered</v>
      </c>
      <c r="K1125" s="1" t="str">
        <f>_xlfn.XLOOKUP(C1125, 'Product Catalog'!$A:$A, 'Product Catalog'!$B:$B, "Unknown Product")</f>
        <v>VPN 6-Month Pass Model F109</v>
      </c>
      <c r="L1125" s="1" t="str">
        <f>_xlfn.XLOOKUP(C1125, 'Product Catalog'!$A:$A, 'Product Catalog'!$C:$C, "Unknown Category")</f>
        <v>Digital Services</v>
      </c>
      <c r="M1125" s="1">
        <f>_xlfn.XLOOKUP(C1125, 'Product Catalog'!$A:$A, 'Product Catalog'!$D:$D, 0)</f>
        <v>22.87</v>
      </c>
      <c r="N1125" s="1">
        <f t="shared" si="35"/>
        <v>22.87</v>
      </c>
    </row>
    <row r="1126" spans="1:14" x14ac:dyDescent="0.3">
      <c r="A1126" s="1" t="s">
        <v>1601</v>
      </c>
      <c r="B1126" s="1" t="s">
        <v>842</v>
      </c>
      <c r="C1126" s="1" t="s">
        <v>316</v>
      </c>
      <c r="D1126" s="1">
        <v>4</v>
      </c>
      <c r="E1126" s="12">
        <v>45728.595138888886</v>
      </c>
      <c r="F1126" s="1" t="s">
        <v>19</v>
      </c>
      <c r="G1126" s="1" t="s">
        <v>109</v>
      </c>
      <c r="H1126" s="1" t="s">
        <v>41</v>
      </c>
      <c r="I1126" s="1" t="s">
        <v>81</v>
      </c>
      <c r="J1126" s="1" t="str">
        <f t="shared" si="34"/>
        <v>REFUNDED</v>
      </c>
      <c r="K1126" s="1" t="str">
        <f>_xlfn.XLOOKUP(C1126, 'Product Catalog'!$A:$A, 'Product Catalog'!$B:$B, "Unknown Product")</f>
        <v>Leather Handbag Model W48</v>
      </c>
      <c r="L1126" s="1" t="str">
        <f>_xlfn.XLOOKUP(C1126, 'Product Catalog'!$A:$A, 'Product Catalog'!$C:$C, "Unknown Category")</f>
        <v>Luxury Goods</v>
      </c>
      <c r="M1126" s="1">
        <f>_xlfn.XLOOKUP(C1126, 'Product Catalog'!$A:$A, 'Product Catalog'!$D:$D, 0)</f>
        <v>315.82</v>
      </c>
      <c r="N1126" s="1">
        <f t="shared" si="35"/>
        <v>1263.28</v>
      </c>
    </row>
    <row r="1127" spans="1:14" x14ac:dyDescent="0.3">
      <c r="A1127" s="1" t="s">
        <v>1602</v>
      </c>
      <c r="B1127" s="1" t="s">
        <v>303</v>
      </c>
      <c r="C1127" s="1" t="s">
        <v>817</v>
      </c>
      <c r="D1127" s="1">
        <v>1</v>
      </c>
      <c r="E1127" s="12">
        <v>45711.727083333331</v>
      </c>
      <c r="F1127" s="1" t="s">
        <v>19</v>
      </c>
      <c r="G1127" s="1" t="s">
        <v>109</v>
      </c>
      <c r="H1127" s="1" t="s">
        <v>14</v>
      </c>
      <c r="I1127" s="1" t="s">
        <v>32</v>
      </c>
      <c r="J1127" s="1" t="str">
        <f t="shared" si="34"/>
        <v>SHIPPED</v>
      </c>
      <c r="K1127" s="1" t="str">
        <f>_xlfn.XLOOKUP(C1127, 'Product Catalog'!$A:$A, 'Product Catalog'!$B:$B, "Unknown Product")</f>
        <v>Desk Lamp Model D81</v>
      </c>
      <c r="L1127" s="1" t="str">
        <f>_xlfn.XLOOKUP(C1127, 'Product Catalog'!$A:$A, 'Product Catalog'!$C:$C, "Unknown Category")</f>
        <v>Home Goods</v>
      </c>
      <c r="M1127" s="1">
        <f>_xlfn.XLOOKUP(C1127, 'Product Catalog'!$A:$A, 'Product Catalog'!$D:$D, 0)</f>
        <v>177.42</v>
      </c>
      <c r="N1127" s="1">
        <f t="shared" si="35"/>
        <v>177.42</v>
      </c>
    </row>
    <row r="1128" spans="1:14" x14ac:dyDescent="0.3">
      <c r="A1128" s="1" t="s">
        <v>1603</v>
      </c>
      <c r="B1128" s="1" t="s">
        <v>603</v>
      </c>
      <c r="C1128" s="1" t="s">
        <v>68</v>
      </c>
      <c r="D1128" s="1">
        <v>5</v>
      </c>
      <c r="E1128" s="12">
        <v>45974.167361111111</v>
      </c>
      <c r="F1128" s="1" t="s">
        <v>12</v>
      </c>
      <c r="G1128" s="1" t="s">
        <v>109</v>
      </c>
      <c r="H1128" s="1" t="s">
        <v>51</v>
      </c>
      <c r="I1128" s="1" t="s">
        <v>42</v>
      </c>
      <c r="J1128" s="1" t="str">
        <f t="shared" si="34"/>
        <v>PENDING_REVIEW</v>
      </c>
      <c r="K1128" s="1" t="str">
        <f>_xlfn.XLOOKUP(C1128, 'Product Catalog'!$A:$A, 'Product Catalog'!$B:$B, "Unknown Product")</f>
        <v>Premium Perfume Model G32</v>
      </c>
      <c r="L1128" s="1" t="str">
        <f>_xlfn.XLOOKUP(C1128, 'Product Catalog'!$A:$A, 'Product Catalog'!$C:$C, "Unknown Category")</f>
        <v>Luxury Goods</v>
      </c>
      <c r="M1128" s="1">
        <f>_xlfn.XLOOKUP(C1128, 'Product Catalog'!$A:$A, 'Product Catalog'!$D:$D, 0)</f>
        <v>1990.92</v>
      </c>
      <c r="N1128" s="1">
        <f t="shared" si="35"/>
        <v>9954.6</v>
      </c>
    </row>
    <row r="1129" spans="1:14" x14ac:dyDescent="0.3">
      <c r="A1129" s="1" t="s">
        <v>1604</v>
      </c>
      <c r="B1129" s="1" t="s">
        <v>139</v>
      </c>
      <c r="C1129" s="1" t="s">
        <v>337</v>
      </c>
      <c r="D1129" s="1">
        <v>4</v>
      </c>
      <c r="E1129" s="12">
        <v>45802.161805555559</v>
      </c>
      <c r="F1129" s="1" t="s">
        <v>19</v>
      </c>
      <c r="G1129" s="1" t="s">
        <v>40</v>
      </c>
      <c r="H1129" s="1" t="s">
        <v>51</v>
      </c>
      <c r="I1129" s="1" t="s">
        <v>102</v>
      </c>
      <c r="J1129" s="1" t="str">
        <f t="shared" si="34"/>
        <v>disputed</v>
      </c>
      <c r="K1129" s="1" t="str">
        <f>_xlfn.XLOOKUP(C1129, 'Product Catalog'!$A:$A, 'Product Catalog'!$B:$B, "Unknown Product")</f>
        <v>Webcam Model Z103</v>
      </c>
      <c r="L1129" s="1" t="str">
        <f>_xlfn.XLOOKUP(C1129, 'Product Catalog'!$A:$A, 'Product Catalog'!$C:$C, "Unknown Category")</f>
        <v>Electronics</v>
      </c>
      <c r="M1129" s="1">
        <f>_xlfn.XLOOKUP(C1129, 'Product Catalog'!$A:$A, 'Product Catalog'!$D:$D, 0)</f>
        <v>60.39</v>
      </c>
      <c r="N1129" s="1">
        <f t="shared" si="35"/>
        <v>241.56</v>
      </c>
    </row>
    <row r="1130" spans="1:14" x14ac:dyDescent="0.3">
      <c r="A1130" s="1" t="s">
        <v>1605</v>
      </c>
      <c r="B1130" s="1" t="s">
        <v>823</v>
      </c>
      <c r="C1130" s="1" t="s">
        <v>173</v>
      </c>
      <c r="D1130" s="1">
        <v>5</v>
      </c>
      <c r="E1130" s="12">
        <v>45712.707638888889</v>
      </c>
      <c r="F1130" s="1" t="s">
        <v>170</v>
      </c>
      <c r="G1130" s="1" t="s">
        <v>13</v>
      </c>
      <c r="H1130" s="1" t="s">
        <v>41</v>
      </c>
      <c r="I1130" s="1" t="s">
        <v>42</v>
      </c>
      <c r="J1130" s="1" t="str">
        <f t="shared" si="34"/>
        <v>PENDING_REVIEW</v>
      </c>
      <c r="K1130" s="1" t="str">
        <f>_xlfn.XLOOKUP(C1130, 'Product Catalog'!$A:$A, 'Product Catalog'!$B:$B, "Unknown Product")</f>
        <v>Premium Perfume Model Q120</v>
      </c>
      <c r="L1130" s="1" t="str">
        <f>_xlfn.XLOOKUP(C1130, 'Product Catalog'!$A:$A, 'Product Catalog'!$C:$C, "Unknown Category")</f>
        <v>Luxury Goods</v>
      </c>
      <c r="M1130" s="1">
        <f>_xlfn.XLOOKUP(C1130, 'Product Catalog'!$A:$A, 'Product Catalog'!$D:$D, 0)</f>
        <v>505.45</v>
      </c>
      <c r="N1130" s="1">
        <f t="shared" si="35"/>
        <v>2527.25</v>
      </c>
    </row>
    <row r="1131" spans="1:14" x14ac:dyDescent="0.3">
      <c r="A1131" s="1" t="s">
        <v>1606</v>
      </c>
      <c r="B1131" s="1" t="s">
        <v>902</v>
      </c>
      <c r="C1131" s="1" t="s">
        <v>721</v>
      </c>
      <c r="D1131" s="1">
        <v>1</v>
      </c>
      <c r="E1131" s="12">
        <v>45759.865972222222</v>
      </c>
      <c r="F1131" s="1" t="s">
        <v>12</v>
      </c>
      <c r="G1131" s="1" t="s">
        <v>46</v>
      </c>
      <c r="H1131" s="1" t="s">
        <v>41</v>
      </c>
      <c r="I1131" s="1" t="s">
        <v>15</v>
      </c>
      <c r="J1131" s="1" t="str">
        <f t="shared" si="34"/>
        <v>delivered</v>
      </c>
      <c r="K1131" s="1" t="str">
        <f>_xlfn.XLOOKUP(C1131, 'Product Catalog'!$A:$A, 'Product Catalog'!$B:$B, "Unknown Product")</f>
        <v>Hoodie Model E134</v>
      </c>
      <c r="L1131" s="1" t="str">
        <f>_xlfn.XLOOKUP(C1131, 'Product Catalog'!$A:$A, 'Product Catalog'!$C:$C, "Unknown Category")</f>
        <v>Apparel</v>
      </c>
      <c r="M1131" s="1">
        <f>_xlfn.XLOOKUP(C1131, 'Product Catalog'!$A:$A, 'Product Catalog'!$D:$D, 0)</f>
        <v>58.39</v>
      </c>
      <c r="N1131" s="1">
        <f t="shared" si="35"/>
        <v>58.39</v>
      </c>
    </row>
    <row r="1132" spans="1:14" x14ac:dyDescent="0.3">
      <c r="A1132" s="1" t="s">
        <v>1607</v>
      </c>
      <c r="B1132" s="1" t="s">
        <v>376</v>
      </c>
      <c r="C1132" s="1" t="s">
        <v>556</v>
      </c>
      <c r="D1132" s="1">
        <v>1</v>
      </c>
      <c r="E1132" s="12">
        <v>45760.373611111114</v>
      </c>
      <c r="F1132" s="1" t="s">
        <v>12</v>
      </c>
      <c r="G1132" s="1" t="s">
        <v>20</v>
      </c>
      <c r="H1132" s="1" t="s">
        <v>14</v>
      </c>
      <c r="I1132" s="1" t="s">
        <v>15</v>
      </c>
      <c r="J1132" s="1" t="str">
        <f t="shared" si="34"/>
        <v>delivered</v>
      </c>
      <c r="K1132" s="1" t="str">
        <f>_xlfn.XLOOKUP(C1132, 'Product Catalog'!$A:$A, 'Product Catalog'!$B:$B, "Unknown Product")</f>
        <v>Mug Model C54</v>
      </c>
      <c r="L1132" s="1" t="str">
        <f>_xlfn.XLOOKUP(C1132, 'Product Catalog'!$A:$A, 'Product Catalog'!$C:$C, "Unknown Category")</f>
        <v>Home Goods</v>
      </c>
      <c r="M1132" s="1">
        <f>_xlfn.XLOOKUP(C1132, 'Product Catalog'!$A:$A, 'Product Catalog'!$D:$D, 0)</f>
        <v>85.78</v>
      </c>
      <c r="N1132" s="1">
        <f t="shared" si="35"/>
        <v>85.78</v>
      </c>
    </row>
    <row r="1133" spans="1:14" x14ac:dyDescent="0.3">
      <c r="A1133" s="1" t="s">
        <v>1608</v>
      </c>
      <c r="B1133" s="1" t="s">
        <v>311</v>
      </c>
      <c r="C1133" s="1" t="s">
        <v>801</v>
      </c>
      <c r="D1133" s="1">
        <v>1</v>
      </c>
      <c r="E1133" s="12">
        <v>45925.286805555559</v>
      </c>
      <c r="F1133" s="1" t="s">
        <v>12</v>
      </c>
      <c r="G1133" s="1" t="s">
        <v>13</v>
      </c>
      <c r="H1133" s="1" t="s">
        <v>51</v>
      </c>
      <c r="I1133" s="1" t="s">
        <v>102</v>
      </c>
      <c r="J1133" s="1" t="str">
        <f t="shared" si="34"/>
        <v>disputed</v>
      </c>
      <c r="K1133" s="1" t="str">
        <f>_xlfn.XLOOKUP(C1133, 'Product Catalog'!$A:$A, 'Product Catalog'!$B:$B, "Unknown Product")</f>
        <v>Silk Scarf Model Q146</v>
      </c>
      <c r="L1133" s="1" t="str">
        <f>_xlfn.XLOOKUP(C1133, 'Product Catalog'!$A:$A, 'Product Catalog'!$C:$C, "Unknown Category")</f>
        <v>Luxury Goods</v>
      </c>
      <c r="M1133" s="1">
        <f>_xlfn.XLOOKUP(C1133, 'Product Catalog'!$A:$A, 'Product Catalog'!$D:$D, 0)</f>
        <v>359.33</v>
      </c>
      <c r="N1133" s="1">
        <f t="shared" si="35"/>
        <v>359.33</v>
      </c>
    </row>
    <row r="1134" spans="1:14" x14ac:dyDescent="0.3">
      <c r="A1134" s="1" t="s">
        <v>1609</v>
      </c>
      <c r="B1134" s="1" t="s">
        <v>719</v>
      </c>
      <c r="C1134" s="1" t="s">
        <v>151</v>
      </c>
      <c r="D1134" s="1">
        <v>5</v>
      </c>
      <c r="E1134" s="12">
        <v>45842</v>
      </c>
      <c r="F1134" s="1" t="s">
        <v>19</v>
      </c>
      <c r="G1134" s="1" t="s">
        <v>40</v>
      </c>
      <c r="H1134" s="1" t="s">
        <v>41</v>
      </c>
      <c r="I1134" s="1" t="s">
        <v>102</v>
      </c>
      <c r="J1134" s="1" t="str">
        <f t="shared" si="34"/>
        <v>disputed</v>
      </c>
      <c r="K1134" s="1" t="str">
        <f>_xlfn.XLOOKUP(C1134, 'Product Catalog'!$A:$A, 'Product Catalog'!$B:$B, "Unknown Product")</f>
        <v>Hoodie Model R43</v>
      </c>
      <c r="L1134" s="1" t="str">
        <f>_xlfn.XLOOKUP(C1134, 'Product Catalog'!$A:$A, 'Product Catalog'!$C:$C, "Unknown Category")</f>
        <v>Apparel</v>
      </c>
      <c r="M1134" s="1">
        <f>_xlfn.XLOOKUP(C1134, 'Product Catalog'!$A:$A, 'Product Catalog'!$D:$D, 0)</f>
        <v>68.040000000000006</v>
      </c>
      <c r="N1134" s="1">
        <f t="shared" si="35"/>
        <v>340.20000000000005</v>
      </c>
    </row>
    <row r="1135" spans="1:14" x14ac:dyDescent="0.3">
      <c r="A1135" s="1" t="s">
        <v>1610</v>
      </c>
      <c r="B1135" s="1" t="s">
        <v>1068</v>
      </c>
      <c r="C1135" s="1" t="s">
        <v>522</v>
      </c>
      <c r="D1135" s="1">
        <v>5</v>
      </c>
      <c r="E1135" s="12">
        <v>45867.419444444444</v>
      </c>
      <c r="F1135" s="1" t="s">
        <v>170</v>
      </c>
      <c r="G1135" s="1" t="s">
        <v>40</v>
      </c>
      <c r="H1135" s="1" t="s">
        <v>41</v>
      </c>
      <c r="I1135" s="1" t="s">
        <v>81</v>
      </c>
      <c r="J1135" s="1" t="str">
        <f t="shared" si="34"/>
        <v>REFUNDED</v>
      </c>
      <c r="K1135" s="1" t="str">
        <f>_xlfn.XLOOKUP(C1135, 'Product Catalog'!$A:$A, 'Product Catalog'!$B:$B, "Unknown Product")</f>
        <v>Leather Handbag Model F5</v>
      </c>
      <c r="L1135" s="1" t="str">
        <f>_xlfn.XLOOKUP(C1135, 'Product Catalog'!$A:$A, 'Product Catalog'!$C:$C, "Unknown Category")</f>
        <v>Luxury Goods</v>
      </c>
      <c r="M1135" s="1">
        <f>_xlfn.XLOOKUP(C1135, 'Product Catalog'!$A:$A, 'Product Catalog'!$D:$D, 0)</f>
        <v>1875.24</v>
      </c>
      <c r="N1135" s="1">
        <f t="shared" si="35"/>
        <v>9376.2000000000007</v>
      </c>
    </row>
    <row r="1136" spans="1:14" x14ac:dyDescent="0.3">
      <c r="A1136" s="1" t="s">
        <v>1611</v>
      </c>
      <c r="B1136" s="1" t="s">
        <v>99</v>
      </c>
      <c r="C1136" s="1" t="s">
        <v>415</v>
      </c>
      <c r="D1136" s="1">
        <v>1</v>
      </c>
      <c r="E1136" s="12">
        <v>45740.055555555555</v>
      </c>
      <c r="F1136" s="1" t="s">
        <v>12</v>
      </c>
      <c r="G1136" s="1" t="s">
        <v>31</v>
      </c>
      <c r="H1136" s="1" t="s">
        <v>41</v>
      </c>
      <c r="I1136" s="1" t="s">
        <v>15</v>
      </c>
      <c r="J1136" s="1" t="str">
        <f t="shared" si="34"/>
        <v>delivered</v>
      </c>
      <c r="K1136" s="1" t="str">
        <f>_xlfn.XLOOKUP(C1136, 'Product Catalog'!$A:$A, 'Product Catalog'!$B:$B, "Unknown Product")</f>
        <v>Premium Stream 1M Model S148</v>
      </c>
      <c r="L1136" s="1" t="str">
        <f>_xlfn.XLOOKUP(C1136, 'Product Catalog'!$A:$A, 'Product Catalog'!$C:$C, "Unknown Category")</f>
        <v>Digital Services</v>
      </c>
      <c r="M1136" s="1">
        <f>_xlfn.XLOOKUP(C1136, 'Product Catalog'!$A:$A, 'Product Catalog'!$D:$D, 0)</f>
        <v>9.73</v>
      </c>
      <c r="N1136" s="1">
        <f t="shared" si="35"/>
        <v>9.73</v>
      </c>
    </row>
    <row r="1137" spans="1:14" x14ac:dyDescent="0.3">
      <c r="A1137" s="1" t="s">
        <v>1612</v>
      </c>
      <c r="B1137" s="1" t="s">
        <v>795</v>
      </c>
      <c r="C1137" s="1" t="s">
        <v>592</v>
      </c>
      <c r="D1137" s="1">
        <v>1</v>
      </c>
      <c r="E1137" s="12">
        <v>45938.705555555556</v>
      </c>
      <c r="F1137" s="1" t="s">
        <v>19</v>
      </c>
      <c r="G1137" s="1" t="s">
        <v>109</v>
      </c>
      <c r="H1137" s="1" t="s">
        <v>41</v>
      </c>
      <c r="I1137" s="1" t="s">
        <v>15</v>
      </c>
      <c r="J1137" s="1" t="str">
        <f t="shared" si="34"/>
        <v>delivered</v>
      </c>
      <c r="K1137" s="1" t="str">
        <f>_xlfn.XLOOKUP(C1137, 'Product Catalog'!$A:$A, 'Product Catalog'!$B:$B, "Unknown Product")</f>
        <v>Blender Model Q94</v>
      </c>
      <c r="L1137" s="1" t="str">
        <f>_xlfn.XLOOKUP(C1137, 'Product Catalog'!$A:$A, 'Product Catalog'!$C:$C, "Unknown Category")</f>
        <v>Home Goods</v>
      </c>
      <c r="M1137" s="1">
        <f>_xlfn.XLOOKUP(C1137, 'Product Catalog'!$A:$A, 'Product Catalog'!$D:$D, 0)</f>
        <v>129.13</v>
      </c>
      <c r="N1137" s="1">
        <f t="shared" si="35"/>
        <v>129.13</v>
      </c>
    </row>
    <row r="1138" spans="1:14" x14ac:dyDescent="0.3">
      <c r="A1138" s="1" t="s">
        <v>1613</v>
      </c>
      <c r="B1138" s="1" t="s">
        <v>37</v>
      </c>
      <c r="C1138" s="1" t="s">
        <v>905</v>
      </c>
      <c r="D1138" s="1">
        <v>1</v>
      </c>
      <c r="E1138" s="12">
        <v>45764.978472222225</v>
      </c>
      <c r="F1138" s="1" t="s">
        <v>19</v>
      </c>
      <c r="G1138" s="1" t="s">
        <v>13</v>
      </c>
      <c r="H1138" s="1" t="s">
        <v>41</v>
      </c>
      <c r="I1138" s="1" t="s">
        <v>42</v>
      </c>
      <c r="J1138" s="1" t="str">
        <f t="shared" si="34"/>
        <v>PENDING_REVIEW</v>
      </c>
      <c r="K1138" s="1" t="str">
        <f>_xlfn.XLOOKUP(C1138, 'Product Catalog'!$A:$A, 'Product Catalog'!$B:$B, "Unknown Product")</f>
        <v>Gold Bracelet Model X127</v>
      </c>
      <c r="L1138" s="1" t="str">
        <f>_xlfn.XLOOKUP(C1138, 'Product Catalog'!$A:$A, 'Product Catalog'!$C:$C, "Unknown Category")</f>
        <v>Luxury Goods</v>
      </c>
      <c r="M1138" s="1">
        <f>_xlfn.XLOOKUP(C1138, 'Product Catalog'!$A:$A, 'Product Catalog'!$D:$D, 0)</f>
        <v>410.48</v>
      </c>
      <c r="N1138" s="1">
        <f t="shared" si="35"/>
        <v>410.48</v>
      </c>
    </row>
    <row r="1139" spans="1:14" x14ac:dyDescent="0.3">
      <c r="A1139" s="1" t="s">
        <v>1614</v>
      </c>
      <c r="B1139" s="1" t="s">
        <v>719</v>
      </c>
      <c r="C1139" s="1" t="s">
        <v>122</v>
      </c>
      <c r="D1139" s="1">
        <v>4</v>
      </c>
      <c r="E1139" s="12">
        <v>45904.470138888886</v>
      </c>
      <c r="F1139" s="1" t="s">
        <v>39</v>
      </c>
      <c r="G1139" s="1" t="s">
        <v>31</v>
      </c>
      <c r="H1139" s="1" t="s">
        <v>51</v>
      </c>
      <c r="I1139" s="1" t="s">
        <v>81</v>
      </c>
      <c r="J1139" s="1" t="str">
        <f t="shared" si="34"/>
        <v>REFUNDED</v>
      </c>
      <c r="K1139" s="1" t="str">
        <f>_xlfn.XLOOKUP(C1139, 'Product Catalog'!$A:$A, 'Product Catalog'!$B:$B, "Unknown Product")</f>
        <v>Gold Bracelet Model I86</v>
      </c>
      <c r="L1139" s="1" t="str">
        <f>_xlfn.XLOOKUP(C1139, 'Product Catalog'!$A:$A, 'Product Catalog'!$C:$C, "Unknown Category")</f>
        <v>Luxury Goods</v>
      </c>
      <c r="M1139" s="1">
        <f>_xlfn.XLOOKUP(C1139, 'Product Catalog'!$A:$A, 'Product Catalog'!$D:$D, 0)</f>
        <v>852.47</v>
      </c>
      <c r="N1139" s="1">
        <f t="shared" si="35"/>
        <v>3409.88</v>
      </c>
    </row>
    <row r="1140" spans="1:14" x14ac:dyDescent="0.3">
      <c r="A1140" s="1" t="s">
        <v>1615</v>
      </c>
      <c r="B1140" s="1" t="s">
        <v>150</v>
      </c>
      <c r="C1140" s="1" t="s">
        <v>851</v>
      </c>
      <c r="D1140" s="1">
        <v>1</v>
      </c>
      <c r="E1140" s="12">
        <v>45778.003472222219</v>
      </c>
      <c r="F1140" s="1" t="s">
        <v>19</v>
      </c>
      <c r="G1140" s="1" t="s">
        <v>31</v>
      </c>
      <c r="H1140" s="1" t="s">
        <v>14</v>
      </c>
      <c r="I1140" s="1" t="s">
        <v>32</v>
      </c>
      <c r="J1140" s="1" t="str">
        <f t="shared" si="34"/>
        <v>SHIPPED</v>
      </c>
      <c r="K1140" s="1" t="str">
        <f>_xlfn.XLOOKUP(C1140, 'Product Catalog'!$A:$A, 'Product Catalog'!$B:$B, "Unknown Product")</f>
        <v>Charger Model H59</v>
      </c>
      <c r="L1140" s="1" t="str">
        <f>_xlfn.XLOOKUP(C1140, 'Product Catalog'!$A:$A, 'Product Catalog'!$C:$C, "Unknown Category")</f>
        <v>Electronics</v>
      </c>
      <c r="M1140" s="1">
        <f>_xlfn.XLOOKUP(C1140, 'Product Catalog'!$A:$A, 'Product Catalog'!$D:$D, 0)</f>
        <v>204.89</v>
      </c>
      <c r="N1140" s="1">
        <f t="shared" si="35"/>
        <v>204.89</v>
      </c>
    </row>
    <row r="1141" spans="1:14" x14ac:dyDescent="0.3">
      <c r="A1141" s="1" t="s">
        <v>1616</v>
      </c>
      <c r="B1141" s="1" t="s">
        <v>333</v>
      </c>
      <c r="C1141" s="1" t="s">
        <v>137</v>
      </c>
      <c r="D1141" s="1">
        <v>1</v>
      </c>
      <c r="E1141" s="12">
        <v>45664.954861111109</v>
      </c>
      <c r="F1141" s="1" t="s">
        <v>19</v>
      </c>
      <c r="G1141" s="1" t="s">
        <v>31</v>
      </c>
      <c r="H1141" s="1" t="s">
        <v>41</v>
      </c>
      <c r="I1141" s="1" t="s">
        <v>15</v>
      </c>
      <c r="J1141" s="1" t="str">
        <f t="shared" si="34"/>
        <v>delivered</v>
      </c>
      <c r="K1141" s="1" t="str">
        <f>_xlfn.XLOOKUP(C1141, 'Product Catalog'!$A:$A, 'Product Catalog'!$B:$B, "Unknown Product")</f>
        <v>VPN 6-Month Pass Model M90</v>
      </c>
      <c r="L1141" s="1" t="str">
        <f>_xlfn.XLOOKUP(C1141, 'Product Catalog'!$A:$A, 'Product Catalog'!$C:$C, "Unknown Category")</f>
        <v>Digital Services</v>
      </c>
      <c r="M1141" s="1">
        <f>_xlfn.XLOOKUP(C1141, 'Product Catalog'!$A:$A, 'Product Catalog'!$D:$D, 0)</f>
        <v>5.91</v>
      </c>
      <c r="N1141" s="1">
        <f t="shared" si="35"/>
        <v>5.91</v>
      </c>
    </row>
    <row r="1142" spans="1:14" x14ac:dyDescent="0.3">
      <c r="A1142" s="1" t="s">
        <v>1617</v>
      </c>
      <c r="B1142" s="1" t="s">
        <v>194</v>
      </c>
      <c r="C1142" s="1" t="s">
        <v>749</v>
      </c>
      <c r="D1142" s="1">
        <v>1</v>
      </c>
      <c r="E1142" s="12">
        <v>45703.156944444447</v>
      </c>
      <c r="F1142" s="1" t="s">
        <v>12</v>
      </c>
      <c r="G1142" s="1" t="s">
        <v>31</v>
      </c>
      <c r="H1142" s="1" t="s">
        <v>14</v>
      </c>
      <c r="I1142" s="1" t="s">
        <v>15</v>
      </c>
      <c r="J1142" s="1" t="str">
        <f t="shared" si="34"/>
        <v>delivered</v>
      </c>
      <c r="K1142" s="1" t="str">
        <f>_xlfn.XLOOKUP(C1142, 'Product Catalog'!$A:$A, 'Product Catalog'!$B:$B, "Unknown Product")</f>
        <v>VPN 6-Month Pass Model A130</v>
      </c>
      <c r="L1142" s="1" t="str">
        <f>_xlfn.XLOOKUP(C1142, 'Product Catalog'!$A:$A, 'Product Catalog'!$C:$C, "Unknown Category")</f>
        <v>Digital Services</v>
      </c>
      <c r="M1142" s="1">
        <f>_xlfn.XLOOKUP(C1142, 'Product Catalog'!$A:$A, 'Product Catalog'!$D:$D, 0)</f>
        <v>81.61</v>
      </c>
      <c r="N1142" s="1">
        <f t="shared" si="35"/>
        <v>81.61</v>
      </c>
    </row>
    <row r="1143" spans="1:14" x14ac:dyDescent="0.3">
      <c r="A1143" s="1" t="s">
        <v>1618</v>
      </c>
      <c r="B1143" s="1" t="s">
        <v>395</v>
      </c>
      <c r="C1143" s="1" t="s">
        <v>364</v>
      </c>
      <c r="D1143" s="1">
        <v>4</v>
      </c>
      <c r="E1143" s="12">
        <v>45951.951388888891</v>
      </c>
      <c r="F1143" s="1" t="s">
        <v>12</v>
      </c>
      <c r="G1143" s="1" t="s">
        <v>40</v>
      </c>
      <c r="H1143" s="1" t="s">
        <v>55</v>
      </c>
      <c r="I1143" s="1" t="s">
        <v>56</v>
      </c>
      <c r="J1143" s="1" t="str">
        <f t="shared" si="34"/>
        <v>cancelled</v>
      </c>
      <c r="K1143" s="1" t="str">
        <f>_xlfn.XLOOKUP(C1143, 'Product Catalog'!$A:$A, 'Product Catalog'!$B:$B, "Unknown Product")</f>
        <v>Desk Lamp Model J113</v>
      </c>
      <c r="L1143" s="1" t="str">
        <f>_xlfn.XLOOKUP(C1143, 'Product Catalog'!$A:$A, 'Product Catalog'!$C:$C, "Unknown Category")</f>
        <v>Home Goods</v>
      </c>
      <c r="M1143" s="1">
        <f>_xlfn.XLOOKUP(C1143, 'Product Catalog'!$A:$A, 'Product Catalog'!$D:$D, 0)</f>
        <v>69.489999999999995</v>
      </c>
      <c r="N1143" s="1">
        <f t="shared" si="35"/>
        <v>277.95999999999998</v>
      </c>
    </row>
    <row r="1144" spans="1:14" x14ac:dyDescent="0.3">
      <c r="A1144" s="1" t="s">
        <v>1619</v>
      </c>
      <c r="B1144" s="1" t="s">
        <v>1315</v>
      </c>
      <c r="C1144" s="1" t="s">
        <v>357</v>
      </c>
      <c r="D1144" s="1">
        <v>5</v>
      </c>
      <c r="E1144" s="12">
        <v>45910.211805555555</v>
      </c>
      <c r="F1144" s="1" t="s">
        <v>12</v>
      </c>
      <c r="G1144" s="1" t="s">
        <v>50</v>
      </c>
      <c r="H1144" s="1" t="s">
        <v>41</v>
      </c>
      <c r="I1144" s="1" t="s">
        <v>42</v>
      </c>
      <c r="J1144" s="1" t="str">
        <f t="shared" si="34"/>
        <v>PENDING_REVIEW</v>
      </c>
      <c r="K1144" s="1" t="str">
        <f>_xlfn.XLOOKUP(C1144, 'Product Catalog'!$A:$A, 'Product Catalog'!$B:$B, "Unknown Product")</f>
        <v>Blender Model C106</v>
      </c>
      <c r="L1144" s="1" t="str">
        <f>_xlfn.XLOOKUP(C1144, 'Product Catalog'!$A:$A, 'Product Catalog'!$C:$C, "Unknown Category")</f>
        <v>Home Goods</v>
      </c>
      <c r="M1144" s="1">
        <f>_xlfn.XLOOKUP(C1144, 'Product Catalog'!$A:$A, 'Product Catalog'!$D:$D, 0)</f>
        <v>112.89</v>
      </c>
      <c r="N1144" s="1">
        <f t="shared" si="35"/>
        <v>564.45000000000005</v>
      </c>
    </row>
    <row r="1145" spans="1:14" x14ac:dyDescent="0.3">
      <c r="A1145" s="1" t="s">
        <v>1620</v>
      </c>
      <c r="B1145" s="1" t="s">
        <v>133</v>
      </c>
      <c r="C1145" s="1" t="s">
        <v>316</v>
      </c>
      <c r="D1145" s="1">
        <v>4</v>
      </c>
      <c r="E1145" s="12">
        <v>45704.727083333331</v>
      </c>
      <c r="F1145" s="1" t="s">
        <v>19</v>
      </c>
      <c r="G1145" s="1" t="s">
        <v>50</v>
      </c>
      <c r="H1145" s="1" t="s">
        <v>41</v>
      </c>
      <c r="I1145" s="1" t="s">
        <v>56</v>
      </c>
      <c r="J1145" s="1" t="str">
        <f t="shared" si="34"/>
        <v>cancelled</v>
      </c>
      <c r="K1145" s="1" t="str">
        <f>_xlfn.XLOOKUP(C1145, 'Product Catalog'!$A:$A, 'Product Catalog'!$B:$B, "Unknown Product")</f>
        <v>Leather Handbag Model W48</v>
      </c>
      <c r="L1145" s="1" t="str">
        <f>_xlfn.XLOOKUP(C1145, 'Product Catalog'!$A:$A, 'Product Catalog'!$C:$C, "Unknown Category")</f>
        <v>Luxury Goods</v>
      </c>
      <c r="M1145" s="1">
        <f>_xlfn.XLOOKUP(C1145, 'Product Catalog'!$A:$A, 'Product Catalog'!$D:$D, 0)</f>
        <v>315.82</v>
      </c>
      <c r="N1145" s="1">
        <f t="shared" si="35"/>
        <v>1263.28</v>
      </c>
    </row>
    <row r="1146" spans="1:14" x14ac:dyDescent="0.3">
      <c r="A1146" s="1" t="s">
        <v>1621</v>
      </c>
      <c r="B1146" s="1" t="s">
        <v>307</v>
      </c>
      <c r="C1146" s="1" t="s">
        <v>522</v>
      </c>
      <c r="D1146" s="1">
        <v>4</v>
      </c>
      <c r="E1146" s="12">
        <v>45696.143750000003</v>
      </c>
      <c r="F1146" s="1" t="s">
        <v>39</v>
      </c>
      <c r="G1146" s="1" t="s">
        <v>40</v>
      </c>
      <c r="H1146" s="1" t="s">
        <v>41</v>
      </c>
      <c r="I1146" s="1" t="s">
        <v>81</v>
      </c>
      <c r="J1146" s="1" t="str">
        <f t="shared" si="34"/>
        <v>REFUNDED</v>
      </c>
      <c r="K1146" s="1" t="str">
        <f>_xlfn.XLOOKUP(C1146, 'Product Catalog'!$A:$A, 'Product Catalog'!$B:$B, "Unknown Product")</f>
        <v>Leather Handbag Model F5</v>
      </c>
      <c r="L1146" s="1" t="str">
        <f>_xlfn.XLOOKUP(C1146, 'Product Catalog'!$A:$A, 'Product Catalog'!$C:$C, "Unknown Category")</f>
        <v>Luxury Goods</v>
      </c>
      <c r="M1146" s="1">
        <f>_xlfn.XLOOKUP(C1146, 'Product Catalog'!$A:$A, 'Product Catalog'!$D:$D, 0)</f>
        <v>1875.24</v>
      </c>
      <c r="N1146" s="1">
        <f t="shared" si="35"/>
        <v>7500.96</v>
      </c>
    </row>
    <row r="1147" spans="1:14" x14ac:dyDescent="0.3">
      <c r="A1147" s="1" t="s">
        <v>1622</v>
      </c>
      <c r="B1147" s="1" t="s">
        <v>897</v>
      </c>
      <c r="C1147" s="1" t="s">
        <v>213</v>
      </c>
      <c r="D1147" s="1">
        <v>1</v>
      </c>
      <c r="E1147" s="12">
        <v>45789.915972222225</v>
      </c>
      <c r="F1147" s="1" t="s">
        <v>12</v>
      </c>
      <c r="G1147" s="1" t="s">
        <v>20</v>
      </c>
      <c r="H1147" s="1" t="s">
        <v>14</v>
      </c>
      <c r="I1147" s="1" t="s">
        <v>15</v>
      </c>
      <c r="J1147" s="1" t="str">
        <f t="shared" si="34"/>
        <v>delivered</v>
      </c>
      <c r="K1147" s="1" t="str">
        <f>_xlfn.XLOOKUP(C1147, 'Product Catalog'!$A:$A, 'Product Catalog'!$B:$B, "Unknown Product")</f>
        <v>Cloud Storage Basic Model L63</v>
      </c>
      <c r="L1147" s="1" t="str">
        <f>_xlfn.XLOOKUP(C1147, 'Product Catalog'!$A:$A, 'Product Catalog'!$C:$C, "Unknown Category")</f>
        <v>Digital Services</v>
      </c>
      <c r="M1147" s="1">
        <f>_xlfn.XLOOKUP(C1147, 'Product Catalog'!$A:$A, 'Product Catalog'!$D:$D, 0)</f>
        <v>20.48</v>
      </c>
      <c r="N1147" s="1">
        <f t="shared" si="35"/>
        <v>20.48</v>
      </c>
    </row>
    <row r="1148" spans="1:14" x14ac:dyDescent="0.3">
      <c r="A1148" s="1" t="s">
        <v>1623</v>
      </c>
      <c r="B1148" s="1" t="s">
        <v>1051</v>
      </c>
      <c r="C1148" s="1" t="s">
        <v>565</v>
      </c>
      <c r="D1148" s="1">
        <v>1</v>
      </c>
      <c r="E1148" s="12">
        <v>45776.649305555555</v>
      </c>
      <c r="F1148" s="1" t="s">
        <v>170</v>
      </c>
      <c r="G1148" s="1" t="s">
        <v>40</v>
      </c>
      <c r="H1148" s="1" t="s">
        <v>55</v>
      </c>
      <c r="I1148" s="1" t="s">
        <v>81</v>
      </c>
      <c r="J1148" s="1" t="str">
        <f t="shared" si="34"/>
        <v>REFUNDED</v>
      </c>
      <c r="K1148" s="1" t="str">
        <f>_xlfn.XLOOKUP(C1148, 'Product Catalog'!$A:$A, 'Product Catalog'!$B:$B, "Unknown Product")</f>
        <v>Mug Model X75</v>
      </c>
      <c r="L1148" s="1" t="str">
        <f>_xlfn.XLOOKUP(C1148, 'Product Catalog'!$A:$A, 'Product Catalog'!$C:$C, "Unknown Category")</f>
        <v>Home Goods</v>
      </c>
      <c r="M1148" s="1">
        <f>_xlfn.XLOOKUP(C1148, 'Product Catalog'!$A:$A, 'Product Catalog'!$D:$D, 0)</f>
        <v>40.94</v>
      </c>
      <c r="N1148" s="1">
        <f t="shared" si="35"/>
        <v>40.94</v>
      </c>
    </row>
    <row r="1149" spans="1:14" x14ac:dyDescent="0.3">
      <c r="A1149" s="1" t="s">
        <v>1624</v>
      </c>
      <c r="B1149" s="1" t="s">
        <v>666</v>
      </c>
      <c r="C1149" s="1" t="s">
        <v>446</v>
      </c>
      <c r="D1149" s="1">
        <v>5</v>
      </c>
      <c r="E1149" s="12">
        <v>45809.375</v>
      </c>
      <c r="F1149" s="1" t="s">
        <v>19</v>
      </c>
      <c r="G1149" s="1" t="s">
        <v>46</v>
      </c>
      <c r="H1149" s="1" t="s">
        <v>51</v>
      </c>
      <c r="I1149" s="1" t="s">
        <v>102</v>
      </c>
      <c r="J1149" s="1" t="str">
        <f t="shared" si="34"/>
        <v>disputed</v>
      </c>
      <c r="K1149" s="1" t="str">
        <f>_xlfn.XLOOKUP(C1149, 'Product Catalog'!$A:$A, 'Product Catalog'!$B:$B, "Unknown Product")</f>
        <v>Silk Scarf Model K36</v>
      </c>
      <c r="L1149" s="1" t="str">
        <f>_xlfn.XLOOKUP(C1149, 'Product Catalog'!$A:$A, 'Product Catalog'!$C:$C, "Unknown Category")</f>
        <v>Luxury Goods</v>
      </c>
      <c r="M1149" s="1">
        <f>_xlfn.XLOOKUP(C1149, 'Product Catalog'!$A:$A, 'Product Catalog'!$D:$D, 0)</f>
        <v>737.6</v>
      </c>
      <c r="N1149" s="1">
        <f t="shared" si="35"/>
        <v>3688</v>
      </c>
    </row>
    <row r="1150" spans="1:14" x14ac:dyDescent="0.3">
      <c r="A1150" s="1" t="s">
        <v>1625</v>
      </c>
      <c r="B1150" s="1" t="s">
        <v>58</v>
      </c>
      <c r="C1150" s="1" t="s">
        <v>157</v>
      </c>
      <c r="D1150" s="1">
        <v>5</v>
      </c>
      <c r="E1150" s="12">
        <v>45895.070833333331</v>
      </c>
      <c r="F1150" s="1" t="s">
        <v>19</v>
      </c>
      <c r="G1150" s="1" t="s">
        <v>50</v>
      </c>
      <c r="H1150" s="1" t="s">
        <v>41</v>
      </c>
      <c r="I1150" s="1" t="s">
        <v>56</v>
      </c>
      <c r="J1150" s="1" t="str">
        <f t="shared" si="34"/>
        <v>cancelled</v>
      </c>
      <c r="K1150" s="1" t="str">
        <f>_xlfn.XLOOKUP(C1150, 'Product Catalog'!$A:$A, 'Product Catalog'!$B:$B, "Unknown Product")</f>
        <v>Coffee Maker Model Q68</v>
      </c>
      <c r="L1150" s="1" t="str">
        <f>_xlfn.XLOOKUP(C1150, 'Product Catalog'!$A:$A, 'Product Catalog'!$C:$C, "Unknown Category")</f>
        <v>Home Goods</v>
      </c>
      <c r="M1150" s="1">
        <f>_xlfn.XLOOKUP(C1150, 'Product Catalog'!$A:$A, 'Product Catalog'!$D:$D, 0)</f>
        <v>28.02</v>
      </c>
      <c r="N1150" s="1">
        <f t="shared" si="35"/>
        <v>140.1</v>
      </c>
    </row>
    <row r="1151" spans="1:14" x14ac:dyDescent="0.3">
      <c r="A1151" s="1" t="s">
        <v>1626</v>
      </c>
      <c r="B1151" s="1" t="s">
        <v>765</v>
      </c>
      <c r="C1151" s="1" t="s">
        <v>498</v>
      </c>
      <c r="D1151" s="1">
        <v>4</v>
      </c>
      <c r="E1151" s="12">
        <v>45709.247916666667</v>
      </c>
      <c r="F1151" s="1" t="s">
        <v>12</v>
      </c>
      <c r="G1151" s="1" t="s">
        <v>20</v>
      </c>
      <c r="H1151" s="1" t="s">
        <v>55</v>
      </c>
      <c r="I1151" s="1" t="s">
        <v>81</v>
      </c>
      <c r="J1151" s="1" t="str">
        <f t="shared" si="34"/>
        <v>REFUNDED</v>
      </c>
      <c r="K1151" s="1" t="str">
        <f>_xlfn.XLOOKUP(C1151, 'Product Catalog'!$A:$A, 'Product Catalog'!$B:$B, "Unknown Product")</f>
        <v>Leather Handbag Model N143</v>
      </c>
      <c r="L1151" s="1" t="str">
        <f>_xlfn.XLOOKUP(C1151, 'Product Catalog'!$A:$A, 'Product Catalog'!$C:$C, "Unknown Category")</f>
        <v>Luxury Goods</v>
      </c>
      <c r="M1151" s="1">
        <f>_xlfn.XLOOKUP(C1151, 'Product Catalog'!$A:$A, 'Product Catalog'!$D:$D, 0)</f>
        <v>1374.1</v>
      </c>
      <c r="N1151" s="1">
        <f t="shared" si="35"/>
        <v>5496.4</v>
      </c>
    </row>
    <row r="1152" spans="1:14" x14ac:dyDescent="0.3">
      <c r="A1152" s="1" t="s">
        <v>1627</v>
      </c>
      <c r="B1152" s="1" t="s">
        <v>544</v>
      </c>
      <c r="C1152" s="1" t="s">
        <v>374</v>
      </c>
      <c r="D1152" s="1">
        <v>1</v>
      </c>
      <c r="E1152" s="12">
        <v>45678.413194444445</v>
      </c>
      <c r="F1152" s="1" t="s">
        <v>12</v>
      </c>
      <c r="G1152" s="1" t="s">
        <v>109</v>
      </c>
      <c r="H1152" s="1" t="s">
        <v>41</v>
      </c>
      <c r="I1152" s="1" t="s">
        <v>15</v>
      </c>
      <c r="J1152" s="1" t="str">
        <f t="shared" si="34"/>
        <v>delivered</v>
      </c>
      <c r="K1152" s="1" t="str">
        <f>_xlfn.XLOOKUP(C1152, 'Product Catalog'!$A:$A, 'Product Catalog'!$B:$B, "Unknown Product")</f>
        <v>Mug Model H33</v>
      </c>
      <c r="L1152" s="1" t="str">
        <f>_xlfn.XLOOKUP(C1152, 'Product Catalog'!$A:$A, 'Product Catalog'!$C:$C, "Unknown Category")</f>
        <v>Home Goods</v>
      </c>
      <c r="M1152" s="1">
        <f>_xlfn.XLOOKUP(C1152, 'Product Catalog'!$A:$A, 'Product Catalog'!$D:$D, 0)</f>
        <v>45.31</v>
      </c>
      <c r="N1152" s="1">
        <f t="shared" si="35"/>
        <v>45.31</v>
      </c>
    </row>
    <row r="1153" spans="1:14" x14ac:dyDescent="0.3">
      <c r="A1153" s="1" t="s">
        <v>1628</v>
      </c>
      <c r="B1153" s="1" t="s">
        <v>894</v>
      </c>
      <c r="C1153" s="1" t="s">
        <v>352</v>
      </c>
      <c r="D1153" s="1">
        <v>4</v>
      </c>
      <c r="E1153" s="12">
        <v>45842.962500000001</v>
      </c>
      <c r="F1153" s="1" t="s">
        <v>12</v>
      </c>
      <c r="G1153" s="1" t="s">
        <v>40</v>
      </c>
      <c r="H1153" s="1" t="s">
        <v>51</v>
      </c>
      <c r="I1153" s="1" t="s">
        <v>56</v>
      </c>
      <c r="J1153" s="1" t="str">
        <f t="shared" si="34"/>
        <v>cancelled</v>
      </c>
      <c r="K1153" s="1" t="str">
        <f>_xlfn.XLOOKUP(C1153, 'Product Catalog'!$A:$A, 'Product Catalog'!$B:$B, "Unknown Product")</f>
        <v>VPN 6-Month Pass Model U46</v>
      </c>
      <c r="L1153" s="1" t="str">
        <f>_xlfn.XLOOKUP(C1153, 'Product Catalog'!$A:$A, 'Product Catalog'!$C:$C, "Unknown Category")</f>
        <v>Digital Services</v>
      </c>
      <c r="M1153" s="1">
        <f>_xlfn.XLOOKUP(C1153, 'Product Catalog'!$A:$A, 'Product Catalog'!$D:$D, 0)</f>
        <v>47.44</v>
      </c>
      <c r="N1153" s="1">
        <f t="shared" si="35"/>
        <v>189.76</v>
      </c>
    </row>
    <row r="1154" spans="1:14" x14ac:dyDescent="0.3">
      <c r="A1154" s="1" t="s">
        <v>1629</v>
      </c>
      <c r="B1154" s="1" t="s">
        <v>76</v>
      </c>
      <c r="C1154" s="1" t="s">
        <v>203</v>
      </c>
      <c r="D1154" s="1">
        <v>1</v>
      </c>
      <c r="E1154" s="12">
        <v>45818.605555555558</v>
      </c>
      <c r="F1154" s="1" t="s">
        <v>19</v>
      </c>
      <c r="G1154" s="1" t="s">
        <v>109</v>
      </c>
      <c r="H1154" s="1" t="s">
        <v>41</v>
      </c>
      <c r="I1154" s="1" t="s">
        <v>42</v>
      </c>
      <c r="J1154" s="1" t="str">
        <f t="shared" ref="J1154:J1217" si="36">TRIM(I1154)</f>
        <v>PENDING_REVIEW</v>
      </c>
      <c r="K1154" s="1" t="str">
        <f>_xlfn.XLOOKUP(C1154, 'Product Catalog'!$A:$A, 'Product Catalog'!$B:$B, "Unknown Product")</f>
        <v>Pillow Model R17</v>
      </c>
      <c r="L1154" s="1" t="str">
        <f>_xlfn.XLOOKUP(C1154, 'Product Catalog'!$A:$A, 'Product Catalog'!$C:$C, "Unknown Category")</f>
        <v>Home Goods</v>
      </c>
      <c r="M1154" s="1">
        <f>_xlfn.XLOOKUP(C1154, 'Product Catalog'!$A:$A, 'Product Catalog'!$D:$D, 0)</f>
        <v>169.86</v>
      </c>
      <c r="N1154" s="1">
        <f t="shared" ref="N1154:N1217" si="37">D1154 * M1154</f>
        <v>169.86</v>
      </c>
    </row>
    <row r="1155" spans="1:14" x14ac:dyDescent="0.3">
      <c r="A1155" s="1" t="s">
        <v>1630</v>
      </c>
      <c r="B1155" s="1" t="s">
        <v>1114</v>
      </c>
      <c r="C1155" s="1" t="s">
        <v>229</v>
      </c>
      <c r="D1155" s="1">
        <v>1</v>
      </c>
      <c r="E1155" s="12">
        <v>45717.134722222225</v>
      </c>
      <c r="F1155" s="1" t="s">
        <v>12</v>
      </c>
      <c r="G1155" s="1" t="s">
        <v>40</v>
      </c>
      <c r="H1155" s="1" t="s">
        <v>55</v>
      </c>
      <c r="I1155" s="1" t="s">
        <v>42</v>
      </c>
      <c r="J1155" s="1" t="str">
        <f t="shared" si="36"/>
        <v>PENDING_REVIEW</v>
      </c>
      <c r="K1155" s="1" t="str">
        <f>_xlfn.XLOOKUP(C1155, 'Product Catalog'!$A:$A, 'Product Catalog'!$B:$B, "Unknown Product")</f>
        <v>Premium Stream 1M Model O118</v>
      </c>
      <c r="L1155" s="1" t="str">
        <f>_xlfn.XLOOKUP(C1155, 'Product Catalog'!$A:$A, 'Product Catalog'!$C:$C, "Unknown Category")</f>
        <v>Digital Services</v>
      </c>
      <c r="M1155" s="1">
        <f>_xlfn.XLOOKUP(C1155, 'Product Catalog'!$A:$A, 'Product Catalog'!$D:$D, 0)</f>
        <v>53.05</v>
      </c>
      <c r="N1155" s="1">
        <f t="shared" si="37"/>
        <v>53.05</v>
      </c>
    </row>
    <row r="1156" spans="1:14" x14ac:dyDescent="0.3">
      <c r="A1156" s="1" t="s">
        <v>1631</v>
      </c>
      <c r="B1156" s="1" t="s">
        <v>787</v>
      </c>
      <c r="C1156" s="1" t="s">
        <v>247</v>
      </c>
      <c r="D1156" s="1">
        <v>1</v>
      </c>
      <c r="E1156" s="12">
        <v>45681.013194444444</v>
      </c>
      <c r="F1156" s="1" t="s">
        <v>12</v>
      </c>
      <c r="G1156" s="1" t="s">
        <v>50</v>
      </c>
      <c r="H1156" s="1" t="s">
        <v>51</v>
      </c>
      <c r="I1156" s="1" t="s">
        <v>102</v>
      </c>
      <c r="J1156" s="1" t="str">
        <f t="shared" si="36"/>
        <v>disputed</v>
      </c>
      <c r="K1156" s="1" t="str">
        <f>_xlfn.XLOOKUP(C1156, 'Product Catalog'!$A:$A, 'Product Catalog'!$B:$B, "Unknown Product")</f>
        <v>Silk Scarf Model N117</v>
      </c>
      <c r="L1156" s="1" t="str">
        <f>_xlfn.XLOOKUP(C1156, 'Product Catalog'!$A:$A, 'Product Catalog'!$C:$C, "Unknown Category")</f>
        <v>Luxury Goods</v>
      </c>
      <c r="M1156" s="1">
        <f>_xlfn.XLOOKUP(C1156, 'Product Catalog'!$A:$A, 'Product Catalog'!$D:$D, 0)</f>
        <v>1740.35</v>
      </c>
      <c r="N1156" s="1">
        <f t="shared" si="37"/>
        <v>1740.35</v>
      </c>
    </row>
    <row r="1157" spans="1:14" x14ac:dyDescent="0.3">
      <c r="A1157" s="1" t="s">
        <v>1632</v>
      </c>
      <c r="B1157" s="1" t="s">
        <v>911</v>
      </c>
      <c r="C1157" s="1" t="s">
        <v>473</v>
      </c>
      <c r="D1157" s="1">
        <v>3</v>
      </c>
      <c r="E1157" s="12">
        <v>45728.943055555559</v>
      </c>
      <c r="F1157" s="1" t="s">
        <v>19</v>
      </c>
      <c r="G1157" s="1" t="s">
        <v>20</v>
      </c>
      <c r="H1157" s="1" t="s">
        <v>41</v>
      </c>
      <c r="I1157" s="1" t="s">
        <v>15</v>
      </c>
      <c r="J1157" s="1" t="str">
        <f t="shared" si="36"/>
        <v>delivered</v>
      </c>
      <c r="K1157" s="1" t="str">
        <f>_xlfn.XLOOKUP(C1157, 'Product Catalog'!$A:$A, 'Product Catalog'!$B:$B, "Unknown Product")</f>
        <v>Desk Lamp Model I138</v>
      </c>
      <c r="L1157" s="1" t="str">
        <f>_xlfn.XLOOKUP(C1157, 'Product Catalog'!$A:$A, 'Product Catalog'!$C:$C, "Unknown Category")</f>
        <v>Home Goods</v>
      </c>
      <c r="M1157" s="1">
        <f>_xlfn.XLOOKUP(C1157, 'Product Catalog'!$A:$A, 'Product Catalog'!$D:$D, 0)</f>
        <v>94.55</v>
      </c>
      <c r="N1157" s="1">
        <f t="shared" si="37"/>
        <v>283.64999999999998</v>
      </c>
    </row>
    <row r="1158" spans="1:14" x14ac:dyDescent="0.3">
      <c r="A1158" s="1" t="s">
        <v>1633</v>
      </c>
      <c r="B1158" s="1" t="s">
        <v>187</v>
      </c>
      <c r="C1158" s="1" t="s">
        <v>367</v>
      </c>
      <c r="D1158" s="1">
        <v>5</v>
      </c>
      <c r="E1158" s="12">
        <v>45989.242361111108</v>
      </c>
      <c r="F1158" s="1" t="s">
        <v>12</v>
      </c>
      <c r="G1158" s="1" t="s">
        <v>50</v>
      </c>
      <c r="H1158" s="1" t="s">
        <v>55</v>
      </c>
      <c r="I1158" s="1" t="s">
        <v>81</v>
      </c>
      <c r="J1158" s="1" t="str">
        <f t="shared" si="36"/>
        <v>REFUNDED</v>
      </c>
      <c r="K1158" s="1" t="str">
        <f>_xlfn.XLOOKUP(C1158, 'Product Catalog'!$A:$A, 'Product Catalog'!$B:$B, "Unknown Product")</f>
        <v>Cable Model P67</v>
      </c>
      <c r="L1158" s="1" t="str">
        <f>_xlfn.XLOOKUP(C1158, 'Product Catalog'!$A:$A, 'Product Catalog'!$C:$C, "Unknown Category")</f>
        <v>Electronics</v>
      </c>
      <c r="M1158" s="1">
        <f>_xlfn.XLOOKUP(C1158, 'Product Catalog'!$A:$A, 'Product Catalog'!$D:$D, 0)</f>
        <v>187.9</v>
      </c>
      <c r="N1158" s="1">
        <f t="shared" si="37"/>
        <v>939.5</v>
      </c>
    </row>
    <row r="1159" spans="1:14" x14ac:dyDescent="0.3">
      <c r="A1159" s="1" t="s">
        <v>1634</v>
      </c>
      <c r="B1159" s="1" t="s">
        <v>698</v>
      </c>
      <c r="C1159" s="1" t="s">
        <v>105</v>
      </c>
      <c r="D1159" s="1">
        <v>1</v>
      </c>
      <c r="E1159" s="12">
        <v>45826.508333333331</v>
      </c>
      <c r="F1159" s="1" t="s">
        <v>19</v>
      </c>
      <c r="G1159" s="1" t="s">
        <v>46</v>
      </c>
      <c r="H1159" s="1" t="s">
        <v>24</v>
      </c>
      <c r="I1159" s="1" t="s">
        <v>15</v>
      </c>
      <c r="J1159" s="1" t="str">
        <f t="shared" si="36"/>
        <v>delivered</v>
      </c>
      <c r="K1159" s="1" t="str">
        <f>_xlfn.XLOOKUP(C1159, 'Product Catalog'!$A:$A, 'Product Catalog'!$B:$B, "Unknown Product")</f>
        <v>Keyboard Model E4</v>
      </c>
      <c r="L1159" s="1" t="str">
        <f>_xlfn.XLOOKUP(C1159, 'Product Catalog'!$A:$A, 'Product Catalog'!$C:$C, "Unknown Category")</f>
        <v>Electronics</v>
      </c>
      <c r="M1159" s="1">
        <f>_xlfn.XLOOKUP(C1159, 'Product Catalog'!$A:$A, 'Product Catalog'!$D:$D, 0)</f>
        <v>69.680000000000007</v>
      </c>
      <c r="N1159" s="1">
        <f t="shared" si="37"/>
        <v>69.680000000000007</v>
      </c>
    </row>
    <row r="1160" spans="1:14" x14ac:dyDescent="0.3">
      <c r="A1160" s="1" t="s">
        <v>1635</v>
      </c>
      <c r="B1160" s="1" t="s">
        <v>1184</v>
      </c>
      <c r="C1160" s="1" t="s">
        <v>38</v>
      </c>
      <c r="D1160" s="1">
        <v>4</v>
      </c>
      <c r="E1160" s="12">
        <v>45882.884027777778</v>
      </c>
      <c r="F1160" s="1" t="s">
        <v>170</v>
      </c>
      <c r="G1160" s="1" t="s">
        <v>50</v>
      </c>
      <c r="H1160" s="1" t="s">
        <v>55</v>
      </c>
      <c r="I1160" s="1" t="s">
        <v>56</v>
      </c>
      <c r="J1160" s="1" t="str">
        <f t="shared" si="36"/>
        <v>cancelled</v>
      </c>
      <c r="K1160" s="1" t="str">
        <f>_xlfn.XLOOKUP(C1160, 'Product Catalog'!$A:$A, 'Product Catalog'!$B:$B, "Unknown Product")</f>
        <v>VPN 6-Month Pass Model V73</v>
      </c>
      <c r="L1160" s="1" t="str">
        <f>_xlfn.XLOOKUP(C1160, 'Product Catalog'!$A:$A, 'Product Catalog'!$C:$C, "Unknown Category")</f>
        <v>Digital Services</v>
      </c>
      <c r="M1160" s="1">
        <f>_xlfn.XLOOKUP(C1160, 'Product Catalog'!$A:$A, 'Product Catalog'!$D:$D, 0)</f>
        <v>58.13</v>
      </c>
      <c r="N1160" s="1">
        <f t="shared" si="37"/>
        <v>232.52</v>
      </c>
    </row>
    <row r="1161" spans="1:14" x14ac:dyDescent="0.3">
      <c r="A1161" s="1" t="s">
        <v>1636</v>
      </c>
      <c r="B1161" s="1" t="s">
        <v>507</v>
      </c>
      <c r="C1161" s="1" t="s">
        <v>49</v>
      </c>
      <c r="D1161" s="1">
        <v>1</v>
      </c>
      <c r="E1161" s="12">
        <v>45795.131944444445</v>
      </c>
      <c r="F1161" s="1" t="s">
        <v>19</v>
      </c>
      <c r="G1161" s="1" t="s">
        <v>31</v>
      </c>
      <c r="H1161" s="1" t="s">
        <v>41</v>
      </c>
      <c r="I1161" s="1" t="s">
        <v>15</v>
      </c>
      <c r="J1161" s="1" t="str">
        <f t="shared" si="36"/>
        <v>delivered</v>
      </c>
      <c r="K1161" s="1" t="str">
        <f>_xlfn.XLOOKUP(C1161, 'Product Catalog'!$A:$A, 'Product Catalog'!$B:$B, "Unknown Product")</f>
        <v>E-Book Access Model Y76</v>
      </c>
      <c r="L1161" s="1" t="str">
        <f>_xlfn.XLOOKUP(C1161, 'Product Catalog'!$A:$A, 'Product Catalog'!$C:$C, "Unknown Category")</f>
        <v>Digital Services</v>
      </c>
      <c r="M1161" s="1">
        <f>_xlfn.XLOOKUP(C1161, 'Product Catalog'!$A:$A, 'Product Catalog'!$D:$D, 0)</f>
        <v>92.33</v>
      </c>
      <c r="N1161" s="1">
        <f t="shared" si="37"/>
        <v>92.33</v>
      </c>
    </row>
    <row r="1162" spans="1:14" x14ac:dyDescent="0.3">
      <c r="A1162" s="1" t="s">
        <v>1637</v>
      </c>
      <c r="B1162" s="1" t="s">
        <v>70</v>
      </c>
      <c r="C1162" s="1" t="s">
        <v>71</v>
      </c>
      <c r="D1162" s="1">
        <v>2</v>
      </c>
      <c r="E1162" s="12">
        <v>45848.486805555556</v>
      </c>
      <c r="F1162" s="1" t="s">
        <v>19</v>
      </c>
      <c r="G1162" s="1" t="s">
        <v>20</v>
      </c>
      <c r="H1162" s="1" t="s">
        <v>24</v>
      </c>
      <c r="I1162" s="1" t="s">
        <v>15</v>
      </c>
      <c r="J1162" s="1" t="str">
        <f t="shared" si="36"/>
        <v>delivered</v>
      </c>
      <c r="K1162" s="1" t="str">
        <f>_xlfn.XLOOKUP(C1162, 'Product Catalog'!$A:$A, 'Product Catalog'!$B:$B, "Unknown Product")</f>
        <v>VPN 6-Month Pass Model D29</v>
      </c>
      <c r="L1162" s="1" t="str">
        <f>_xlfn.XLOOKUP(C1162, 'Product Catalog'!$A:$A, 'Product Catalog'!$C:$C, "Unknown Category")</f>
        <v>Digital Services</v>
      </c>
      <c r="M1162" s="1">
        <f>_xlfn.XLOOKUP(C1162, 'Product Catalog'!$A:$A, 'Product Catalog'!$D:$D, 0)</f>
        <v>10.97</v>
      </c>
      <c r="N1162" s="1">
        <f t="shared" si="37"/>
        <v>21.94</v>
      </c>
    </row>
    <row r="1163" spans="1:14" x14ac:dyDescent="0.3">
      <c r="A1163" s="1" t="s">
        <v>1638</v>
      </c>
      <c r="B1163" s="1" t="s">
        <v>228</v>
      </c>
      <c r="C1163" s="1" t="s">
        <v>402</v>
      </c>
      <c r="D1163" s="1">
        <v>2</v>
      </c>
      <c r="E1163" s="12">
        <v>45751.161805555559</v>
      </c>
      <c r="F1163" s="1" t="s">
        <v>19</v>
      </c>
      <c r="G1163" s="1" t="s">
        <v>20</v>
      </c>
      <c r="H1163" s="1" t="s">
        <v>41</v>
      </c>
      <c r="I1163" s="1" t="s">
        <v>32</v>
      </c>
      <c r="J1163" s="1" t="str">
        <f t="shared" si="36"/>
        <v>SHIPPED</v>
      </c>
      <c r="K1163" s="1" t="str">
        <f>_xlfn.XLOOKUP(C1163, 'Product Catalog'!$A:$A, 'Product Catalog'!$B:$B, "Unknown Product")</f>
        <v>Software License Tier A Model J139</v>
      </c>
      <c r="L1163" s="1" t="str">
        <f>_xlfn.XLOOKUP(C1163, 'Product Catalog'!$A:$A, 'Product Catalog'!$C:$C, "Unknown Category")</f>
        <v>Digital Services</v>
      </c>
      <c r="M1163" s="1">
        <f>_xlfn.XLOOKUP(C1163, 'Product Catalog'!$A:$A, 'Product Catalog'!$D:$D, 0)</f>
        <v>90.05</v>
      </c>
      <c r="N1163" s="1">
        <f t="shared" si="37"/>
        <v>180.1</v>
      </c>
    </row>
    <row r="1164" spans="1:14" x14ac:dyDescent="0.3">
      <c r="A1164" s="1" t="s">
        <v>1639</v>
      </c>
      <c r="B1164" s="1" t="s">
        <v>162</v>
      </c>
      <c r="C1164" s="1" t="s">
        <v>758</v>
      </c>
      <c r="D1164" s="1">
        <v>2</v>
      </c>
      <c r="E1164" s="12">
        <v>45863.568749999999</v>
      </c>
      <c r="F1164" s="1" t="s">
        <v>12</v>
      </c>
      <c r="G1164" s="1" t="s">
        <v>31</v>
      </c>
      <c r="H1164" s="1" t="s">
        <v>14</v>
      </c>
      <c r="I1164" s="1" t="s">
        <v>15</v>
      </c>
      <c r="J1164" s="1" t="str">
        <f t="shared" si="36"/>
        <v>delivered</v>
      </c>
      <c r="K1164" s="1" t="str">
        <f>_xlfn.XLOOKUP(C1164, 'Product Catalog'!$A:$A, 'Product Catalog'!$B:$B, "Unknown Product")</f>
        <v>Cloud Storage Basic Model G110</v>
      </c>
      <c r="L1164" s="1" t="str">
        <f>_xlfn.XLOOKUP(C1164, 'Product Catalog'!$A:$A, 'Product Catalog'!$C:$C, "Unknown Category")</f>
        <v>Digital Services</v>
      </c>
      <c r="M1164" s="1">
        <f>_xlfn.XLOOKUP(C1164, 'Product Catalog'!$A:$A, 'Product Catalog'!$D:$D, 0)</f>
        <v>53.87</v>
      </c>
      <c r="N1164" s="1">
        <f t="shared" si="37"/>
        <v>107.74</v>
      </c>
    </row>
    <row r="1165" spans="1:14" x14ac:dyDescent="0.3">
      <c r="A1165" s="1" t="s">
        <v>1640</v>
      </c>
      <c r="B1165" s="1" t="s">
        <v>943</v>
      </c>
      <c r="C1165" s="1" t="s">
        <v>253</v>
      </c>
      <c r="D1165" s="1">
        <v>1</v>
      </c>
      <c r="E1165" s="12">
        <v>45891.386111111111</v>
      </c>
      <c r="F1165" s="1" t="s">
        <v>19</v>
      </c>
      <c r="G1165" s="1" t="s">
        <v>20</v>
      </c>
      <c r="H1165" s="1" t="s">
        <v>14</v>
      </c>
      <c r="I1165" s="1" t="s">
        <v>15</v>
      </c>
      <c r="J1165" s="1" t="str">
        <f t="shared" si="36"/>
        <v>delivered</v>
      </c>
      <c r="K1165" s="1" t="str">
        <f>_xlfn.XLOOKUP(C1165, 'Product Catalog'!$A:$A, 'Product Catalog'!$B:$B, "Unknown Product")</f>
        <v>Hoodie Model B79</v>
      </c>
      <c r="L1165" s="1" t="str">
        <f>_xlfn.XLOOKUP(C1165, 'Product Catalog'!$A:$A, 'Product Catalog'!$C:$C, "Unknown Category")</f>
        <v>Apparel</v>
      </c>
      <c r="M1165" s="1">
        <f>_xlfn.XLOOKUP(C1165, 'Product Catalog'!$A:$A, 'Product Catalog'!$D:$D, 0)</f>
        <v>106.9</v>
      </c>
      <c r="N1165" s="1">
        <f t="shared" si="37"/>
        <v>106.9</v>
      </c>
    </row>
    <row r="1166" spans="1:14" x14ac:dyDescent="0.3">
      <c r="A1166" s="1" t="s">
        <v>1641</v>
      </c>
      <c r="B1166" s="1" t="s">
        <v>795</v>
      </c>
      <c r="C1166" s="1" t="s">
        <v>247</v>
      </c>
      <c r="D1166" s="1">
        <v>1</v>
      </c>
      <c r="E1166" s="12">
        <v>45855.980555555558</v>
      </c>
      <c r="F1166" s="1" t="s">
        <v>39</v>
      </c>
      <c r="G1166" s="1" t="s">
        <v>46</v>
      </c>
      <c r="H1166" s="1" t="s">
        <v>51</v>
      </c>
      <c r="I1166" s="1" t="s">
        <v>42</v>
      </c>
      <c r="J1166" s="1" t="str">
        <f t="shared" si="36"/>
        <v>PENDING_REVIEW</v>
      </c>
      <c r="K1166" s="1" t="str">
        <f>_xlfn.XLOOKUP(C1166, 'Product Catalog'!$A:$A, 'Product Catalog'!$B:$B, "Unknown Product")</f>
        <v>Silk Scarf Model N117</v>
      </c>
      <c r="L1166" s="1" t="str">
        <f>_xlfn.XLOOKUP(C1166, 'Product Catalog'!$A:$A, 'Product Catalog'!$C:$C, "Unknown Category")</f>
        <v>Luxury Goods</v>
      </c>
      <c r="M1166" s="1">
        <f>_xlfn.XLOOKUP(C1166, 'Product Catalog'!$A:$A, 'Product Catalog'!$D:$D, 0)</f>
        <v>1740.35</v>
      </c>
      <c r="N1166" s="1">
        <f t="shared" si="37"/>
        <v>1740.35</v>
      </c>
    </row>
    <row r="1167" spans="1:14" x14ac:dyDescent="0.3">
      <c r="A1167" s="1" t="s">
        <v>1642</v>
      </c>
      <c r="B1167" s="1" t="s">
        <v>1242</v>
      </c>
      <c r="C1167" s="1" t="s">
        <v>399</v>
      </c>
      <c r="D1167" s="1">
        <v>1</v>
      </c>
      <c r="E1167" s="12">
        <v>45902.599305555559</v>
      </c>
      <c r="F1167" s="1" t="s">
        <v>12</v>
      </c>
      <c r="G1167" s="1" t="s">
        <v>13</v>
      </c>
      <c r="H1167" s="1" t="s">
        <v>24</v>
      </c>
      <c r="I1167" s="1" t="s">
        <v>15</v>
      </c>
      <c r="J1167" s="1" t="str">
        <f t="shared" si="36"/>
        <v>delivered</v>
      </c>
      <c r="K1167" s="1" t="str">
        <f>_xlfn.XLOOKUP(C1167, 'Product Catalog'!$A:$A, 'Product Catalog'!$B:$B, "Unknown Product")</f>
        <v>E-Book Access Model W22</v>
      </c>
      <c r="L1167" s="1" t="str">
        <f>_xlfn.XLOOKUP(C1167, 'Product Catalog'!$A:$A, 'Product Catalog'!$C:$C, "Unknown Category")</f>
        <v>Digital Services</v>
      </c>
      <c r="M1167" s="1">
        <f>_xlfn.XLOOKUP(C1167, 'Product Catalog'!$A:$A, 'Product Catalog'!$D:$D, 0)</f>
        <v>11.22</v>
      </c>
      <c r="N1167" s="1">
        <f t="shared" si="37"/>
        <v>11.22</v>
      </c>
    </row>
    <row r="1168" spans="1:14" x14ac:dyDescent="0.3">
      <c r="A1168" s="1" t="s">
        <v>1643</v>
      </c>
      <c r="B1168" s="1" t="s">
        <v>414</v>
      </c>
      <c r="C1168" s="1" t="s">
        <v>30</v>
      </c>
      <c r="D1168" s="1">
        <v>1</v>
      </c>
      <c r="E1168" s="12">
        <v>45990.236805555556</v>
      </c>
      <c r="F1168" s="1" t="s">
        <v>39</v>
      </c>
      <c r="G1168" s="1" t="s">
        <v>40</v>
      </c>
      <c r="H1168" s="1" t="s">
        <v>55</v>
      </c>
      <c r="I1168" s="1" t="s">
        <v>81</v>
      </c>
      <c r="J1168" s="1" t="str">
        <f t="shared" si="36"/>
        <v>REFUNDED</v>
      </c>
      <c r="K1168" s="1" t="str">
        <f>_xlfn.XLOOKUP(C1168, 'Product Catalog'!$A:$A, 'Product Catalog'!$B:$B, "Unknown Product")</f>
        <v>VPN 6-Month Pass Model B131</v>
      </c>
      <c r="L1168" s="1" t="str">
        <f>_xlfn.XLOOKUP(C1168, 'Product Catalog'!$A:$A, 'Product Catalog'!$C:$C, "Unknown Category")</f>
        <v>Digital Services</v>
      </c>
      <c r="M1168" s="1">
        <f>_xlfn.XLOOKUP(C1168, 'Product Catalog'!$A:$A, 'Product Catalog'!$D:$D, 0)</f>
        <v>46.92</v>
      </c>
      <c r="N1168" s="1">
        <f t="shared" si="37"/>
        <v>46.92</v>
      </c>
    </row>
    <row r="1169" spans="1:14" x14ac:dyDescent="0.3">
      <c r="A1169" s="1" t="s">
        <v>1644</v>
      </c>
      <c r="B1169" s="1" t="s">
        <v>886</v>
      </c>
      <c r="C1169" s="1" t="s">
        <v>176</v>
      </c>
      <c r="D1169" s="1">
        <v>5</v>
      </c>
      <c r="E1169" s="12">
        <v>45715.188194444447</v>
      </c>
      <c r="F1169" s="1" t="s">
        <v>170</v>
      </c>
      <c r="G1169" s="1" t="s">
        <v>40</v>
      </c>
      <c r="H1169" s="1" t="s">
        <v>41</v>
      </c>
      <c r="I1169" s="1" t="s">
        <v>42</v>
      </c>
      <c r="J1169" s="1" t="str">
        <f t="shared" si="36"/>
        <v>PENDING_REVIEW</v>
      </c>
      <c r="K1169" s="1" t="str">
        <f>_xlfn.XLOOKUP(C1169, 'Product Catalog'!$A:$A, 'Product Catalog'!$B:$B, "Unknown Product")</f>
        <v>Leather Handbag Model U124</v>
      </c>
      <c r="L1169" s="1" t="str">
        <f>_xlfn.XLOOKUP(C1169, 'Product Catalog'!$A:$A, 'Product Catalog'!$C:$C, "Unknown Category")</f>
        <v>Luxury Goods</v>
      </c>
      <c r="M1169" s="1">
        <f>_xlfn.XLOOKUP(C1169, 'Product Catalog'!$A:$A, 'Product Catalog'!$D:$D, 0)</f>
        <v>1880.36</v>
      </c>
      <c r="N1169" s="1">
        <f t="shared" si="37"/>
        <v>9401.7999999999993</v>
      </c>
    </row>
    <row r="1170" spans="1:14" x14ac:dyDescent="0.3">
      <c r="A1170" s="1" t="s">
        <v>1645</v>
      </c>
      <c r="B1170" s="1" t="s">
        <v>322</v>
      </c>
      <c r="C1170" s="1" t="s">
        <v>935</v>
      </c>
      <c r="D1170" s="1">
        <v>1</v>
      </c>
      <c r="E1170" s="12">
        <v>46014.083333333336</v>
      </c>
      <c r="F1170" s="1" t="s">
        <v>12</v>
      </c>
      <c r="G1170" s="1" t="s">
        <v>31</v>
      </c>
      <c r="H1170" s="1" t="s">
        <v>14</v>
      </c>
      <c r="I1170" s="1" t="s">
        <v>15</v>
      </c>
      <c r="J1170" s="1" t="str">
        <f t="shared" si="36"/>
        <v>delivered</v>
      </c>
      <c r="K1170" s="1" t="str">
        <f>_xlfn.XLOOKUP(C1170, 'Product Catalog'!$A:$A, 'Product Catalog'!$B:$B, "Unknown Product")</f>
        <v>Cloud Storage Basic Model L141</v>
      </c>
      <c r="L1170" s="1" t="str">
        <f>_xlfn.XLOOKUP(C1170, 'Product Catalog'!$A:$A, 'Product Catalog'!$C:$C, "Unknown Category")</f>
        <v>Digital Services</v>
      </c>
      <c r="M1170" s="1">
        <f>_xlfn.XLOOKUP(C1170, 'Product Catalog'!$A:$A, 'Product Catalog'!$D:$D, 0)</f>
        <v>93.62</v>
      </c>
      <c r="N1170" s="1">
        <f t="shared" si="37"/>
        <v>93.62</v>
      </c>
    </row>
    <row r="1171" spans="1:14" x14ac:dyDescent="0.3">
      <c r="A1171" s="1" t="s">
        <v>1646</v>
      </c>
      <c r="B1171" s="1" t="s">
        <v>911</v>
      </c>
      <c r="C1171" s="1" t="s">
        <v>531</v>
      </c>
      <c r="D1171" s="1">
        <v>2</v>
      </c>
      <c r="E1171" s="12">
        <v>45739.147222222222</v>
      </c>
      <c r="F1171" s="1" t="s">
        <v>12</v>
      </c>
      <c r="G1171" s="1" t="s">
        <v>109</v>
      </c>
      <c r="H1171" s="1" t="s">
        <v>41</v>
      </c>
      <c r="I1171" s="1" t="s">
        <v>15</v>
      </c>
      <c r="J1171" s="1" t="str">
        <f t="shared" si="36"/>
        <v>delivered</v>
      </c>
      <c r="K1171" s="1" t="str">
        <f>_xlfn.XLOOKUP(C1171, 'Product Catalog'!$A:$A, 'Product Catalog'!$B:$B, "Unknown Product")</f>
        <v>Organizer Model Y102</v>
      </c>
      <c r="L1171" s="1" t="str">
        <f>_xlfn.XLOOKUP(C1171, 'Product Catalog'!$A:$A, 'Product Catalog'!$C:$C, "Unknown Category")</f>
        <v>Home Goods</v>
      </c>
      <c r="M1171" s="1">
        <f>_xlfn.XLOOKUP(C1171, 'Product Catalog'!$A:$A, 'Product Catalog'!$D:$D, 0)</f>
        <v>147.26</v>
      </c>
      <c r="N1171" s="1">
        <f t="shared" si="37"/>
        <v>294.52</v>
      </c>
    </row>
    <row r="1172" spans="1:14" x14ac:dyDescent="0.3">
      <c r="A1172" s="1" t="s">
        <v>1647</v>
      </c>
      <c r="B1172" s="1" t="s">
        <v>127</v>
      </c>
      <c r="C1172" s="1" t="s">
        <v>237</v>
      </c>
      <c r="D1172" s="1">
        <v>1</v>
      </c>
      <c r="E1172" s="12">
        <v>45871.839583333334</v>
      </c>
      <c r="F1172" s="1" t="s">
        <v>39</v>
      </c>
      <c r="G1172" s="1" t="s">
        <v>46</v>
      </c>
      <c r="H1172" s="1" t="s">
        <v>41</v>
      </c>
      <c r="I1172" s="1" t="s">
        <v>102</v>
      </c>
      <c r="J1172" s="1" t="str">
        <f t="shared" si="36"/>
        <v>disputed</v>
      </c>
      <c r="K1172" s="1" t="str">
        <f>_xlfn.XLOOKUP(C1172, 'Product Catalog'!$A:$A, 'Product Catalog'!$B:$B, "Unknown Product")</f>
        <v>Leather Handbag Model U20</v>
      </c>
      <c r="L1172" s="1" t="str">
        <f>_xlfn.XLOOKUP(C1172, 'Product Catalog'!$A:$A, 'Product Catalog'!$C:$C, "Unknown Category")</f>
        <v>Luxury Goods</v>
      </c>
      <c r="M1172" s="1">
        <f>_xlfn.XLOOKUP(C1172, 'Product Catalog'!$A:$A, 'Product Catalog'!$D:$D, 0)</f>
        <v>1806.15</v>
      </c>
      <c r="N1172" s="1">
        <f t="shared" si="37"/>
        <v>1806.15</v>
      </c>
    </row>
    <row r="1173" spans="1:14" x14ac:dyDescent="0.3">
      <c r="A1173" s="1" t="s">
        <v>1648</v>
      </c>
      <c r="B1173" s="1" t="s">
        <v>1106</v>
      </c>
      <c r="C1173" s="1" t="s">
        <v>90</v>
      </c>
      <c r="D1173" s="1">
        <v>1</v>
      </c>
      <c r="E1173" s="12">
        <v>45905.809027777781</v>
      </c>
      <c r="F1173" s="1" t="s">
        <v>19</v>
      </c>
      <c r="G1173" s="1" t="s">
        <v>13</v>
      </c>
      <c r="H1173" s="1" t="s">
        <v>24</v>
      </c>
      <c r="I1173" s="1" t="s">
        <v>15</v>
      </c>
      <c r="J1173" s="1" t="str">
        <f t="shared" si="36"/>
        <v>delivered</v>
      </c>
      <c r="K1173" s="1" t="str">
        <f>_xlfn.XLOOKUP(C1173, 'Product Catalog'!$A:$A, 'Product Catalog'!$B:$B, "Unknown Product")</f>
        <v>VPN 6-Month Pass Model F109</v>
      </c>
      <c r="L1173" s="1" t="str">
        <f>_xlfn.XLOOKUP(C1173, 'Product Catalog'!$A:$A, 'Product Catalog'!$C:$C, "Unknown Category")</f>
        <v>Digital Services</v>
      </c>
      <c r="M1173" s="1">
        <f>_xlfn.XLOOKUP(C1173, 'Product Catalog'!$A:$A, 'Product Catalog'!$D:$D, 0)</f>
        <v>22.87</v>
      </c>
      <c r="N1173" s="1">
        <f t="shared" si="37"/>
        <v>22.87</v>
      </c>
    </row>
    <row r="1174" spans="1:14" x14ac:dyDescent="0.3">
      <c r="A1174" s="1" t="s">
        <v>1649</v>
      </c>
      <c r="B1174" s="1" t="s">
        <v>226</v>
      </c>
      <c r="C1174" s="1" t="s">
        <v>192</v>
      </c>
      <c r="D1174" s="1">
        <v>4</v>
      </c>
      <c r="E1174" s="12">
        <v>46005.622916666667</v>
      </c>
      <c r="F1174" s="1" t="s">
        <v>12</v>
      </c>
      <c r="G1174" s="1" t="s">
        <v>13</v>
      </c>
      <c r="H1174" s="1" t="s">
        <v>51</v>
      </c>
      <c r="I1174" s="1" t="s">
        <v>81</v>
      </c>
      <c r="J1174" s="1" t="str">
        <f t="shared" si="36"/>
        <v>REFUNDED</v>
      </c>
      <c r="K1174" s="1" t="str">
        <f>_xlfn.XLOOKUP(C1174, 'Product Catalog'!$A:$A, 'Product Catalog'!$B:$B, "Unknown Product")</f>
        <v>Leather Handbag Model R69</v>
      </c>
      <c r="L1174" s="1" t="str">
        <f>_xlfn.XLOOKUP(C1174, 'Product Catalog'!$A:$A, 'Product Catalog'!$C:$C, "Unknown Category")</f>
        <v>Luxury Goods</v>
      </c>
      <c r="M1174" s="1">
        <f>_xlfn.XLOOKUP(C1174, 'Product Catalog'!$A:$A, 'Product Catalog'!$D:$D, 0)</f>
        <v>425.14</v>
      </c>
      <c r="N1174" s="1">
        <f t="shared" si="37"/>
        <v>1700.56</v>
      </c>
    </row>
    <row r="1175" spans="1:14" x14ac:dyDescent="0.3">
      <c r="A1175" s="1" t="s">
        <v>1650</v>
      </c>
      <c r="B1175" s="1" t="s">
        <v>451</v>
      </c>
      <c r="C1175" s="1" t="s">
        <v>77</v>
      </c>
      <c r="D1175" s="1">
        <v>1</v>
      </c>
      <c r="E1175" s="12">
        <v>45750.868750000001</v>
      </c>
      <c r="F1175" s="1" t="s">
        <v>39</v>
      </c>
      <c r="G1175" s="1" t="s">
        <v>50</v>
      </c>
      <c r="H1175" s="1" t="s">
        <v>41</v>
      </c>
      <c r="I1175" s="1" t="s">
        <v>42</v>
      </c>
      <c r="J1175" s="1" t="str">
        <f t="shared" si="36"/>
        <v>PENDING_REVIEW</v>
      </c>
      <c r="K1175" s="1" t="str">
        <f>_xlfn.XLOOKUP(C1175, 'Product Catalog'!$A:$A, 'Product Catalog'!$B:$B, "Unknown Product")</f>
        <v>Mug Model E108</v>
      </c>
      <c r="L1175" s="1" t="str">
        <f>_xlfn.XLOOKUP(C1175, 'Product Catalog'!$A:$A, 'Product Catalog'!$C:$C, "Unknown Category")</f>
        <v>Home Goods</v>
      </c>
      <c r="M1175" s="1">
        <f>_xlfn.XLOOKUP(C1175, 'Product Catalog'!$A:$A, 'Product Catalog'!$D:$D, 0)</f>
        <v>116.99</v>
      </c>
      <c r="N1175" s="1">
        <f t="shared" si="37"/>
        <v>116.99</v>
      </c>
    </row>
    <row r="1176" spans="1:14" x14ac:dyDescent="0.3">
      <c r="A1176" s="1" t="s">
        <v>1651</v>
      </c>
      <c r="B1176" s="1" t="s">
        <v>83</v>
      </c>
      <c r="C1176" s="1" t="s">
        <v>253</v>
      </c>
      <c r="D1176" s="1">
        <v>5</v>
      </c>
      <c r="E1176" s="12">
        <v>45852.509722222225</v>
      </c>
      <c r="F1176" s="1" t="s">
        <v>19</v>
      </c>
      <c r="G1176" s="1" t="s">
        <v>40</v>
      </c>
      <c r="H1176" s="1" t="s">
        <v>51</v>
      </c>
      <c r="I1176" s="1" t="s">
        <v>102</v>
      </c>
      <c r="J1176" s="1" t="str">
        <f t="shared" si="36"/>
        <v>disputed</v>
      </c>
      <c r="K1176" s="1" t="str">
        <f>_xlfn.XLOOKUP(C1176, 'Product Catalog'!$A:$A, 'Product Catalog'!$B:$B, "Unknown Product")</f>
        <v>Hoodie Model B79</v>
      </c>
      <c r="L1176" s="1" t="str">
        <f>_xlfn.XLOOKUP(C1176, 'Product Catalog'!$A:$A, 'Product Catalog'!$C:$C, "Unknown Category")</f>
        <v>Apparel</v>
      </c>
      <c r="M1176" s="1">
        <f>_xlfn.XLOOKUP(C1176, 'Product Catalog'!$A:$A, 'Product Catalog'!$D:$D, 0)</f>
        <v>106.9</v>
      </c>
      <c r="N1176" s="1">
        <f t="shared" si="37"/>
        <v>534.5</v>
      </c>
    </row>
    <row r="1177" spans="1:14" x14ac:dyDescent="0.3">
      <c r="A1177" s="1" t="s">
        <v>1652</v>
      </c>
      <c r="B1177" s="1" t="s">
        <v>116</v>
      </c>
      <c r="C1177" s="1" t="s">
        <v>393</v>
      </c>
      <c r="D1177" s="1">
        <v>1</v>
      </c>
      <c r="E1177" s="12">
        <v>45971.040972222225</v>
      </c>
      <c r="F1177" s="1" t="s">
        <v>185</v>
      </c>
      <c r="G1177" s="1" t="s">
        <v>31</v>
      </c>
      <c r="H1177" s="1" t="s">
        <v>41</v>
      </c>
      <c r="I1177" s="1" t="s">
        <v>15</v>
      </c>
      <c r="J1177" s="1" t="str">
        <f t="shared" si="36"/>
        <v>delivered</v>
      </c>
      <c r="K1177" s="1" t="str">
        <f>_xlfn.XLOOKUP(C1177, 'Product Catalog'!$A:$A, 'Product Catalog'!$B:$B, "Unknown Product")</f>
        <v>Mouse Model B1</v>
      </c>
      <c r="L1177" s="1" t="str">
        <f>_xlfn.XLOOKUP(C1177, 'Product Catalog'!$A:$A, 'Product Catalog'!$C:$C, "Unknown Category")</f>
        <v>Electronics</v>
      </c>
      <c r="M1177" s="1">
        <f>_xlfn.XLOOKUP(C1177, 'Product Catalog'!$A:$A, 'Product Catalog'!$D:$D, 0)</f>
        <v>189.26</v>
      </c>
      <c r="N1177" s="1">
        <f t="shared" si="37"/>
        <v>189.26</v>
      </c>
    </row>
    <row r="1178" spans="1:14" x14ac:dyDescent="0.3">
      <c r="A1178" s="1" t="s">
        <v>1653</v>
      </c>
      <c r="B1178" s="1" t="s">
        <v>1522</v>
      </c>
      <c r="C1178" s="1" t="s">
        <v>485</v>
      </c>
      <c r="D1178" s="1">
        <v>1</v>
      </c>
      <c r="E1178" s="12">
        <v>46008.185416666667</v>
      </c>
      <c r="F1178" s="1" t="s">
        <v>12</v>
      </c>
      <c r="G1178" s="1" t="s">
        <v>31</v>
      </c>
      <c r="H1178" s="1" t="s">
        <v>24</v>
      </c>
      <c r="I1178" s="1" t="s">
        <v>32</v>
      </c>
      <c r="J1178" s="1" t="str">
        <f t="shared" si="36"/>
        <v>SHIPPED</v>
      </c>
      <c r="K1178" s="1" t="str">
        <f>_xlfn.XLOOKUP(C1178, 'Product Catalog'!$A:$A, 'Product Catalog'!$B:$B, "Unknown Product")</f>
        <v>Smartwatch Model K140</v>
      </c>
      <c r="L1178" s="1" t="str">
        <f>_xlfn.XLOOKUP(C1178, 'Product Catalog'!$A:$A, 'Product Catalog'!$C:$C, "Unknown Category")</f>
        <v>Electronics</v>
      </c>
      <c r="M1178" s="1">
        <f>_xlfn.XLOOKUP(C1178, 'Product Catalog'!$A:$A, 'Product Catalog'!$D:$D, 0)</f>
        <v>221.95</v>
      </c>
      <c r="N1178" s="1">
        <f t="shared" si="37"/>
        <v>221.95</v>
      </c>
    </row>
    <row r="1179" spans="1:14" x14ac:dyDescent="0.3">
      <c r="A1179" s="1" t="s">
        <v>1654</v>
      </c>
      <c r="B1179" s="1" t="s">
        <v>648</v>
      </c>
      <c r="C1179" s="1" t="s">
        <v>314</v>
      </c>
      <c r="D1179" s="1">
        <v>1</v>
      </c>
      <c r="E1179" s="12">
        <v>45905.693749999999</v>
      </c>
      <c r="F1179" s="1" t="s">
        <v>12</v>
      </c>
      <c r="G1179" s="1" t="s">
        <v>40</v>
      </c>
      <c r="H1179" s="1" t="s">
        <v>41</v>
      </c>
      <c r="I1179" s="1" t="s">
        <v>42</v>
      </c>
      <c r="J1179" s="1" t="str">
        <f t="shared" si="36"/>
        <v>PENDING_REVIEW</v>
      </c>
      <c r="K1179" s="1" t="str">
        <f>_xlfn.XLOOKUP(C1179, 'Product Catalog'!$A:$A, 'Product Catalog'!$B:$B, "Unknown Product")</f>
        <v>Smartwatch Model A104</v>
      </c>
      <c r="L1179" s="1" t="str">
        <f>_xlfn.XLOOKUP(C1179, 'Product Catalog'!$A:$A, 'Product Catalog'!$C:$C, "Unknown Category")</f>
        <v>Electronics</v>
      </c>
      <c r="M1179" s="1">
        <f>_xlfn.XLOOKUP(C1179, 'Product Catalog'!$A:$A, 'Product Catalog'!$D:$D, 0)</f>
        <v>80.59</v>
      </c>
      <c r="N1179" s="1">
        <f t="shared" si="37"/>
        <v>80.59</v>
      </c>
    </row>
    <row r="1180" spans="1:14" x14ac:dyDescent="0.3">
      <c r="A1180" s="1" t="s">
        <v>1655</v>
      </c>
      <c r="B1180" s="1" t="s">
        <v>584</v>
      </c>
      <c r="C1180" s="1" t="s">
        <v>137</v>
      </c>
      <c r="D1180" s="1">
        <v>1</v>
      </c>
      <c r="E1180" s="12">
        <v>45715.584722222222</v>
      </c>
      <c r="F1180" s="1" t="s">
        <v>12</v>
      </c>
      <c r="G1180" s="1" t="s">
        <v>20</v>
      </c>
      <c r="H1180" s="1" t="s">
        <v>24</v>
      </c>
      <c r="I1180" s="1" t="s">
        <v>15</v>
      </c>
      <c r="J1180" s="1" t="str">
        <f t="shared" si="36"/>
        <v>delivered</v>
      </c>
      <c r="K1180" s="1" t="str">
        <f>_xlfn.XLOOKUP(C1180, 'Product Catalog'!$A:$A, 'Product Catalog'!$B:$B, "Unknown Product")</f>
        <v>VPN 6-Month Pass Model M90</v>
      </c>
      <c r="L1180" s="1" t="str">
        <f>_xlfn.XLOOKUP(C1180, 'Product Catalog'!$A:$A, 'Product Catalog'!$C:$C, "Unknown Category")</f>
        <v>Digital Services</v>
      </c>
      <c r="M1180" s="1">
        <f>_xlfn.XLOOKUP(C1180, 'Product Catalog'!$A:$A, 'Product Catalog'!$D:$D, 0)</f>
        <v>5.91</v>
      </c>
      <c r="N1180" s="1">
        <f t="shared" si="37"/>
        <v>5.91</v>
      </c>
    </row>
    <row r="1181" spans="1:14" x14ac:dyDescent="0.3">
      <c r="A1181" s="1" t="s">
        <v>1656</v>
      </c>
      <c r="B1181" s="1" t="s">
        <v>972</v>
      </c>
      <c r="C1181" s="1" t="s">
        <v>396</v>
      </c>
      <c r="D1181" s="1">
        <v>1</v>
      </c>
      <c r="E1181" s="12">
        <v>45883.06527777778</v>
      </c>
      <c r="F1181" s="1" t="s">
        <v>12</v>
      </c>
      <c r="G1181" s="1" t="s">
        <v>20</v>
      </c>
      <c r="H1181" s="1" t="s">
        <v>41</v>
      </c>
      <c r="I1181" s="1" t="s">
        <v>32</v>
      </c>
      <c r="J1181" s="1" t="str">
        <f t="shared" si="36"/>
        <v>SHIPPED</v>
      </c>
      <c r="K1181" s="1" t="str">
        <f>_xlfn.XLOOKUP(C1181, 'Product Catalog'!$A:$A, 'Product Catalog'!$B:$B, "Unknown Product")</f>
        <v>Cap Model O14</v>
      </c>
      <c r="L1181" s="1" t="str">
        <f>_xlfn.XLOOKUP(C1181, 'Product Catalog'!$A:$A, 'Product Catalog'!$C:$C, "Unknown Category")</f>
        <v>Apparel</v>
      </c>
      <c r="M1181" s="1">
        <f>_xlfn.XLOOKUP(C1181, 'Product Catalog'!$A:$A, 'Product Catalog'!$D:$D, 0)</f>
        <v>41.83</v>
      </c>
      <c r="N1181" s="1">
        <f t="shared" si="37"/>
        <v>41.83</v>
      </c>
    </row>
    <row r="1182" spans="1:14" x14ac:dyDescent="0.3">
      <c r="A1182" s="1" t="s">
        <v>1657</v>
      </c>
      <c r="B1182" s="1" t="s">
        <v>950</v>
      </c>
      <c r="C1182" s="1" t="s">
        <v>644</v>
      </c>
      <c r="D1182" s="1">
        <v>2</v>
      </c>
      <c r="E1182" s="12">
        <v>45690.371527777781</v>
      </c>
      <c r="F1182" s="1" t="s">
        <v>12</v>
      </c>
      <c r="G1182" s="1" t="s">
        <v>13</v>
      </c>
      <c r="H1182" s="1" t="s">
        <v>41</v>
      </c>
      <c r="I1182" s="1" t="s">
        <v>15</v>
      </c>
      <c r="J1182" s="1" t="str">
        <f t="shared" si="36"/>
        <v>delivered</v>
      </c>
      <c r="K1182" s="1" t="str">
        <f>_xlfn.XLOOKUP(C1182, 'Product Catalog'!$A:$A, 'Product Catalog'!$B:$B, "Unknown Product")</f>
        <v>Socks Model T71</v>
      </c>
      <c r="L1182" s="1" t="str">
        <f>_xlfn.XLOOKUP(C1182, 'Product Catalog'!$A:$A, 'Product Catalog'!$C:$C, "Unknown Category")</f>
        <v>Apparel</v>
      </c>
      <c r="M1182" s="1">
        <f>_xlfn.XLOOKUP(C1182, 'Product Catalog'!$A:$A, 'Product Catalog'!$D:$D, 0)</f>
        <v>23.19</v>
      </c>
      <c r="N1182" s="1">
        <f t="shared" si="37"/>
        <v>46.38</v>
      </c>
    </row>
    <row r="1183" spans="1:14" x14ac:dyDescent="0.3">
      <c r="A1183" s="1" t="s">
        <v>1658</v>
      </c>
      <c r="B1183" s="1" t="s">
        <v>454</v>
      </c>
      <c r="C1183" s="1" t="s">
        <v>108</v>
      </c>
      <c r="D1183" s="1">
        <v>2</v>
      </c>
      <c r="E1183" s="12">
        <v>45993.446527777778</v>
      </c>
      <c r="F1183" s="1" t="s">
        <v>12</v>
      </c>
      <c r="G1183" s="1" t="s">
        <v>20</v>
      </c>
      <c r="H1183" s="1" t="s">
        <v>14</v>
      </c>
      <c r="I1183" s="1" t="s">
        <v>32</v>
      </c>
      <c r="J1183" s="1" t="str">
        <f t="shared" si="36"/>
        <v>SHIPPED</v>
      </c>
      <c r="K1183" s="1" t="str">
        <f>_xlfn.XLOOKUP(C1183, 'Product Catalog'!$A:$A, 'Product Catalog'!$B:$B, "Unknown Product")</f>
        <v>Smartwatch Model H7</v>
      </c>
      <c r="L1183" s="1" t="str">
        <f>_xlfn.XLOOKUP(C1183, 'Product Catalog'!$A:$A, 'Product Catalog'!$C:$C, "Unknown Category")</f>
        <v>Electronics</v>
      </c>
      <c r="M1183" s="1">
        <f>_xlfn.XLOOKUP(C1183, 'Product Catalog'!$A:$A, 'Product Catalog'!$D:$D, 0)</f>
        <v>204.37</v>
      </c>
      <c r="N1183" s="1">
        <f t="shared" si="37"/>
        <v>408.74</v>
      </c>
    </row>
    <row r="1184" spans="1:14" x14ac:dyDescent="0.3">
      <c r="A1184" s="1" t="s">
        <v>1659</v>
      </c>
      <c r="B1184" s="1" t="s">
        <v>939</v>
      </c>
      <c r="C1184" s="1" t="s">
        <v>253</v>
      </c>
      <c r="D1184" s="1">
        <v>1</v>
      </c>
      <c r="E1184" s="12">
        <v>45664.963888888888</v>
      </c>
      <c r="F1184" s="1" t="s">
        <v>39</v>
      </c>
      <c r="G1184" s="1" t="s">
        <v>40</v>
      </c>
      <c r="H1184" s="1" t="s">
        <v>41</v>
      </c>
      <c r="I1184" s="1" t="s">
        <v>42</v>
      </c>
      <c r="J1184" s="1" t="str">
        <f t="shared" si="36"/>
        <v>PENDING_REVIEW</v>
      </c>
      <c r="K1184" s="1" t="str">
        <f>_xlfn.XLOOKUP(C1184, 'Product Catalog'!$A:$A, 'Product Catalog'!$B:$B, "Unknown Product")</f>
        <v>Hoodie Model B79</v>
      </c>
      <c r="L1184" s="1" t="str">
        <f>_xlfn.XLOOKUP(C1184, 'Product Catalog'!$A:$A, 'Product Catalog'!$C:$C, "Unknown Category")</f>
        <v>Apparel</v>
      </c>
      <c r="M1184" s="1">
        <f>_xlfn.XLOOKUP(C1184, 'Product Catalog'!$A:$A, 'Product Catalog'!$D:$D, 0)</f>
        <v>106.9</v>
      </c>
      <c r="N1184" s="1">
        <f t="shared" si="37"/>
        <v>106.9</v>
      </c>
    </row>
    <row r="1185" spans="1:14" x14ac:dyDescent="0.3">
      <c r="A1185" s="1" t="s">
        <v>1660</v>
      </c>
      <c r="B1185" s="1" t="s">
        <v>1661</v>
      </c>
      <c r="C1185" s="1" t="s">
        <v>181</v>
      </c>
      <c r="D1185" s="1">
        <v>1</v>
      </c>
      <c r="E1185" s="12">
        <v>45926.819444444445</v>
      </c>
      <c r="F1185" s="1" t="s">
        <v>19</v>
      </c>
      <c r="G1185" s="1" t="s">
        <v>46</v>
      </c>
      <c r="H1185" s="1" t="s">
        <v>14</v>
      </c>
      <c r="I1185" s="1" t="s">
        <v>15</v>
      </c>
      <c r="J1185" s="1" t="str">
        <f t="shared" si="36"/>
        <v>delivered</v>
      </c>
      <c r="K1185" s="1" t="str">
        <f>_xlfn.XLOOKUP(C1185, 'Product Catalog'!$A:$A, 'Product Catalog'!$B:$B, "Unknown Product")</f>
        <v>Premium Stream 1M Model V99</v>
      </c>
      <c r="L1185" s="1" t="str">
        <f>_xlfn.XLOOKUP(C1185, 'Product Catalog'!$A:$A, 'Product Catalog'!$C:$C, "Unknown Category")</f>
        <v>Digital Services</v>
      </c>
      <c r="M1185" s="1">
        <f>_xlfn.XLOOKUP(C1185, 'Product Catalog'!$A:$A, 'Product Catalog'!$D:$D, 0)</f>
        <v>30.08</v>
      </c>
      <c r="N1185" s="1">
        <f t="shared" si="37"/>
        <v>30.08</v>
      </c>
    </row>
    <row r="1186" spans="1:14" x14ac:dyDescent="0.3">
      <c r="A1186" s="1" t="s">
        <v>1662</v>
      </c>
      <c r="B1186" s="1" t="s">
        <v>719</v>
      </c>
      <c r="C1186" s="1" t="s">
        <v>782</v>
      </c>
      <c r="D1186" s="1">
        <v>1</v>
      </c>
      <c r="E1186" s="12">
        <v>45947.318055555559</v>
      </c>
      <c r="F1186" s="1" t="s">
        <v>19</v>
      </c>
      <c r="G1186" s="1" t="s">
        <v>46</v>
      </c>
      <c r="H1186" s="1" t="s">
        <v>41</v>
      </c>
      <c r="I1186" s="1" t="s">
        <v>15</v>
      </c>
      <c r="J1186" s="1" t="str">
        <f t="shared" si="36"/>
        <v>delivered</v>
      </c>
      <c r="K1186" s="1" t="str">
        <f>_xlfn.XLOOKUP(C1186, 'Product Catalog'!$A:$A, 'Product Catalog'!$B:$B, "Unknown Product")</f>
        <v>Headphones Model V47</v>
      </c>
      <c r="L1186" s="1" t="str">
        <f>_xlfn.XLOOKUP(C1186, 'Product Catalog'!$A:$A, 'Product Catalog'!$C:$C, "Unknown Category")</f>
        <v>Electronics</v>
      </c>
      <c r="M1186" s="1">
        <f>_xlfn.XLOOKUP(C1186, 'Product Catalog'!$A:$A, 'Product Catalog'!$D:$D, 0)</f>
        <v>19.940000000000001</v>
      </c>
      <c r="N1186" s="1">
        <f t="shared" si="37"/>
        <v>19.940000000000001</v>
      </c>
    </row>
    <row r="1187" spans="1:14" x14ac:dyDescent="0.3">
      <c r="A1187" s="1" t="s">
        <v>1663</v>
      </c>
      <c r="B1187" s="1" t="s">
        <v>1391</v>
      </c>
      <c r="C1187" s="1" t="s">
        <v>112</v>
      </c>
      <c r="D1187" s="1">
        <v>5</v>
      </c>
      <c r="E1187" s="12">
        <v>46000.480555555558</v>
      </c>
      <c r="F1187" s="1" t="s">
        <v>170</v>
      </c>
      <c r="G1187" s="1" t="s">
        <v>40</v>
      </c>
      <c r="H1187" s="1" t="s">
        <v>41</v>
      </c>
      <c r="I1187" s="1" t="s">
        <v>81</v>
      </c>
      <c r="J1187" s="1" t="str">
        <f t="shared" si="36"/>
        <v>REFUNDED</v>
      </c>
      <c r="K1187" s="1" t="str">
        <f>_xlfn.XLOOKUP(C1187, 'Product Catalog'!$A:$A, 'Product Catalog'!$B:$B, "Unknown Product")</f>
        <v>Mouse Model J87</v>
      </c>
      <c r="L1187" s="1" t="str">
        <f>_xlfn.XLOOKUP(C1187, 'Product Catalog'!$A:$A, 'Product Catalog'!$C:$C, "Unknown Category")</f>
        <v>Electronics</v>
      </c>
      <c r="M1187" s="1">
        <f>_xlfn.XLOOKUP(C1187, 'Product Catalog'!$A:$A, 'Product Catalog'!$D:$D, 0)</f>
        <v>164.06</v>
      </c>
      <c r="N1187" s="1">
        <f t="shared" si="37"/>
        <v>820.3</v>
      </c>
    </row>
    <row r="1188" spans="1:14" x14ac:dyDescent="0.3">
      <c r="A1188" s="1" t="s">
        <v>1664</v>
      </c>
      <c r="B1188" s="1" t="s">
        <v>877</v>
      </c>
      <c r="C1188" s="1" t="s">
        <v>782</v>
      </c>
      <c r="D1188" s="1">
        <v>2</v>
      </c>
      <c r="E1188" s="12">
        <v>45923.743750000001</v>
      </c>
      <c r="F1188" s="1" t="s">
        <v>12</v>
      </c>
      <c r="G1188" s="1" t="s">
        <v>13</v>
      </c>
      <c r="H1188" s="1" t="s">
        <v>41</v>
      </c>
      <c r="I1188" s="1" t="s">
        <v>15</v>
      </c>
      <c r="J1188" s="1" t="str">
        <f t="shared" si="36"/>
        <v>delivered</v>
      </c>
      <c r="K1188" s="1" t="str">
        <f>_xlfn.XLOOKUP(C1188, 'Product Catalog'!$A:$A, 'Product Catalog'!$B:$B, "Unknown Product")</f>
        <v>Headphones Model V47</v>
      </c>
      <c r="L1188" s="1" t="str">
        <f>_xlfn.XLOOKUP(C1188, 'Product Catalog'!$A:$A, 'Product Catalog'!$C:$C, "Unknown Category")</f>
        <v>Electronics</v>
      </c>
      <c r="M1188" s="1">
        <f>_xlfn.XLOOKUP(C1188, 'Product Catalog'!$A:$A, 'Product Catalog'!$D:$D, 0)</f>
        <v>19.940000000000001</v>
      </c>
      <c r="N1188" s="1">
        <f t="shared" si="37"/>
        <v>39.880000000000003</v>
      </c>
    </row>
    <row r="1189" spans="1:14" x14ac:dyDescent="0.3">
      <c r="A1189" s="1" t="s">
        <v>1665</v>
      </c>
      <c r="B1189" s="1" t="s">
        <v>292</v>
      </c>
      <c r="C1189" s="1" t="s">
        <v>721</v>
      </c>
      <c r="D1189" s="1">
        <v>1</v>
      </c>
      <c r="E1189" s="12">
        <v>46010.995833333334</v>
      </c>
      <c r="F1189" s="1" t="s">
        <v>19</v>
      </c>
      <c r="G1189" s="1" t="s">
        <v>13</v>
      </c>
      <c r="H1189" s="1" t="s">
        <v>41</v>
      </c>
      <c r="I1189" s="1" t="s">
        <v>15</v>
      </c>
      <c r="J1189" s="1" t="str">
        <f t="shared" si="36"/>
        <v>delivered</v>
      </c>
      <c r="K1189" s="1" t="str">
        <f>_xlfn.XLOOKUP(C1189, 'Product Catalog'!$A:$A, 'Product Catalog'!$B:$B, "Unknown Product")</f>
        <v>Hoodie Model E134</v>
      </c>
      <c r="L1189" s="1" t="str">
        <f>_xlfn.XLOOKUP(C1189, 'Product Catalog'!$A:$A, 'Product Catalog'!$C:$C, "Unknown Category")</f>
        <v>Apparel</v>
      </c>
      <c r="M1189" s="1">
        <f>_xlfn.XLOOKUP(C1189, 'Product Catalog'!$A:$A, 'Product Catalog'!$D:$D, 0)</f>
        <v>58.39</v>
      </c>
      <c r="N1189" s="1">
        <f t="shared" si="37"/>
        <v>58.39</v>
      </c>
    </row>
    <row r="1190" spans="1:14" x14ac:dyDescent="0.3">
      <c r="A1190" s="1" t="s">
        <v>1666</v>
      </c>
      <c r="B1190" s="1" t="s">
        <v>64</v>
      </c>
      <c r="C1190" s="1" t="s">
        <v>633</v>
      </c>
      <c r="D1190" s="1">
        <v>1</v>
      </c>
      <c r="E1190" s="12">
        <v>45974.135416666664</v>
      </c>
      <c r="F1190" s="1" t="s">
        <v>19</v>
      </c>
      <c r="G1190" s="1" t="s">
        <v>109</v>
      </c>
      <c r="H1190" s="1" t="s">
        <v>14</v>
      </c>
      <c r="I1190" s="1" t="s">
        <v>15</v>
      </c>
      <c r="J1190" s="1" t="str">
        <f t="shared" si="36"/>
        <v>delivered</v>
      </c>
      <c r="K1190" s="1" t="str">
        <f>_xlfn.XLOOKUP(C1190, 'Product Catalog'!$A:$A, 'Product Catalog'!$B:$B, "Unknown Product")</f>
        <v>Keyboard Model X49</v>
      </c>
      <c r="L1190" s="1" t="str">
        <f>_xlfn.XLOOKUP(C1190, 'Product Catalog'!$A:$A, 'Product Catalog'!$C:$C, "Unknown Category")</f>
        <v>Electronics</v>
      </c>
      <c r="M1190" s="1">
        <f>_xlfn.XLOOKUP(C1190, 'Product Catalog'!$A:$A, 'Product Catalog'!$D:$D, 0)</f>
        <v>30.84</v>
      </c>
      <c r="N1190" s="1">
        <f t="shared" si="37"/>
        <v>30.84</v>
      </c>
    </row>
    <row r="1191" spans="1:14" x14ac:dyDescent="0.3">
      <c r="A1191" s="1" t="s">
        <v>1667</v>
      </c>
      <c r="B1191" s="1" t="s">
        <v>662</v>
      </c>
      <c r="C1191" s="1" t="s">
        <v>71</v>
      </c>
      <c r="D1191" s="1">
        <v>2</v>
      </c>
      <c r="E1191" s="12">
        <v>45879.940972222219</v>
      </c>
      <c r="F1191" s="1" t="s">
        <v>19</v>
      </c>
      <c r="G1191" s="1" t="s">
        <v>31</v>
      </c>
      <c r="H1191" s="1" t="s">
        <v>14</v>
      </c>
      <c r="I1191" s="1" t="s">
        <v>15</v>
      </c>
      <c r="J1191" s="1" t="str">
        <f t="shared" si="36"/>
        <v>delivered</v>
      </c>
      <c r="K1191" s="1" t="str">
        <f>_xlfn.XLOOKUP(C1191, 'Product Catalog'!$A:$A, 'Product Catalog'!$B:$B, "Unknown Product")</f>
        <v>VPN 6-Month Pass Model D29</v>
      </c>
      <c r="L1191" s="1" t="str">
        <f>_xlfn.XLOOKUP(C1191, 'Product Catalog'!$A:$A, 'Product Catalog'!$C:$C, "Unknown Category")</f>
        <v>Digital Services</v>
      </c>
      <c r="M1191" s="1">
        <f>_xlfn.XLOOKUP(C1191, 'Product Catalog'!$A:$A, 'Product Catalog'!$D:$D, 0)</f>
        <v>10.97</v>
      </c>
      <c r="N1191" s="1">
        <f t="shared" si="37"/>
        <v>21.94</v>
      </c>
    </row>
    <row r="1192" spans="1:14" x14ac:dyDescent="0.3">
      <c r="A1192" s="1" t="s">
        <v>1668</v>
      </c>
      <c r="B1192" s="1" t="s">
        <v>702</v>
      </c>
      <c r="C1192" s="1" t="s">
        <v>334</v>
      </c>
      <c r="D1192" s="1">
        <v>5</v>
      </c>
      <c r="E1192" s="12">
        <v>45785.68472222222</v>
      </c>
      <c r="F1192" s="1" t="s">
        <v>39</v>
      </c>
      <c r="G1192" s="1" t="s">
        <v>50</v>
      </c>
      <c r="H1192" s="1" t="s">
        <v>55</v>
      </c>
      <c r="I1192" s="1" t="s">
        <v>56</v>
      </c>
      <c r="J1192" s="1" t="str">
        <f t="shared" si="36"/>
        <v>cancelled</v>
      </c>
      <c r="K1192" s="1" t="str">
        <f>_xlfn.XLOOKUP(C1192, 'Product Catalog'!$A:$A, 'Product Catalog'!$B:$B, "Unknown Product")</f>
        <v>Jeans Model Q42</v>
      </c>
      <c r="L1192" s="1" t="str">
        <f>_xlfn.XLOOKUP(C1192, 'Product Catalog'!$A:$A, 'Product Catalog'!$C:$C, "Unknown Category")</f>
        <v>Apparel</v>
      </c>
      <c r="M1192" s="1">
        <f>_xlfn.XLOOKUP(C1192, 'Product Catalog'!$A:$A, 'Product Catalog'!$D:$D, 0)</f>
        <v>82.57</v>
      </c>
      <c r="N1192" s="1">
        <f t="shared" si="37"/>
        <v>412.84999999999997</v>
      </c>
    </row>
    <row r="1193" spans="1:14" x14ac:dyDescent="0.3">
      <c r="A1193" s="1" t="s">
        <v>1669</v>
      </c>
      <c r="B1193" s="1" t="s">
        <v>437</v>
      </c>
      <c r="C1193" s="1" t="s">
        <v>316</v>
      </c>
      <c r="D1193" s="1">
        <v>4</v>
      </c>
      <c r="E1193" s="12">
        <v>45835.943749999999</v>
      </c>
      <c r="F1193" s="1" t="s">
        <v>12</v>
      </c>
      <c r="G1193" s="1" t="s">
        <v>46</v>
      </c>
      <c r="H1193" s="1" t="s">
        <v>55</v>
      </c>
      <c r="I1193" s="1" t="s">
        <v>56</v>
      </c>
      <c r="J1193" s="1" t="str">
        <f t="shared" si="36"/>
        <v>cancelled</v>
      </c>
      <c r="K1193" s="1" t="str">
        <f>_xlfn.XLOOKUP(C1193, 'Product Catalog'!$A:$A, 'Product Catalog'!$B:$B, "Unknown Product")</f>
        <v>Leather Handbag Model W48</v>
      </c>
      <c r="L1193" s="1" t="str">
        <f>_xlfn.XLOOKUP(C1193, 'Product Catalog'!$A:$A, 'Product Catalog'!$C:$C, "Unknown Category")</f>
        <v>Luxury Goods</v>
      </c>
      <c r="M1193" s="1">
        <f>_xlfn.XLOOKUP(C1193, 'Product Catalog'!$A:$A, 'Product Catalog'!$D:$D, 0)</f>
        <v>315.82</v>
      </c>
      <c r="N1193" s="1">
        <f t="shared" si="37"/>
        <v>1263.28</v>
      </c>
    </row>
    <row r="1194" spans="1:14" x14ac:dyDescent="0.3">
      <c r="A1194" s="1" t="s">
        <v>1670</v>
      </c>
      <c r="B1194" s="1" t="s">
        <v>1054</v>
      </c>
      <c r="C1194" s="1" t="s">
        <v>367</v>
      </c>
      <c r="D1194" s="1">
        <v>1</v>
      </c>
      <c r="E1194" s="12">
        <v>46004.911805555559</v>
      </c>
      <c r="F1194" s="1" t="s">
        <v>39</v>
      </c>
      <c r="G1194" s="1" t="s">
        <v>40</v>
      </c>
      <c r="H1194" s="1" t="s">
        <v>51</v>
      </c>
      <c r="I1194" s="1" t="s">
        <v>56</v>
      </c>
      <c r="J1194" s="1" t="str">
        <f t="shared" si="36"/>
        <v>cancelled</v>
      </c>
      <c r="K1194" s="1" t="str">
        <f>_xlfn.XLOOKUP(C1194, 'Product Catalog'!$A:$A, 'Product Catalog'!$B:$B, "Unknown Product")</f>
        <v>Cable Model P67</v>
      </c>
      <c r="L1194" s="1" t="str">
        <f>_xlfn.XLOOKUP(C1194, 'Product Catalog'!$A:$A, 'Product Catalog'!$C:$C, "Unknown Category")</f>
        <v>Electronics</v>
      </c>
      <c r="M1194" s="1">
        <f>_xlfn.XLOOKUP(C1194, 'Product Catalog'!$A:$A, 'Product Catalog'!$D:$D, 0)</f>
        <v>187.9</v>
      </c>
      <c r="N1194" s="1">
        <f t="shared" si="37"/>
        <v>187.9</v>
      </c>
    </row>
    <row r="1195" spans="1:14" x14ac:dyDescent="0.3">
      <c r="A1195" s="1" t="s">
        <v>1671</v>
      </c>
      <c r="B1195" s="1" t="s">
        <v>491</v>
      </c>
      <c r="C1195" s="1" t="s">
        <v>80</v>
      </c>
      <c r="D1195" s="1">
        <v>4</v>
      </c>
      <c r="E1195" s="12">
        <v>45855.211111111108</v>
      </c>
      <c r="F1195" s="1" t="s">
        <v>19</v>
      </c>
      <c r="G1195" s="1" t="s">
        <v>31</v>
      </c>
      <c r="H1195" s="1" t="s">
        <v>55</v>
      </c>
      <c r="I1195" s="1" t="s">
        <v>102</v>
      </c>
      <c r="J1195" s="1" t="str">
        <f t="shared" si="36"/>
        <v>disputed</v>
      </c>
      <c r="K1195" s="1" t="str">
        <f>_xlfn.XLOOKUP(C1195, 'Product Catalog'!$A:$A, 'Product Catalog'!$B:$B, "Unknown Product")</f>
        <v>Leather Handbag Model S18</v>
      </c>
      <c r="L1195" s="1" t="str">
        <f>_xlfn.XLOOKUP(C1195, 'Product Catalog'!$A:$A, 'Product Catalog'!$C:$C, "Unknown Category")</f>
        <v>Luxury Goods</v>
      </c>
      <c r="M1195" s="1">
        <f>_xlfn.XLOOKUP(C1195, 'Product Catalog'!$A:$A, 'Product Catalog'!$D:$D, 0)</f>
        <v>1475.11</v>
      </c>
      <c r="N1195" s="1">
        <f t="shared" si="37"/>
        <v>5900.44</v>
      </c>
    </row>
    <row r="1196" spans="1:14" x14ac:dyDescent="0.3">
      <c r="A1196" s="1" t="s">
        <v>1672</v>
      </c>
      <c r="B1196" s="1" t="s">
        <v>795</v>
      </c>
      <c r="C1196" s="1" t="s">
        <v>216</v>
      </c>
      <c r="D1196" s="1">
        <v>1</v>
      </c>
      <c r="E1196" s="12">
        <v>45943.871527777781</v>
      </c>
      <c r="F1196" s="1" t="s">
        <v>39</v>
      </c>
      <c r="G1196" s="1" t="s">
        <v>46</v>
      </c>
      <c r="H1196" s="1" t="s">
        <v>55</v>
      </c>
      <c r="I1196" s="1" t="s">
        <v>56</v>
      </c>
      <c r="J1196" s="1" t="str">
        <f t="shared" si="36"/>
        <v>cancelled</v>
      </c>
      <c r="K1196" s="1" t="str">
        <f>_xlfn.XLOOKUP(C1196, 'Product Catalog'!$A:$A, 'Product Catalog'!$B:$B, "Unknown Product")</f>
        <v>Premium Perfume Model X23</v>
      </c>
      <c r="L1196" s="1" t="str">
        <f>_xlfn.XLOOKUP(C1196, 'Product Catalog'!$A:$A, 'Product Catalog'!$C:$C, "Unknown Category")</f>
        <v>Luxury Goods</v>
      </c>
      <c r="M1196" s="1">
        <f>_xlfn.XLOOKUP(C1196, 'Product Catalog'!$A:$A, 'Product Catalog'!$D:$D, 0)</f>
        <v>767.78</v>
      </c>
      <c r="N1196" s="1">
        <f t="shared" si="37"/>
        <v>767.78</v>
      </c>
    </row>
    <row r="1197" spans="1:14" x14ac:dyDescent="0.3">
      <c r="A1197" s="1" t="s">
        <v>1673</v>
      </c>
      <c r="B1197" s="1" t="s">
        <v>223</v>
      </c>
      <c r="C1197" s="1" t="s">
        <v>334</v>
      </c>
      <c r="D1197" s="1">
        <v>1</v>
      </c>
      <c r="E1197" s="12">
        <v>45685.015972222223</v>
      </c>
      <c r="F1197" s="1" t="s">
        <v>19</v>
      </c>
      <c r="G1197" s="1" t="s">
        <v>46</v>
      </c>
      <c r="H1197" s="1" t="s">
        <v>41</v>
      </c>
      <c r="I1197" s="1" t="s">
        <v>15</v>
      </c>
      <c r="J1197" s="1" t="str">
        <f t="shared" si="36"/>
        <v>delivered</v>
      </c>
      <c r="K1197" s="1" t="str">
        <f>_xlfn.XLOOKUP(C1197, 'Product Catalog'!$A:$A, 'Product Catalog'!$B:$B, "Unknown Product")</f>
        <v>Jeans Model Q42</v>
      </c>
      <c r="L1197" s="1" t="str">
        <f>_xlfn.XLOOKUP(C1197, 'Product Catalog'!$A:$A, 'Product Catalog'!$C:$C, "Unknown Category")</f>
        <v>Apparel</v>
      </c>
      <c r="M1197" s="1">
        <f>_xlfn.XLOOKUP(C1197, 'Product Catalog'!$A:$A, 'Product Catalog'!$D:$D, 0)</f>
        <v>82.57</v>
      </c>
      <c r="N1197" s="1">
        <f t="shared" si="37"/>
        <v>82.57</v>
      </c>
    </row>
    <row r="1198" spans="1:14" x14ac:dyDescent="0.3">
      <c r="A1198" s="1" t="s">
        <v>1674</v>
      </c>
      <c r="B1198" s="1" t="s">
        <v>1474</v>
      </c>
      <c r="C1198" s="1" t="s">
        <v>143</v>
      </c>
      <c r="D1198" s="1">
        <v>5</v>
      </c>
      <c r="E1198" s="12">
        <v>45987.222916666666</v>
      </c>
      <c r="F1198" s="1" t="s">
        <v>12</v>
      </c>
      <c r="G1198" s="1" t="s">
        <v>109</v>
      </c>
      <c r="H1198" s="1" t="s">
        <v>41</v>
      </c>
      <c r="I1198" s="1" t="s">
        <v>102</v>
      </c>
      <c r="J1198" s="1" t="str">
        <f t="shared" si="36"/>
        <v>disputed</v>
      </c>
      <c r="K1198" s="1" t="str">
        <f>_xlfn.XLOOKUP(C1198, 'Product Catalog'!$A:$A, 'Product Catalog'!$B:$B, "Unknown Product")</f>
        <v>Designer Watch Model D3</v>
      </c>
      <c r="L1198" s="1" t="str">
        <f>_xlfn.XLOOKUP(C1198, 'Product Catalog'!$A:$A, 'Product Catalog'!$C:$C, "Unknown Category")</f>
        <v>Luxury Goods</v>
      </c>
      <c r="M1198" s="1">
        <f>_xlfn.XLOOKUP(C1198, 'Product Catalog'!$A:$A, 'Product Catalog'!$D:$D, 0)</f>
        <v>1599.08</v>
      </c>
      <c r="N1198" s="1">
        <f t="shared" si="37"/>
        <v>7995.4</v>
      </c>
    </row>
    <row r="1199" spans="1:14" x14ac:dyDescent="0.3">
      <c r="A1199" s="1" t="s">
        <v>1675</v>
      </c>
      <c r="B1199" s="1" t="s">
        <v>153</v>
      </c>
      <c r="C1199" s="1" t="s">
        <v>592</v>
      </c>
      <c r="D1199" s="1">
        <v>3</v>
      </c>
      <c r="E1199" s="12">
        <v>45916.667361111111</v>
      </c>
      <c r="F1199" s="1" t="s">
        <v>12</v>
      </c>
      <c r="G1199" s="1" t="s">
        <v>46</v>
      </c>
      <c r="H1199" s="1" t="s">
        <v>14</v>
      </c>
      <c r="I1199" s="1" t="s">
        <v>15</v>
      </c>
      <c r="J1199" s="1" t="str">
        <f t="shared" si="36"/>
        <v>delivered</v>
      </c>
      <c r="K1199" s="1" t="str">
        <f>_xlfn.XLOOKUP(C1199, 'Product Catalog'!$A:$A, 'Product Catalog'!$B:$B, "Unknown Product")</f>
        <v>Blender Model Q94</v>
      </c>
      <c r="L1199" s="1" t="str">
        <f>_xlfn.XLOOKUP(C1199, 'Product Catalog'!$A:$A, 'Product Catalog'!$C:$C, "Unknown Category")</f>
        <v>Home Goods</v>
      </c>
      <c r="M1199" s="1">
        <f>_xlfn.XLOOKUP(C1199, 'Product Catalog'!$A:$A, 'Product Catalog'!$D:$D, 0)</f>
        <v>129.13</v>
      </c>
      <c r="N1199" s="1">
        <f t="shared" si="37"/>
        <v>387.39</v>
      </c>
    </row>
    <row r="1200" spans="1:14" x14ac:dyDescent="0.3">
      <c r="A1200" s="1" t="s">
        <v>1676</v>
      </c>
      <c r="B1200" s="1" t="s">
        <v>432</v>
      </c>
      <c r="C1200" s="1" t="s">
        <v>23</v>
      </c>
      <c r="D1200" s="1">
        <v>5</v>
      </c>
      <c r="E1200" s="12">
        <v>45911.234722222223</v>
      </c>
      <c r="F1200" s="1" t="s">
        <v>19</v>
      </c>
      <c r="G1200" s="1" t="s">
        <v>40</v>
      </c>
      <c r="H1200" s="1" t="s">
        <v>41</v>
      </c>
      <c r="I1200" s="1" t="s">
        <v>81</v>
      </c>
      <c r="J1200" s="1" t="str">
        <f t="shared" si="36"/>
        <v>REFUNDED</v>
      </c>
      <c r="K1200" s="1" t="str">
        <f>_xlfn.XLOOKUP(C1200, 'Product Catalog'!$A:$A, 'Product Catalog'!$B:$B, "Unknown Product")</f>
        <v>Mouse Model A78</v>
      </c>
      <c r="L1200" s="1" t="str">
        <f>_xlfn.XLOOKUP(C1200, 'Product Catalog'!$A:$A, 'Product Catalog'!$C:$C, "Unknown Category")</f>
        <v>Electronics</v>
      </c>
      <c r="M1200" s="1">
        <f>_xlfn.XLOOKUP(C1200, 'Product Catalog'!$A:$A, 'Product Catalog'!$D:$D, 0)</f>
        <v>141.34</v>
      </c>
      <c r="N1200" s="1">
        <f t="shared" si="37"/>
        <v>706.7</v>
      </c>
    </row>
    <row r="1201" spans="1:14" x14ac:dyDescent="0.3">
      <c r="A1201" s="1" t="s">
        <v>1677</v>
      </c>
      <c r="B1201" s="1" t="s">
        <v>328</v>
      </c>
      <c r="C1201" s="1" t="s">
        <v>206</v>
      </c>
      <c r="D1201" s="1">
        <v>5</v>
      </c>
      <c r="E1201" s="12">
        <v>45696.698611111111</v>
      </c>
      <c r="F1201" s="1" t="s">
        <v>39</v>
      </c>
      <c r="G1201" s="1" t="s">
        <v>50</v>
      </c>
      <c r="H1201" s="1" t="s">
        <v>55</v>
      </c>
      <c r="I1201" s="1" t="s">
        <v>81</v>
      </c>
      <c r="J1201" s="1" t="str">
        <f t="shared" si="36"/>
        <v>REFUNDED</v>
      </c>
      <c r="K1201" s="1" t="str">
        <f>_xlfn.XLOOKUP(C1201, 'Product Catalog'!$A:$A, 'Product Catalog'!$B:$B, "Unknown Product")</f>
        <v>Webcam Model F31</v>
      </c>
      <c r="L1201" s="1" t="str">
        <f>_xlfn.XLOOKUP(C1201, 'Product Catalog'!$A:$A, 'Product Catalog'!$C:$C, "Unknown Category")</f>
        <v>Electronics</v>
      </c>
      <c r="M1201" s="1">
        <f>_xlfn.XLOOKUP(C1201, 'Product Catalog'!$A:$A, 'Product Catalog'!$D:$D, 0)</f>
        <v>184.37</v>
      </c>
      <c r="N1201" s="1">
        <f t="shared" si="37"/>
        <v>921.85</v>
      </c>
    </row>
    <row r="1202" spans="1:14" x14ac:dyDescent="0.3">
      <c r="A1202" s="1" t="s">
        <v>1678</v>
      </c>
      <c r="B1202" s="1" t="s">
        <v>635</v>
      </c>
      <c r="C1202" s="1" t="s">
        <v>27</v>
      </c>
      <c r="D1202" s="1">
        <v>1</v>
      </c>
      <c r="E1202" s="12">
        <v>45822.342361111114</v>
      </c>
      <c r="F1202" s="1" t="s">
        <v>12</v>
      </c>
      <c r="G1202" s="1" t="s">
        <v>20</v>
      </c>
      <c r="H1202" s="1" t="s">
        <v>41</v>
      </c>
      <c r="I1202" s="1" t="s">
        <v>81</v>
      </c>
      <c r="J1202" s="1" t="str">
        <f t="shared" si="36"/>
        <v>REFUNDED</v>
      </c>
      <c r="K1202" s="1" t="str">
        <f>_xlfn.XLOOKUP(C1202, 'Product Catalog'!$A:$A, 'Product Catalog'!$B:$B, "Unknown Product")</f>
        <v>Premium Stream 1M Model B53</v>
      </c>
      <c r="L1202" s="1" t="str">
        <f>_xlfn.XLOOKUP(C1202, 'Product Catalog'!$A:$A, 'Product Catalog'!$C:$C, "Unknown Category")</f>
        <v>Digital Services</v>
      </c>
      <c r="M1202" s="1">
        <f>_xlfn.XLOOKUP(C1202, 'Product Catalog'!$A:$A, 'Product Catalog'!$D:$D, 0)</f>
        <v>13.87</v>
      </c>
      <c r="N1202" s="1">
        <f t="shared" si="37"/>
        <v>13.87</v>
      </c>
    </row>
    <row r="1203" spans="1:14" x14ac:dyDescent="0.3">
      <c r="A1203" s="1" t="s">
        <v>1679</v>
      </c>
      <c r="B1203" s="1" t="s">
        <v>1220</v>
      </c>
      <c r="C1203" s="1" t="s">
        <v>316</v>
      </c>
      <c r="D1203" s="1">
        <v>4</v>
      </c>
      <c r="E1203" s="12">
        <v>45827.395138888889</v>
      </c>
      <c r="F1203" s="1" t="s">
        <v>39</v>
      </c>
      <c r="G1203" s="1" t="s">
        <v>31</v>
      </c>
      <c r="H1203" s="1" t="s">
        <v>41</v>
      </c>
      <c r="I1203" s="1" t="s">
        <v>102</v>
      </c>
      <c r="J1203" s="1" t="str">
        <f t="shared" si="36"/>
        <v>disputed</v>
      </c>
      <c r="K1203" s="1" t="str">
        <f>_xlfn.XLOOKUP(C1203, 'Product Catalog'!$A:$A, 'Product Catalog'!$B:$B, "Unknown Product")</f>
        <v>Leather Handbag Model W48</v>
      </c>
      <c r="L1203" s="1" t="str">
        <f>_xlfn.XLOOKUP(C1203, 'Product Catalog'!$A:$A, 'Product Catalog'!$C:$C, "Unknown Category")</f>
        <v>Luxury Goods</v>
      </c>
      <c r="M1203" s="1">
        <f>_xlfn.XLOOKUP(C1203, 'Product Catalog'!$A:$A, 'Product Catalog'!$D:$D, 0)</f>
        <v>315.82</v>
      </c>
      <c r="N1203" s="1">
        <f t="shared" si="37"/>
        <v>1263.28</v>
      </c>
    </row>
    <row r="1204" spans="1:14" x14ac:dyDescent="0.3">
      <c r="A1204" s="1" t="s">
        <v>1680</v>
      </c>
      <c r="B1204" s="1" t="s">
        <v>798</v>
      </c>
      <c r="C1204" s="1" t="s">
        <v>399</v>
      </c>
      <c r="D1204" s="1">
        <v>1</v>
      </c>
      <c r="E1204" s="12">
        <v>45683.720833333333</v>
      </c>
      <c r="F1204" s="1" t="s">
        <v>39</v>
      </c>
      <c r="G1204" s="1" t="s">
        <v>50</v>
      </c>
      <c r="H1204" s="1" t="s">
        <v>41</v>
      </c>
      <c r="I1204" s="1" t="s">
        <v>42</v>
      </c>
      <c r="J1204" s="1" t="str">
        <f t="shared" si="36"/>
        <v>PENDING_REVIEW</v>
      </c>
      <c r="K1204" s="1" t="str">
        <f>_xlfn.XLOOKUP(C1204, 'Product Catalog'!$A:$A, 'Product Catalog'!$B:$B, "Unknown Product")</f>
        <v>E-Book Access Model W22</v>
      </c>
      <c r="L1204" s="1" t="str">
        <f>_xlfn.XLOOKUP(C1204, 'Product Catalog'!$A:$A, 'Product Catalog'!$C:$C, "Unknown Category")</f>
        <v>Digital Services</v>
      </c>
      <c r="M1204" s="1">
        <f>_xlfn.XLOOKUP(C1204, 'Product Catalog'!$A:$A, 'Product Catalog'!$D:$D, 0)</f>
        <v>11.22</v>
      </c>
      <c r="N1204" s="1">
        <f t="shared" si="37"/>
        <v>11.22</v>
      </c>
    </row>
    <row r="1205" spans="1:14" x14ac:dyDescent="0.3">
      <c r="A1205" s="1" t="s">
        <v>1681</v>
      </c>
      <c r="B1205" s="1" t="s">
        <v>488</v>
      </c>
      <c r="C1205" s="1" t="s">
        <v>357</v>
      </c>
      <c r="D1205" s="1">
        <v>1</v>
      </c>
      <c r="E1205" s="12">
        <v>45772.782638888886</v>
      </c>
      <c r="F1205" s="1" t="s">
        <v>19</v>
      </c>
      <c r="G1205" s="1" t="s">
        <v>46</v>
      </c>
      <c r="H1205" s="1" t="s">
        <v>14</v>
      </c>
      <c r="I1205" s="1" t="s">
        <v>42</v>
      </c>
      <c r="J1205" s="1" t="str">
        <f t="shared" si="36"/>
        <v>PENDING_REVIEW</v>
      </c>
      <c r="K1205" s="1" t="str">
        <f>_xlfn.XLOOKUP(C1205, 'Product Catalog'!$A:$A, 'Product Catalog'!$B:$B, "Unknown Product")</f>
        <v>Blender Model C106</v>
      </c>
      <c r="L1205" s="1" t="str">
        <f>_xlfn.XLOOKUP(C1205, 'Product Catalog'!$A:$A, 'Product Catalog'!$C:$C, "Unknown Category")</f>
        <v>Home Goods</v>
      </c>
      <c r="M1205" s="1">
        <f>_xlfn.XLOOKUP(C1205, 'Product Catalog'!$A:$A, 'Product Catalog'!$D:$D, 0)</f>
        <v>112.89</v>
      </c>
      <c r="N1205" s="1">
        <f t="shared" si="37"/>
        <v>112.89</v>
      </c>
    </row>
    <row r="1206" spans="1:14" x14ac:dyDescent="0.3">
      <c r="A1206" s="1" t="s">
        <v>1682</v>
      </c>
      <c r="B1206" s="1" t="s">
        <v>581</v>
      </c>
      <c r="C1206" s="1" t="s">
        <v>151</v>
      </c>
      <c r="D1206" s="1">
        <v>2</v>
      </c>
      <c r="E1206" s="12">
        <v>45987.538194444445</v>
      </c>
      <c r="F1206" s="1" t="s">
        <v>12</v>
      </c>
      <c r="G1206" s="1" t="s">
        <v>13</v>
      </c>
      <c r="H1206" s="1" t="s">
        <v>14</v>
      </c>
      <c r="I1206" s="1" t="s">
        <v>32</v>
      </c>
      <c r="J1206" s="1" t="str">
        <f t="shared" si="36"/>
        <v>SHIPPED</v>
      </c>
      <c r="K1206" s="1" t="str">
        <f>_xlfn.XLOOKUP(C1206, 'Product Catalog'!$A:$A, 'Product Catalog'!$B:$B, "Unknown Product")</f>
        <v>Hoodie Model R43</v>
      </c>
      <c r="L1206" s="1" t="str">
        <f>_xlfn.XLOOKUP(C1206, 'Product Catalog'!$A:$A, 'Product Catalog'!$C:$C, "Unknown Category")</f>
        <v>Apparel</v>
      </c>
      <c r="M1206" s="1">
        <f>_xlfn.XLOOKUP(C1206, 'Product Catalog'!$A:$A, 'Product Catalog'!$D:$D, 0)</f>
        <v>68.040000000000006</v>
      </c>
      <c r="N1206" s="1">
        <f t="shared" si="37"/>
        <v>136.08000000000001</v>
      </c>
    </row>
    <row r="1207" spans="1:14" x14ac:dyDescent="0.3">
      <c r="A1207" s="1" t="s">
        <v>1683</v>
      </c>
      <c r="B1207" s="1" t="s">
        <v>187</v>
      </c>
      <c r="C1207" s="1" t="s">
        <v>1204</v>
      </c>
      <c r="D1207" s="1">
        <v>5</v>
      </c>
      <c r="E1207" s="12">
        <v>45864.334027777775</v>
      </c>
      <c r="F1207" s="1" t="s">
        <v>39</v>
      </c>
      <c r="G1207" s="1" t="s">
        <v>40</v>
      </c>
      <c r="H1207" s="1" t="s">
        <v>55</v>
      </c>
      <c r="I1207" s="1" t="s">
        <v>102</v>
      </c>
      <c r="J1207" s="1" t="str">
        <f t="shared" si="36"/>
        <v>disputed</v>
      </c>
      <c r="K1207" s="1" t="str">
        <f>_xlfn.XLOOKUP(C1207, 'Product Catalog'!$A:$A, 'Product Catalog'!$B:$B, "Unknown Product")</f>
        <v>Jacket Model L37</v>
      </c>
      <c r="L1207" s="1" t="str">
        <f>_xlfn.XLOOKUP(C1207, 'Product Catalog'!$A:$A, 'Product Catalog'!$C:$C, "Unknown Category")</f>
        <v>Apparel</v>
      </c>
      <c r="M1207" s="1">
        <f>_xlfn.XLOOKUP(C1207, 'Product Catalog'!$A:$A, 'Product Catalog'!$D:$D, 0)</f>
        <v>114.88</v>
      </c>
      <c r="N1207" s="1">
        <f t="shared" si="37"/>
        <v>574.4</v>
      </c>
    </row>
    <row r="1208" spans="1:14" x14ac:dyDescent="0.3">
      <c r="A1208" s="1" t="s">
        <v>1684</v>
      </c>
      <c r="B1208" s="1" t="s">
        <v>683</v>
      </c>
      <c r="C1208" s="1" t="s">
        <v>466</v>
      </c>
      <c r="D1208" s="1">
        <v>1</v>
      </c>
      <c r="E1208" s="12">
        <v>45698.652777777781</v>
      </c>
      <c r="F1208" s="1" t="s">
        <v>19</v>
      </c>
      <c r="G1208" s="1" t="s">
        <v>46</v>
      </c>
      <c r="H1208" s="1" t="s">
        <v>14</v>
      </c>
      <c r="I1208" s="1" t="s">
        <v>81</v>
      </c>
      <c r="J1208" s="1" t="str">
        <f t="shared" si="36"/>
        <v>REFUNDED</v>
      </c>
      <c r="K1208" s="1" t="str">
        <f>_xlfn.XLOOKUP(C1208, 'Product Catalog'!$A:$A, 'Product Catalog'!$B:$B, "Unknown Product")</f>
        <v>VPN 6-Month Pass Model L11</v>
      </c>
      <c r="L1208" s="1" t="str">
        <f>_xlfn.XLOOKUP(C1208, 'Product Catalog'!$A:$A, 'Product Catalog'!$C:$C, "Unknown Category")</f>
        <v>Digital Services</v>
      </c>
      <c r="M1208" s="1">
        <f>_xlfn.XLOOKUP(C1208, 'Product Catalog'!$A:$A, 'Product Catalog'!$D:$D, 0)</f>
        <v>16.73</v>
      </c>
      <c r="N1208" s="1">
        <f t="shared" si="37"/>
        <v>16.73</v>
      </c>
    </row>
    <row r="1209" spans="1:14" x14ac:dyDescent="0.3">
      <c r="A1209" s="1" t="s">
        <v>1685</v>
      </c>
      <c r="B1209" s="1" t="s">
        <v>44</v>
      </c>
      <c r="C1209" s="1" t="s">
        <v>636</v>
      </c>
      <c r="D1209" s="1">
        <v>5</v>
      </c>
      <c r="E1209" s="12">
        <v>45885.814583333333</v>
      </c>
      <c r="F1209" s="1" t="s">
        <v>170</v>
      </c>
      <c r="G1209" s="1" t="s">
        <v>31</v>
      </c>
      <c r="H1209" s="1" t="s">
        <v>41</v>
      </c>
      <c r="I1209" s="1" t="s">
        <v>42</v>
      </c>
      <c r="J1209" s="1" t="str">
        <f t="shared" si="36"/>
        <v>PENDING_REVIEW</v>
      </c>
      <c r="K1209" s="1" t="str">
        <f>_xlfn.XLOOKUP(C1209, 'Product Catalog'!$A:$A, 'Product Catalog'!$B:$B, "Unknown Product")</f>
        <v>Leather Handbag Model O92</v>
      </c>
      <c r="L1209" s="1" t="str">
        <f>_xlfn.XLOOKUP(C1209, 'Product Catalog'!$A:$A, 'Product Catalog'!$C:$C, "Unknown Category")</f>
        <v>Luxury Goods</v>
      </c>
      <c r="M1209" s="1">
        <f>_xlfn.XLOOKUP(C1209, 'Product Catalog'!$A:$A, 'Product Catalog'!$D:$D, 0)</f>
        <v>1245.53</v>
      </c>
      <c r="N1209" s="1">
        <f t="shared" si="37"/>
        <v>6227.65</v>
      </c>
    </row>
    <row r="1210" spans="1:14" x14ac:dyDescent="0.3">
      <c r="A1210" s="1" t="s">
        <v>1686</v>
      </c>
      <c r="B1210" s="1" t="s">
        <v>662</v>
      </c>
      <c r="C1210" s="1" t="s">
        <v>380</v>
      </c>
      <c r="D1210" s="1">
        <v>1</v>
      </c>
      <c r="E1210" s="12">
        <v>45887.125</v>
      </c>
      <c r="F1210" s="1" t="s">
        <v>12</v>
      </c>
      <c r="G1210" s="1" t="s">
        <v>40</v>
      </c>
      <c r="H1210" s="1" t="s">
        <v>55</v>
      </c>
      <c r="I1210" s="1" t="s">
        <v>102</v>
      </c>
      <c r="J1210" s="1" t="str">
        <f t="shared" si="36"/>
        <v>disputed</v>
      </c>
      <c r="K1210" s="1" t="str">
        <f>_xlfn.XLOOKUP(C1210, 'Product Catalog'!$A:$A, 'Product Catalog'!$B:$B, "Unknown Product")</f>
        <v>Premium Stream 1M Model Z51</v>
      </c>
      <c r="L1210" s="1" t="str">
        <f>_xlfn.XLOOKUP(C1210, 'Product Catalog'!$A:$A, 'Product Catalog'!$C:$C, "Unknown Category")</f>
        <v>Digital Services</v>
      </c>
      <c r="M1210" s="1">
        <f>_xlfn.XLOOKUP(C1210, 'Product Catalog'!$A:$A, 'Product Catalog'!$D:$D, 0)</f>
        <v>55.69</v>
      </c>
      <c r="N1210" s="1">
        <f t="shared" si="37"/>
        <v>55.69</v>
      </c>
    </row>
    <row r="1211" spans="1:14" x14ac:dyDescent="0.3">
      <c r="A1211" s="1" t="s">
        <v>1687</v>
      </c>
      <c r="B1211" s="1" t="s">
        <v>64</v>
      </c>
      <c r="C1211" s="1" t="s">
        <v>367</v>
      </c>
      <c r="D1211" s="1">
        <v>1</v>
      </c>
      <c r="E1211" s="12">
        <v>45913.635416666664</v>
      </c>
      <c r="F1211" s="1" t="s">
        <v>12</v>
      </c>
      <c r="G1211" s="1" t="s">
        <v>46</v>
      </c>
      <c r="H1211" s="1" t="s">
        <v>41</v>
      </c>
      <c r="I1211" s="1" t="s">
        <v>42</v>
      </c>
      <c r="J1211" s="1" t="str">
        <f t="shared" si="36"/>
        <v>PENDING_REVIEW</v>
      </c>
      <c r="K1211" s="1" t="str">
        <f>_xlfn.XLOOKUP(C1211, 'Product Catalog'!$A:$A, 'Product Catalog'!$B:$B, "Unknown Product")</f>
        <v>Cable Model P67</v>
      </c>
      <c r="L1211" s="1" t="str">
        <f>_xlfn.XLOOKUP(C1211, 'Product Catalog'!$A:$A, 'Product Catalog'!$C:$C, "Unknown Category")</f>
        <v>Electronics</v>
      </c>
      <c r="M1211" s="1">
        <f>_xlfn.XLOOKUP(C1211, 'Product Catalog'!$A:$A, 'Product Catalog'!$D:$D, 0)</f>
        <v>187.9</v>
      </c>
      <c r="N1211" s="1">
        <f t="shared" si="37"/>
        <v>187.9</v>
      </c>
    </row>
    <row r="1212" spans="1:14" x14ac:dyDescent="0.3">
      <c r="A1212" s="1" t="s">
        <v>1688</v>
      </c>
      <c r="B1212" s="1" t="s">
        <v>960</v>
      </c>
      <c r="C1212" s="1" t="s">
        <v>237</v>
      </c>
      <c r="D1212" s="1">
        <v>1</v>
      </c>
      <c r="E1212" s="12">
        <v>45819.168749999997</v>
      </c>
      <c r="F1212" s="1" t="s">
        <v>39</v>
      </c>
      <c r="G1212" s="1" t="s">
        <v>40</v>
      </c>
      <c r="H1212" s="1" t="s">
        <v>55</v>
      </c>
      <c r="I1212" s="1" t="s">
        <v>81</v>
      </c>
      <c r="J1212" s="1" t="str">
        <f t="shared" si="36"/>
        <v>REFUNDED</v>
      </c>
      <c r="K1212" s="1" t="str">
        <f>_xlfn.XLOOKUP(C1212, 'Product Catalog'!$A:$A, 'Product Catalog'!$B:$B, "Unknown Product")</f>
        <v>Leather Handbag Model U20</v>
      </c>
      <c r="L1212" s="1" t="str">
        <f>_xlfn.XLOOKUP(C1212, 'Product Catalog'!$A:$A, 'Product Catalog'!$C:$C, "Unknown Category")</f>
        <v>Luxury Goods</v>
      </c>
      <c r="M1212" s="1">
        <f>_xlfn.XLOOKUP(C1212, 'Product Catalog'!$A:$A, 'Product Catalog'!$D:$D, 0)</f>
        <v>1806.15</v>
      </c>
      <c r="N1212" s="1">
        <f t="shared" si="37"/>
        <v>1806.15</v>
      </c>
    </row>
    <row r="1213" spans="1:14" x14ac:dyDescent="0.3">
      <c r="A1213" s="1" t="s">
        <v>1689</v>
      </c>
      <c r="B1213" s="1" t="s">
        <v>859</v>
      </c>
      <c r="C1213" s="1" t="s">
        <v>644</v>
      </c>
      <c r="D1213" s="1">
        <v>1</v>
      </c>
      <c r="E1213" s="12">
        <v>45912.929166666669</v>
      </c>
      <c r="F1213" s="1" t="s">
        <v>185</v>
      </c>
      <c r="G1213" s="1" t="s">
        <v>109</v>
      </c>
      <c r="H1213" s="1" t="s">
        <v>41</v>
      </c>
      <c r="I1213" s="1" t="s">
        <v>15</v>
      </c>
      <c r="J1213" s="1" t="str">
        <f t="shared" si="36"/>
        <v>delivered</v>
      </c>
      <c r="K1213" s="1" t="str">
        <f>_xlfn.XLOOKUP(C1213, 'Product Catalog'!$A:$A, 'Product Catalog'!$B:$B, "Unknown Product")</f>
        <v>Socks Model T71</v>
      </c>
      <c r="L1213" s="1" t="str">
        <f>_xlfn.XLOOKUP(C1213, 'Product Catalog'!$A:$A, 'Product Catalog'!$C:$C, "Unknown Category")</f>
        <v>Apparel</v>
      </c>
      <c r="M1213" s="1">
        <f>_xlfn.XLOOKUP(C1213, 'Product Catalog'!$A:$A, 'Product Catalog'!$D:$D, 0)</f>
        <v>23.19</v>
      </c>
      <c r="N1213" s="1">
        <f t="shared" si="37"/>
        <v>23.19</v>
      </c>
    </row>
    <row r="1214" spans="1:14" x14ac:dyDescent="0.3">
      <c r="A1214" s="1" t="s">
        <v>1690</v>
      </c>
      <c r="B1214" s="1" t="s">
        <v>559</v>
      </c>
      <c r="C1214" s="1" t="s">
        <v>531</v>
      </c>
      <c r="D1214" s="1">
        <v>5</v>
      </c>
      <c r="E1214" s="12">
        <v>45667.145833333336</v>
      </c>
      <c r="F1214" s="1" t="s">
        <v>39</v>
      </c>
      <c r="G1214" s="1" t="s">
        <v>50</v>
      </c>
      <c r="H1214" s="1" t="s">
        <v>55</v>
      </c>
      <c r="I1214" s="1" t="s">
        <v>42</v>
      </c>
      <c r="J1214" s="1" t="str">
        <f t="shared" si="36"/>
        <v>PENDING_REVIEW</v>
      </c>
      <c r="K1214" s="1" t="str">
        <f>_xlfn.XLOOKUP(C1214, 'Product Catalog'!$A:$A, 'Product Catalog'!$B:$B, "Unknown Product")</f>
        <v>Organizer Model Y102</v>
      </c>
      <c r="L1214" s="1" t="str">
        <f>_xlfn.XLOOKUP(C1214, 'Product Catalog'!$A:$A, 'Product Catalog'!$C:$C, "Unknown Category")</f>
        <v>Home Goods</v>
      </c>
      <c r="M1214" s="1">
        <f>_xlfn.XLOOKUP(C1214, 'Product Catalog'!$A:$A, 'Product Catalog'!$D:$D, 0)</f>
        <v>147.26</v>
      </c>
      <c r="N1214" s="1">
        <f t="shared" si="37"/>
        <v>736.3</v>
      </c>
    </row>
    <row r="1215" spans="1:14" x14ac:dyDescent="0.3">
      <c r="A1215" s="1" t="s">
        <v>1691</v>
      </c>
      <c r="B1215" s="1" t="s">
        <v>116</v>
      </c>
      <c r="C1215" s="1" t="s">
        <v>492</v>
      </c>
      <c r="D1215" s="1">
        <v>1</v>
      </c>
      <c r="E1215" s="12">
        <v>45864.586111111108</v>
      </c>
      <c r="F1215" s="1" t="s">
        <v>19</v>
      </c>
      <c r="G1215" s="1" t="s">
        <v>50</v>
      </c>
      <c r="H1215" s="1" t="s">
        <v>51</v>
      </c>
      <c r="I1215" s="1" t="s">
        <v>102</v>
      </c>
      <c r="J1215" s="1" t="str">
        <f t="shared" si="36"/>
        <v>disputed</v>
      </c>
      <c r="K1215" s="1" t="str">
        <f>_xlfn.XLOOKUP(C1215, 'Product Catalog'!$A:$A, 'Product Catalog'!$B:$B, "Unknown Product")</f>
        <v>Blender Model Q16</v>
      </c>
      <c r="L1215" s="1" t="str">
        <f>_xlfn.XLOOKUP(C1215, 'Product Catalog'!$A:$A, 'Product Catalog'!$C:$C, "Unknown Category")</f>
        <v>Home Goods</v>
      </c>
      <c r="M1215" s="1">
        <f>_xlfn.XLOOKUP(C1215, 'Product Catalog'!$A:$A, 'Product Catalog'!$D:$D, 0)</f>
        <v>79.23</v>
      </c>
      <c r="N1215" s="1">
        <f t="shared" si="37"/>
        <v>79.23</v>
      </c>
    </row>
    <row r="1216" spans="1:14" x14ac:dyDescent="0.3">
      <c r="A1216" s="1" t="s">
        <v>1692</v>
      </c>
      <c r="B1216" s="1" t="s">
        <v>382</v>
      </c>
      <c r="C1216" s="1" t="s">
        <v>125</v>
      </c>
      <c r="D1216" s="1">
        <v>1</v>
      </c>
      <c r="E1216" s="12">
        <v>45676.792361111111</v>
      </c>
      <c r="F1216" s="1" t="s">
        <v>39</v>
      </c>
      <c r="G1216" s="1" t="s">
        <v>40</v>
      </c>
      <c r="H1216" s="1" t="s">
        <v>55</v>
      </c>
      <c r="I1216" s="1" t="s">
        <v>81</v>
      </c>
      <c r="J1216" s="1" t="str">
        <f t="shared" si="36"/>
        <v>REFUNDED</v>
      </c>
      <c r="K1216" s="1" t="str">
        <f>_xlfn.XLOOKUP(C1216, 'Product Catalog'!$A:$A, 'Product Catalog'!$B:$B, "Unknown Product")</f>
        <v>Coffee Maker Model J9</v>
      </c>
      <c r="L1216" s="1" t="str">
        <f>_xlfn.XLOOKUP(C1216, 'Product Catalog'!$A:$A, 'Product Catalog'!$C:$C, "Unknown Category")</f>
        <v>Home Goods</v>
      </c>
      <c r="M1216" s="1">
        <f>_xlfn.XLOOKUP(C1216, 'Product Catalog'!$A:$A, 'Product Catalog'!$D:$D, 0)</f>
        <v>34.840000000000003</v>
      </c>
      <c r="N1216" s="1">
        <f t="shared" si="37"/>
        <v>34.840000000000003</v>
      </c>
    </row>
    <row r="1217" spans="1:14" x14ac:dyDescent="0.3">
      <c r="A1217" s="1" t="s">
        <v>1693</v>
      </c>
      <c r="B1217" s="1" t="s">
        <v>319</v>
      </c>
      <c r="C1217" s="1" t="s">
        <v>329</v>
      </c>
      <c r="D1217" s="1">
        <v>1</v>
      </c>
      <c r="E1217" s="12">
        <v>45939</v>
      </c>
      <c r="F1217" s="1" t="s">
        <v>19</v>
      </c>
      <c r="G1217" s="1" t="s">
        <v>13</v>
      </c>
      <c r="H1217" s="1" t="s">
        <v>14</v>
      </c>
      <c r="I1217" s="1" t="s">
        <v>15</v>
      </c>
      <c r="J1217" s="1" t="str">
        <f t="shared" si="36"/>
        <v>delivered</v>
      </c>
      <c r="K1217" s="1" t="str">
        <f>_xlfn.XLOOKUP(C1217, 'Product Catalog'!$A:$A, 'Product Catalog'!$B:$B, "Unknown Product")</f>
        <v>E-Book Access Model M64</v>
      </c>
      <c r="L1217" s="1" t="str">
        <f>_xlfn.XLOOKUP(C1217, 'Product Catalog'!$A:$A, 'Product Catalog'!$C:$C, "Unknown Category")</f>
        <v>Digital Services</v>
      </c>
      <c r="M1217" s="1">
        <f>_xlfn.XLOOKUP(C1217, 'Product Catalog'!$A:$A, 'Product Catalog'!$D:$D, 0)</f>
        <v>92.09</v>
      </c>
      <c r="N1217" s="1">
        <f t="shared" si="37"/>
        <v>92.09</v>
      </c>
    </row>
    <row r="1218" spans="1:14" x14ac:dyDescent="0.3">
      <c r="A1218" s="1" t="s">
        <v>1694</v>
      </c>
      <c r="B1218" s="1" t="s">
        <v>414</v>
      </c>
      <c r="C1218" s="1" t="s">
        <v>619</v>
      </c>
      <c r="D1218" s="1">
        <v>1</v>
      </c>
      <c r="E1218" s="12">
        <v>45704.859027777777</v>
      </c>
      <c r="F1218" s="1" t="s">
        <v>19</v>
      </c>
      <c r="G1218" s="1" t="s">
        <v>20</v>
      </c>
      <c r="H1218" s="1" t="s">
        <v>41</v>
      </c>
      <c r="I1218" s="1" t="s">
        <v>15</v>
      </c>
      <c r="J1218" s="1" t="str">
        <f t="shared" ref="J1218:J1281" si="38">TRIM(I1218)</f>
        <v>delivered</v>
      </c>
      <c r="K1218" s="1" t="str">
        <f>_xlfn.XLOOKUP(C1218, 'Product Catalog'!$A:$A, 'Product Catalog'!$B:$B, "Unknown Product")</f>
        <v>Jacket Model B27</v>
      </c>
      <c r="L1218" s="1" t="str">
        <f>_xlfn.XLOOKUP(C1218, 'Product Catalog'!$A:$A, 'Product Catalog'!$C:$C, "Unknown Category")</f>
        <v>Apparel</v>
      </c>
      <c r="M1218" s="1">
        <f>_xlfn.XLOOKUP(C1218, 'Product Catalog'!$A:$A, 'Product Catalog'!$D:$D, 0)</f>
        <v>64.290000000000006</v>
      </c>
      <c r="N1218" s="1">
        <f t="shared" ref="N1218:N1281" si="39">D1218 * M1218</f>
        <v>64.290000000000006</v>
      </c>
    </row>
    <row r="1219" spans="1:14" x14ac:dyDescent="0.3">
      <c r="A1219" s="1" t="s">
        <v>1695</v>
      </c>
      <c r="B1219" s="1" t="s">
        <v>97</v>
      </c>
      <c r="C1219" s="1" t="s">
        <v>137</v>
      </c>
      <c r="D1219" s="1">
        <v>1</v>
      </c>
      <c r="E1219" s="12">
        <v>45974.90625</v>
      </c>
      <c r="F1219" s="1" t="s">
        <v>19</v>
      </c>
      <c r="G1219" s="1" t="s">
        <v>31</v>
      </c>
      <c r="H1219" s="1" t="s">
        <v>41</v>
      </c>
      <c r="I1219" s="1" t="s">
        <v>15</v>
      </c>
      <c r="J1219" s="1" t="str">
        <f t="shared" si="38"/>
        <v>delivered</v>
      </c>
      <c r="K1219" s="1" t="str">
        <f>_xlfn.XLOOKUP(C1219, 'Product Catalog'!$A:$A, 'Product Catalog'!$B:$B, "Unknown Product")</f>
        <v>VPN 6-Month Pass Model M90</v>
      </c>
      <c r="L1219" s="1" t="str">
        <f>_xlfn.XLOOKUP(C1219, 'Product Catalog'!$A:$A, 'Product Catalog'!$C:$C, "Unknown Category")</f>
        <v>Digital Services</v>
      </c>
      <c r="M1219" s="1">
        <f>_xlfn.XLOOKUP(C1219, 'Product Catalog'!$A:$A, 'Product Catalog'!$D:$D, 0)</f>
        <v>5.91</v>
      </c>
      <c r="N1219" s="1">
        <f t="shared" si="39"/>
        <v>5.91</v>
      </c>
    </row>
    <row r="1220" spans="1:14" x14ac:dyDescent="0.3">
      <c r="A1220" s="1" t="s">
        <v>1696</v>
      </c>
      <c r="B1220" s="1" t="s">
        <v>548</v>
      </c>
      <c r="C1220" s="1" t="s">
        <v>195</v>
      </c>
      <c r="D1220" s="1">
        <v>1</v>
      </c>
      <c r="E1220" s="12">
        <v>45813.722916666666</v>
      </c>
      <c r="F1220" s="1" t="s">
        <v>19</v>
      </c>
      <c r="G1220" s="1" t="s">
        <v>46</v>
      </c>
      <c r="H1220" s="1" t="s">
        <v>24</v>
      </c>
      <c r="I1220" s="1" t="s">
        <v>15</v>
      </c>
      <c r="J1220" s="1" t="str">
        <f t="shared" si="38"/>
        <v>delivered</v>
      </c>
      <c r="K1220" s="1" t="str">
        <f>_xlfn.XLOOKUP(C1220, 'Product Catalog'!$A:$A, 'Product Catalog'!$B:$B, "Unknown Product")</f>
        <v>Blender Model L89</v>
      </c>
      <c r="L1220" s="1" t="str">
        <f>_xlfn.XLOOKUP(C1220, 'Product Catalog'!$A:$A, 'Product Catalog'!$C:$C, "Unknown Category")</f>
        <v>Home Goods</v>
      </c>
      <c r="M1220" s="1">
        <f>_xlfn.XLOOKUP(C1220, 'Product Catalog'!$A:$A, 'Product Catalog'!$D:$D, 0)</f>
        <v>138.6</v>
      </c>
      <c r="N1220" s="1">
        <f t="shared" si="39"/>
        <v>138.6</v>
      </c>
    </row>
    <row r="1221" spans="1:14" x14ac:dyDescent="0.3">
      <c r="A1221" s="1" t="s">
        <v>1697</v>
      </c>
      <c r="B1221" s="1" t="s">
        <v>494</v>
      </c>
      <c r="C1221" s="1" t="s">
        <v>101</v>
      </c>
      <c r="D1221" s="1">
        <v>2</v>
      </c>
      <c r="E1221" s="12">
        <v>45945.293749999997</v>
      </c>
      <c r="F1221" s="1" t="s">
        <v>12</v>
      </c>
      <c r="G1221" s="1" t="s">
        <v>109</v>
      </c>
      <c r="H1221" s="1" t="s">
        <v>41</v>
      </c>
      <c r="I1221" s="1" t="s">
        <v>32</v>
      </c>
      <c r="J1221" s="1" t="str">
        <f t="shared" si="38"/>
        <v>SHIPPED</v>
      </c>
      <c r="K1221" s="1" t="str">
        <f>_xlfn.XLOOKUP(C1221, 'Product Catalog'!$A:$A, 'Product Catalog'!$B:$B, "Unknown Product")</f>
        <v>Smartwatch Model W126</v>
      </c>
      <c r="L1221" s="1" t="str">
        <f>_xlfn.XLOOKUP(C1221, 'Product Catalog'!$A:$A, 'Product Catalog'!$C:$C, "Unknown Category")</f>
        <v>Electronics</v>
      </c>
      <c r="M1221" s="1">
        <f>_xlfn.XLOOKUP(C1221, 'Product Catalog'!$A:$A, 'Product Catalog'!$D:$D, 0)</f>
        <v>114.91</v>
      </c>
      <c r="N1221" s="1">
        <f t="shared" si="39"/>
        <v>229.82</v>
      </c>
    </row>
    <row r="1222" spans="1:14" x14ac:dyDescent="0.3">
      <c r="A1222" s="1" t="s">
        <v>1698</v>
      </c>
      <c r="B1222" s="1" t="s">
        <v>1026</v>
      </c>
      <c r="C1222" s="1" t="s">
        <v>281</v>
      </c>
      <c r="D1222" s="1">
        <v>1</v>
      </c>
      <c r="E1222" s="12">
        <v>45993.954861111109</v>
      </c>
      <c r="F1222" s="1" t="s">
        <v>19</v>
      </c>
      <c r="G1222" s="1" t="s">
        <v>31</v>
      </c>
      <c r="H1222" s="1" t="s">
        <v>41</v>
      </c>
      <c r="I1222" s="1" t="s">
        <v>32</v>
      </c>
      <c r="J1222" s="1" t="str">
        <f t="shared" si="38"/>
        <v>SHIPPED</v>
      </c>
      <c r="K1222" s="1" t="str">
        <f>_xlfn.XLOOKUP(C1222, 'Product Catalog'!$A:$A, 'Product Catalog'!$B:$B, "Unknown Product")</f>
        <v>VPN 6-Month Pass Model B105</v>
      </c>
      <c r="L1222" s="1" t="str">
        <f>_xlfn.XLOOKUP(C1222, 'Product Catalog'!$A:$A, 'Product Catalog'!$C:$C, "Unknown Category")</f>
        <v>Digital Services</v>
      </c>
      <c r="M1222" s="1">
        <f>_xlfn.XLOOKUP(C1222, 'Product Catalog'!$A:$A, 'Product Catalog'!$D:$D, 0)</f>
        <v>36.130000000000003</v>
      </c>
      <c r="N1222" s="1">
        <f t="shared" si="39"/>
        <v>36.130000000000003</v>
      </c>
    </row>
    <row r="1223" spans="1:14" x14ac:dyDescent="0.3">
      <c r="A1223" s="1" t="s">
        <v>1699</v>
      </c>
      <c r="B1223" s="1" t="s">
        <v>223</v>
      </c>
      <c r="C1223" s="1" t="s">
        <v>224</v>
      </c>
      <c r="D1223" s="1">
        <v>1</v>
      </c>
      <c r="E1223" s="12">
        <v>45891.484722222223</v>
      </c>
      <c r="F1223" s="1" t="s">
        <v>19</v>
      </c>
      <c r="G1223" s="1" t="s">
        <v>31</v>
      </c>
      <c r="H1223" s="1" t="s">
        <v>41</v>
      </c>
      <c r="I1223" s="1" t="s">
        <v>15</v>
      </c>
      <c r="J1223" s="1" t="str">
        <f t="shared" si="38"/>
        <v>delivered</v>
      </c>
      <c r="K1223" s="1" t="str">
        <f>_xlfn.XLOOKUP(C1223, 'Product Catalog'!$A:$A, 'Product Catalog'!$B:$B, "Unknown Product")</f>
        <v>Organizer Model P93</v>
      </c>
      <c r="L1223" s="1" t="str">
        <f>_xlfn.XLOOKUP(C1223, 'Product Catalog'!$A:$A, 'Product Catalog'!$C:$C, "Unknown Category")</f>
        <v>Home Goods</v>
      </c>
      <c r="M1223" s="1">
        <f>_xlfn.XLOOKUP(C1223, 'Product Catalog'!$A:$A, 'Product Catalog'!$D:$D, 0)</f>
        <v>175.55</v>
      </c>
      <c r="N1223" s="1">
        <f t="shared" si="39"/>
        <v>175.55</v>
      </c>
    </row>
    <row r="1224" spans="1:14" x14ac:dyDescent="0.3">
      <c r="A1224" s="1" t="s">
        <v>1700</v>
      </c>
      <c r="B1224" s="1" t="s">
        <v>432</v>
      </c>
      <c r="C1224" s="1" t="s">
        <v>782</v>
      </c>
      <c r="D1224" s="1">
        <v>5</v>
      </c>
      <c r="E1224" s="12">
        <v>45844.07708333333</v>
      </c>
      <c r="F1224" s="1" t="s">
        <v>19</v>
      </c>
      <c r="G1224" s="1" t="s">
        <v>40</v>
      </c>
      <c r="H1224" s="1" t="s">
        <v>55</v>
      </c>
      <c r="I1224" s="1" t="s">
        <v>56</v>
      </c>
      <c r="J1224" s="1" t="str">
        <f t="shared" si="38"/>
        <v>cancelled</v>
      </c>
      <c r="K1224" s="1" t="str">
        <f>_xlfn.XLOOKUP(C1224, 'Product Catalog'!$A:$A, 'Product Catalog'!$B:$B, "Unknown Product")</f>
        <v>Headphones Model V47</v>
      </c>
      <c r="L1224" s="1" t="str">
        <f>_xlfn.XLOOKUP(C1224, 'Product Catalog'!$A:$A, 'Product Catalog'!$C:$C, "Unknown Category")</f>
        <v>Electronics</v>
      </c>
      <c r="M1224" s="1">
        <f>_xlfn.XLOOKUP(C1224, 'Product Catalog'!$A:$A, 'Product Catalog'!$D:$D, 0)</f>
        <v>19.940000000000001</v>
      </c>
      <c r="N1224" s="1">
        <f t="shared" si="39"/>
        <v>99.7</v>
      </c>
    </row>
    <row r="1225" spans="1:14" x14ac:dyDescent="0.3">
      <c r="A1225" s="1" t="s">
        <v>1701</v>
      </c>
      <c r="B1225" s="1" t="s">
        <v>891</v>
      </c>
      <c r="C1225" s="1" t="s">
        <v>691</v>
      </c>
      <c r="D1225" s="1">
        <v>4</v>
      </c>
      <c r="E1225" s="12">
        <v>45772.645833333336</v>
      </c>
      <c r="F1225" s="1" t="s">
        <v>39</v>
      </c>
      <c r="G1225" s="1" t="s">
        <v>109</v>
      </c>
      <c r="H1225" s="1" t="s">
        <v>41</v>
      </c>
      <c r="I1225" s="1" t="s">
        <v>56</v>
      </c>
      <c r="J1225" s="1" t="str">
        <f t="shared" si="38"/>
        <v>cancelled</v>
      </c>
      <c r="K1225" s="1" t="str">
        <f>_xlfn.XLOOKUP(C1225, 'Product Catalog'!$A:$A, 'Product Catalog'!$B:$B, "Unknown Product")</f>
        <v>Designer Watch Model T123</v>
      </c>
      <c r="L1225" s="1" t="str">
        <f>_xlfn.XLOOKUP(C1225, 'Product Catalog'!$A:$A, 'Product Catalog'!$C:$C, "Unknown Category")</f>
        <v>Luxury Goods</v>
      </c>
      <c r="M1225" s="1">
        <f>_xlfn.XLOOKUP(C1225, 'Product Catalog'!$A:$A, 'Product Catalog'!$D:$D, 0)</f>
        <v>1301.92</v>
      </c>
      <c r="N1225" s="1">
        <f t="shared" si="39"/>
        <v>5207.68</v>
      </c>
    </row>
    <row r="1226" spans="1:14" x14ac:dyDescent="0.3">
      <c r="A1226" s="1" t="s">
        <v>1702</v>
      </c>
      <c r="B1226" s="1" t="s">
        <v>127</v>
      </c>
      <c r="C1226" s="1" t="s">
        <v>301</v>
      </c>
      <c r="D1226" s="1">
        <v>1</v>
      </c>
      <c r="E1226" s="12">
        <v>45827.796527777777</v>
      </c>
      <c r="F1226" s="1" t="s">
        <v>19</v>
      </c>
      <c r="G1226" s="1" t="s">
        <v>109</v>
      </c>
      <c r="H1226" s="1" t="s">
        <v>14</v>
      </c>
      <c r="I1226" s="1" t="s">
        <v>15</v>
      </c>
      <c r="J1226" s="1" t="str">
        <f t="shared" si="38"/>
        <v>delivered</v>
      </c>
      <c r="K1226" s="1" t="str">
        <f>_xlfn.XLOOKUP(C1226, 'Product Catalog'!$A:$A, 'Product Catalog'!$B:$B, "Unknown Product")</f>
        <v>Mouse Model D107</v>
      </c>
      <c r="L1226" s="1" t="str">
        <f>_xlfn.XLOOKUP(C1226, 'Product Catalog'!$A:$A, 'Product Catalog'!$C:$C, "Unknown Category")</f>
        <v>Electronics</v>
      </c>
      <c r="M1226" s="1">
        <f>_xlfn.XLOOKUP(C1226, 'Product Catalog'!$A:$A, 'Product Catalog'!$D:$D, 0)</f>
        <v>155.19</v>
      </c>
      <c r="N1226" s="1">
        <f t="shared" si="39"/>
        <v>155.19</v>
      </c>
    </row>
    <row r="1227" spans="1:14" x14ac:dyDescent="0.3">
      <c r="A1227" s="1" t="s">
        <v>1703</v>
      </c>
      <c r="B1227" s="1" t="s">
        <v>420</v>
      </c>
      <c r="C1227" s="1" t="s">
        <v>716</v>
      </c>
      <c r="D1227" s="1">
        <v>2</v>
      </c>
      <c r="E1227" s="12">
        <v>45975.852777777778</v>
      </c>
      <c r="F1227" s="1" t="s">
        <v>19</v>
      </c>
      <c r="G1227" s="1" t="s">
        <v>20</v>
      </c>
      <c r="H1227" s="1" t="s">
        <v>41</v>
      </c>
      <c r="I1227" s="1" t="s">
        <v>56</v>
      </c>
      <c r="J1227" s="1" t="str">
        <f t="shared" si="38"/>
        <v>cancelled</v>
      </c>
      <c r="K1227" s="1" t="str">
        <f>_xlfn.XLOOKUP(C1227, 'Product Catalog'!$A:$A, 'Product Catalog'!$B:$B, "Unknown Product")</f>
        <v>Jeans Model X101</v>
      </c>
      <c r="L1227" s="1" t="str">
        <f>_xlfn.XLOOKUP(C1227, 'Product Catalog'!$A:$A, 'Product Catalog'!$C:$C, "Unknown Category")</f>
        <v>Apparel</v>
      </c>
      <c r="M1227" s="1">
        <f>_xlfn.XLOOKUP(C1227, 'Product Catalog'!$A:$A, 'Product Catalog'!$D:$D, 0)</f>
        <v>99.82</v>
      </c>
      <c r="N1227" s="1">
        <f t="shared" si="39"/>
        <v>199.64</v>
      </c>
    </row>
    <row r="1228" spans="1:14" x14ac:dyDescent="0.3">
      <c r="A1228" s="1" t="s">
        <v>1704</v>
      </c>
      <c r="B1228" s="1" t="s">
        <v>761</v>
      </c>
      <c r="C1228" s="1" t="s">
        <v>817</v>
      </c>
      <c r="D1228" s="1">
        <v>5</v>
      </c>
      <c r="E1228" s="12">
        <v>45900.934027777781</v>
      </c>
      <c r="F1228" s="1" t="s">
        <v>12</v>
      </c>
      <c r="G1228" s="1" t="s">
        <v>40</v>
      </c>
      <c r="H1228" s="1" t="s">
        <v>41</v>
      </c>
      <c r="I1228" s="1" t="s">
        <v>102</v>
      </c>
      <c r="J1228" s="1" t="str">
        <f t="shared" si="38"/>
        <v>disputed</v>
      </c>
      <c r="K1228" s="1" t="str">
        <f>_xlfn.XLOOKUP(C1228, 'Product Catalog'!$A:$A, 'Product Catalog'!$B:$B, "Unknown Product")</f>
        <v>Desk Lamp Model D81</v>
      </c>
      <c r="L1228" s="1" t="str">
        <f>_xlfn.XLOOKUP(C1228, 'Product Catalog'!$A:$A, 'Product Catalog'!$C:$C, "Unknown Category")</f>
        <v>Home Goods</v>
      </c>
      <c r="M1228" s="1">
        <f>_xlfn.XLOOKUP(C1228, 'Product Catalog'!$A:$A, 'Product Catalog'!$D:$D, 0)</f>
        <v>177.42</v>
      </c>
      <c r="N1228" s="1">
        <f t="shared" si="39"/>
        <v>887.09999999999991</v>
      </c>
    </row>
    <row r="1229" spans="1:14" x14ac:dyDescent="0.3">
      <c r="A1229" s="1" t="s">
        <v>1705</v>
      </c>
      <c r="B1229" s="1" t="s">
        <v>611</v>
      </c>
      <c r="C1229" s="1" t="s">
        <v>622</v>
      </c>
      <c r="D1229" s="1">
        <v>1</v>
      </c>
      <c r="E1229" s="12">
        <v>45844.643055555556</v>
      </c>
      <c r="F1229" s="1" t="s">
        <v>170</v>
      </c>
      <c r="G1229" s="1" t="s">
        <v>40</v>
      </c>
      <c r="H1229" s="1" t="s">
        <v>41</v>
      </c>
      <c r="I1229" s="1" t="s">
        <v>56</v>
      </c>
      <c r="J1229" s="1" t="str">
        <f t="shared" si="38"/>
        <v>cancelled</v>
      </c>
      <c r="K1229" s="1" t="str">
        <f>_xlfn.XLOOKUP(C1229, 'Product Catalog'!$A:$A, 'Product Catalog'!$B:$B, "Unknown Product")</f>
        <v>Designer Watch Model R147</v>
      </c>
      <c r="L1229" s="1" t="str">
        <f>_xlfn.XLOOKUP(C1229, 'Product Catalog'!$A:$A, 'Product Catalog'!$C:$C, "Unknown Category")</f>
        <v>Luxury Goods</v>
      </c>
      <c r="M1229" s="1">
        <f>_xlfn.XLOOKUP(C1229, 'Product Catalog'!$A:$A, 'Product Catalog'!$D:$D, 0)</f>
        <v>484.68</v>
      </c>
      <c r="N1229" s="1">
        <f t="shared" si="39"/>
        <v>484.68</v>
      </c>
    </row>
    <row r="1230" spans="1:14" x14ac:dyDescent="0.3">
      <c r="A1230" s="1" t="s">
        <v>1706</v>
      </c>
      <c r="B1230" s="1" t="s">
        <v>502</v>
      </c>
      <c r="C1230" s="1" t="s">
        <v>339</v>
      </c>
      <c r="D1230" s="1">
        <v>1</v>
      </c>
      <c r="E1230" s="12">
        <v>45716.138194444444</v>
      </c>
      <c r="F1230" s="1" t="s">
        <v>12</v>
      </c>
      <c r="G1230" s="1" t="s">
        <v>31</v>
      </c>
      <c r="H1230" s="1" t="s">
        <v>41</v>
      </c>
      <c r="I1230" s="1" t="s">
        <v>15</v>
      </c>
      <c r="J1230" s="1" t="str">
        <f t="shared" si="38"/>
        <v>delivered</v>
      </c>
      <c r="K1230" s="1" t="str">
        <f>_xlfn.XLOOKUP(C1230, 'Product Catalog'!$A:$A, 'Product Catalog'!$B:$B, "Unknown Product")</f>
        <v>E-Book Access Model K114</v>
      </c>
      <c r="L1230" s="1" t="str">
        <f>_xlfn.XLOOKUP(C1230, 'Product Catalog'!$A:$A, 'Product Catalog'!$C:$C, "Unknown Category")</f>
        <v>Digital Services</v>
      </c>
      <c r="M1230" s="1">
        <f>_xlfn.XLOOKUP(C1230, 'Product Catalog'!$A:$A, 'Product Catalog'!$D:$D, 0)</f>
        <v>57.11</v>
      </c>
      <c r="N1230" s="1">
        <f t="shared" si="39"/>
        <v>57.11</v>
      </c>
    </row>
    <row r="1231" spans="1:14" x14ac:dyDescent="0.3">
      <c r="A1231" s="1" t="s">
        <v>1707</v>
      </c>
      <c r="B1231" s="1" t="s">
        <v>121</v>
      </c>
      <c r="C1231" s="1" t="s">
        <v>519</v>
      </c>
      <c r="D1231" s="1">
        <v>1</v>
      </c>
      <c r="E1231" s="12">
        <v>45995.31527777778</v>
      </c>
      <c r="F1231" s="1" t="s">
        <v>39</v>
      </c>
      <c r="G1231" s="1" t="s">
        <v>50</v>
      </c>
      <c r="H1231" s="1" t="s">
        <v>51</v>
      </c>
      <c r="I1231" s="1" t="s">
        <v>102</v>
      </c>
      <c r="J1231" s="1" t="str">
        <f t="shared" si="38"/>
        <v>disputed</v>
      </c>
      <c r="K1231" s="1" t="str">
        <f>_xlfn.XLOOKUP(C1231, 'Product Catalog'!$A:$A, 'Product Catalog'!$B:$B, "Unknown Product")</f>
        <v>T-Shirt Model S70</v>
      </c>
      <c r="L1231" s="1" t="str">
        <f>_xlfn.XLOOKUP(C1231, 'Product Catalog'!$A:$A, 'Product Catalog'!$C:$C, "Unknown Category")</f>
        <v>Apparel</v>
      </c>
      <c r="M1231" s="1">
        <f>_xlfn.XLOOKUP(C1231, 'Product Catalog'!$A:$A, 'Product Catalog'!$D:$D, 0)</f>
        <v>75.45</v>
      </c>
      <c r="N1231" s="1">
        <f t="shared" si="39"/>
        <v>75.45</v>
      </c>
    </row>
    <row r="1232" spans="1:14" x14ac:dyDescent="0.3">
      <c r="A1232" s="1" t="s">
        <v>1708</v>
      </c>
      <c r="B1232" s="1" t="s">
        <v>437</v>
      </c>
      <c r="C1232" s="1" t="s">
        <v>237</v>
      </c>
      <c r="D1232" s="1">
        <v>1</v>
      </c>
      <c r="E1232" s="12">
        <v>45659.48541666667</v>
      </c>
      <c r="F1232" s="1" t="s">
        <v>19</v>
      </c>
      <c r="G1232" s="1" t="s">
        <v>20</v>
      </c>
      <c r="H1232" s="1" t="s">
        <v>55</v>
      </c>
      <c r="I1232" s="1" t="s">
        <v>56</v>
      </c>
      <c r="J1232" s="1" t="str">
        <f t="shared" si="38"/>
        <v>cancelled</v>
      </c>
      <c r="K1232" s="1" t="str">
        <f>_xlfn.XLOOKUP(C1232, 'Product Catalog'!$A:$A, 'Product Catalog'!$B:$B, "Unknown Product")</f>
        <v>Leather Handbag Model U20</v>
      </c>
      <c r="L1232" s="1" t="str">
        <f>_xlfn.XLOOKUP(C1232, 'Product Catalog'!$A:$A, 'Product Catalog'!$C:$C, "Unknown Category")</f>
        <v>Luxury Goods</v>
      </c>
      <c r="M1232" s="1">
        <f>_xlfn.XLOOKUP(C1232, 'Product Catalog'!$A:$A, 'Product Catalog'!$D:$D, 0)</f>
        <v>1806.15</v>
      </c>
      <c r="N1232" s="1">
        <f t="shared" si="39"/>
        <v>1806.15</v>
      </c>
    </row>
    <row r="1233" spans="1:14" x14ac:dyDescent="0.3">
      <c r="A1233" s="1" t="s">
        <v>1709</v>
      </c>
      <c r="B1233" s="1" t="s">
        <v>76</v>
      </c>
      <c r="C1233" s="1" t="s">
        <v>87</v>
      </c>
      <c r="D1233" s="1">
        <v>4</v>
      </c>
      <c r="E1233" s="12">
        <v>45839.900694444441</v>
      </c>
      <c r="F1233" s="1" t="s">
        <v>12</v>
      </c>
      <c r="G1233" s="1" t="s">
        <v>50</v>
      </c>
      <c r="H1233" s="1" t="s">
        <v>51</v>
      </c>
      <c r="I1233" s="1" t="s">
        <v>56</v>
      </c>
      <c r="J1233" s="1" t="str">
        <f t="shared" si="38"/>
        <v>cancelled</v>
      </c>
      <c r="K1233" s="1" t="str">
        <f>_xlfn.XLOOKUP(C1233, 'Product Catalog'!$A:$A, 'Product Catalog'!$B:$B, "Unknown Product")</f>
        <v>T-Shirt Model S122</v>
      </c>
      <c r="L1233" s="1" t="str">
        <f>_xlfn.XLOOKUP(C1233, 'Product Catalog'!$A:$A, 'Product Catalog'!$C:$C, "Unknown Category")</f>
        <v>Apparel</v>
      </c>
      <c r="M1233" s="1">
        <f>_xlfn.XLOOKUP(C1233, 'Product Catalog'!$A:$A, 'Product Catalog'!$D:$D, 0)</f>
        <v>15.08</v>
      </c>
      <c r="N1233" s="1">
        <f t="shared" si="39"/>
        <v>60.32</v>
      </c>
    </row>
    <row r="1234" spans="1:14" x14ac:dyDescent="0.3">
      <c r="A1234" s="1" t="s">
        <v>1710</v>
      </c>
      <c r="B1234" s="1" t="s">
        <v>742</v>
      </c>
      <c r="C1234" s="1" t="s">
        <v>473</v>
      </c>
      <c r="D1234" s="1">
        <v>2</v>
      </c>
      <c r="E1234" s="12">
        <v>45807.77847222222</v>
      </c>
      <c r="F1234" s="1" t="s">
        <v>19</v>
      </c>
      <c r="G1234" s="1" t="s">
        <v>20</v>
      </c>
      <c r="H1234" s="1" t="s">
        <v>14</v>
      </c>
      <c r="I1234" s="1" t="s">
        <v>15</v>
      </c>
      <c r="J1234" s="1" t="str">
        <f t="shared" si="38"/>
        <v>delivered</v>
      </c>
      <c r="K1234" s="1" t="str">
        <f>_xlfn.XLOOKUP(C1234, 'Product Catalog'!$A:$A, 'Product Catalog'!$B:$B, "Unknown Product")</f>
        <v>Desk Lamp Model I138</v>
      </c>
      <c r="L1234" s="1" t="str">
        <f>_xlfn.XLOOKUP(C1234, 'Product Catalog'!$A:$A, 'Product Catalog'!$C:$C, "Unknown Category")</f>
        <v>Home Goods</v>
      </c>
      <c r="M1234" s="1">
        <f>_xlfn.XLOOKUP(C1234, 'Product Catalog'!$A:$A, 'Product Catalog'!$D:$D, 0)</f>
        <v>94.55</v>
      </c>
      <c r="N1234" s="1">
        <f t="shared" si="39"/>
        <v>189.1</v>
      </c>
    </row>
    <row r="1235" spans="1:14" x14ac:dyDescent="0.3">
      <c r="A1235" s="1" t="s">
        <v>1711</v>
      </c>
      <c r="B1235" s="1" t="s">
        <v>437</v>
      </c>
      <c r="C1235" s="1" t="s">
        <v>644</v>
      </c>
      <c r="D1235" s="1">
        <v>1</v>
      </c>
      <c r="E1235" s="12">
        <v>45925.53125</v>
      </c>
      <c r="F1235" s="1" t="s">
        <v>12</v>
      </c>
      <c r="G1235" s="1" t="s">
        <v>50</v>
      </c>
      <c r="H1235" s="1" t="s">
        <v>51</v>
      </c>
      <c r="I1235" s="1" t="s">
        <v>102</v>
      </c>
      <c r="J1235" s="1" t="str">
        <f t="shared" si="38"/>
        <v>disputed</v>
      </c>
      <c r="K1235" s="1" t="str">
        <f>_xlfn.XLOOKUP(C1235, 'Product Catalog'!$A:$A, 'Product Catalog'!$B:$B, "Unknown Product")</f>
        <v>Socks Model T71</v>
      </c>
      <c r="L1235" s="1" t="str">
        <f>_xlfn.XLOOKUP(C1235, 'Product Catalog'!$A:$A, 'Product Catalog'!$C:$C, "Unknown Category")</f>
        <v>Apparel</v>
      </c>
      <c r="M1235" s="1">
        <f>_xlfn.XLOOKUP(C1235, 'Product Catalog'!$A:$A, 'Product Catalog'!$D:$D, 0)</f>
        <v>23.19</v>
      </c>
      <c r="N1235" s="1">
        <f t="shared" si="39"/>
        <v>23.19</v>
      </c>
    </row>
    <row r="1236" spans="1:14" x14ac:dyDescent="0.3">
      <c r="A1236" s="1" t="s">
        <v>1712</v>
      </c>
      <c r="B1236" s="1" t="s">
        <v>228</v>
      </c>
      <c r="C1236" s="1" t="s">
        <v>192</v>
      </c>
      <c r="D1236" s="1">
        <v>5</v>
      </c>
      <c r="E1236" s="12">
        <v>46017.150694444441</v>
      </c>
      <c r="F1236" s="1" t="s">
        <v>39</v>
      </c>
      <c r="G1236" s="1" t="s">
        <v>46</v>
      </c>
      <c r="H1236" s="1" t="s">
        <v>41</v>
      </c>
      <c r="I1236" s="1" t="s">
        <v>81</v>
      </c>
      <c r="J1236" s="1" t="str">
        <f t="shared" si="38"/>
        <v>REFUNDED</v>
      </c>
      <c r="K1236" s="1" t="str">
        <f>_xlfn.XLOOKUP(C1236, 'Product Catalog'!$A:$A, 'Product Catalog'!$B:$B, "Unknown Product")</f>
        <v>Leather Handbag Model R69</v>
      </c>
      <c r="L1236" s="1" t="str">
        <f>_xlfn.XLOOKUP(C1236, 'Product Catalog'!$A:$A, 'Product Catalog'!$C:$C, "Unknown Category")</f>
        <v>Luxury Goods</v>
      </c>
      <c r="M1236" s="1">
        <f>_xlfn.XLOOKUP(C1236, 'Product Catalog'!$A:$A, 'Product Catalog'!$D:$D, 0)</f>
        <v>425.14</v>
      </c>
      <c r="N1236" s="1">
        <f t="shared" si="39"/>
        <v>2125.6999999999998</v>
      </c>
    </row>
    <row r="1237" spans="1:14" x14ac:dyDescent="0.3">
      <c r="A1237" s="1" t="s">
        <v>1713</v>
      </c>
      <c r="B1237" s="1" t="s">
        <v>92</v>
      </c>
      <c r="C1237" s="1" t="s">
        <v>337</v>
      </c>
      <c r="D1237" s="1">
        <v>1</v>
      </c>
      <c r="E1237" s="12">
        <v>45681.23333333333</v>
      </c>
      <c r="F1237" s="1" t="s">
        <v>12</v>
      </c>
      <c r="G1237" s="1" t="s">
        <v>31</v>
      </c>
      <c r="H1237" s="1" t="s">
        <v>14</v>
      </c>
      <c r="I1237" s="1" t="s">
        <v>15</v>
      </c>
      <c r="J1237" s="1" t="str">
        <f t="shared" si="38"/>
        <v>delivered</v>
      </c>
      <c r="K1237" s="1" t="str">
        <f>_xlfn.XLOOKUP(C1237, 'Product Catalog'!$A:$A, 'Product Catalog'!$B:$B, "Unknown Product")</f>
        <v>Webcam Model Z103</v>
      </c>
      <c r="L1237" s="1" t="str">
        <f>_xlfn.XLOOKUP(C1237, 'Product Catalog'!$A:$A, 'Product Catalog'!$C:$C, "Unknown Category")</f>
        <v>Electronics</v>
      </c>
      <c r="M1237" s="1">
        <f>_xlfn.XLOOKUP(C1237, 'Product Catalog'!$A:$A, 'Product Catalog'!$D:$D, 0)</f>
        <v>60.39</v>
      </c>
      <c r="N1237" s="1">
        <f t="shared" si="39"/>
        <v>60.39</v>
      </c>
    </row>
    <row r="1238" spans="1:14" x14ac:dyDescent="0.3">
      <c r="A1238" s="1" t="s">
        <v>1714</v>
      </c>
      <c r="B1238" s="1" t="s">
        <v>274</v>
      </c>
      <c r="C1238" s="1" t="s">
        <v>301</v>
      </c>
      <c r="D1238" s="1">
        <v>2</v>
      </c>
      <c r="E1238" s="12">
        <v>45910.199305555558</v>
      </c>
      <c r="F1238" s="1" t="s">
        <v>19</v>
      </c>
      <c r="G1238" s="1" t="s">
        <v>13</v>
      </c>
      <c r="H1238" s="1" t="s">
        <v>24</v>
      </c>
      <c r="I1238" s="1" t="s">
        <v>15</v>
      </c>
      <c r="J1238" s="1" t="str">
        <f t="shared" si="38"/>
        <v>delivered</v>
      </c>
      <c r="K1238" s="1" t="str">
        <f>_xlfn.XLOOKUP(C1238, 'Product Catalog'!$A:$A, 'Product Catalog'!$B:$B, "Unknown Product")</f>
        <v>Mouse Model D107</v>
      </c>
      <c r="L1238" s="1" t="str">
        <f>_xlfn.XLOOKUP(C1238, 'Product Catalog'!$A:$A, 'Product Catalog'!$C:$C, "Unknown Category")</f>
        <v>Electronics</v>
      </c>
      <c r="M1238" s="1">
        <f>_xlfn.XLOOKUP(C1238, 'Product Catalog'!$A:$A, 'Product Catalog'!$D:$D, 0)</f>
        <v>155.19</v>
      </c>
      <c r="N1238" s="1">
        <f t="shared" si="39"/>
        <v>310.38</v>
      </c>
    </row>
    <row r="1239" spans="1:14" x14ac:dyDescent="0.3">
      <c r="A1239" s="1" t="s">
        <v>1715</v>
      </c>
      <c r="B1239" s="1" t="s">
        <v>324</v>
      </c>
      <c r="C1239" s="1" t="s">
        <v>519</v>
      </c>
      <c r="D1239" s="1">
        <v>1</v>
      </c>
      <c r="E1239" s="12">
        <v>45867.152083333334</v>
      </c>
      <c r="F1239" s="1" t="s">
        <v>19</v>
      </c>
      <c r="G1239" s="1" t="s">
        <v>13</v>
      </c>
      <c r="H1239" s="1" t="s">
        <v>41</v>
      </c>
      <c r="I1239" s="1" t="s">
        <v>15</v>
      </c>
      <c r="J1239" s="1" t="str">
        <f t="shared" si="38"/>
        <v>delivered</v>
      </c>
      <c r="K1239" s="1" t="str">
        <f>_xlfn.XLOOKUP(C1239, 'Product Catalog'!$A:$A, 'Product Catalog'!$B:$B, "Unknown Product")</f>
        <v>T-Shirt Model S70</v>
      </c>
      <c r="L1239" s="1" t="str">
        <f>_xlfn.XLOOKUP(C1239, 'Product Catalog'!$A:$A, 'Product Catalog'!$C:$C, "Unknown Category")</f>
        <v>Apparel</v>
      </c>
      <c r="M1239" s="1">
        <f>_xlfn.XLOOKUP(C1239, 'Product Catalog'!$A:$A, 'Product Catalog'!$D:$D, 0)</f>
        <v>75.45</v>
      </c>
      <c r="N1239" s="1">
        <f t="shared" si="39"/>
        <v>75.45</v>
      </c>
    </row>
    <row r="1240" spans="1:14" x14ac:dyDescent="0.3">
      <c r="A1240" s="1" t="s">
        <v>1716</v>
      </c>
      <c r="B1240" s="1" t="s">
        <v>1380</v>
      </c>
      <c r="C1240" s="1" t="s">
        <v>84</v>
      </c>
      <c r="D1240" s="1">
        <v>4</v>
      </c>
      <c r="E1240" s="12">
        <v>45788.868750000001</v>
      </c>
      <c r="F1240" s="1" t="s">
        <v>19</v>
      </c>
      <c r="G1240" s="1" t="s">
        <v>50</v>
      </c>
      <c r="H1240" s="1" t="s">
        <v>41</v>
      </c>
      <c r="I1240" s="1" t="s">
        <v>81</v>
      </c>
      <c r="J1240" s="1" t="str">
        <f t="shared" si="38"/>
        <v>REFUNDED</v>
      </c>
      <c r="K1240" s="1" t="str">
        <f>_xlfn.XLOOKUP(C1240, 'Product Catalog'!$A:$A, 'Product Catalog'!$B:$B, "Unknown Product")</f>
        <v>Smartwatch Model J35</v>
      </c>
      <c r="L1240" s="1" t="str">
        <f>_xlfn.XLOOKUP(C1240, 'Product Catalog'!$A:$A, 'Product Catalog'!$C:$C, "Unknown Category")</f>
        <v>Electronics</v>
      </c>
      <c r="M1240" s="1">
        <f>_xlfn.XLOOKUP(C1240, 'Product Catalog'!$A:$A, 'Product Catalog'!$D:$D, 0)</f>
        <v>161.94999999999999</v>
      </c>
      <c r="N1240" s="1">
        <f t="shared" si="39"/>
        <v>647.79999999999995</v>
      </c>
    </row>
    <row r="1241" spans="1:14" x14ac:dyDescent="0.3">
      <c r="A1241" s="1" t="s">
        <v>1717</v>
      </c>
      <c r="B1241" s="1" t="s">
        <v>494</v>
      </c>
      <c r="C1241" s="1" t="s">
        <v>409</v>
      </c>
      <c r="D1241" s="1">
        <v>2</v>
      </c>
      <c r="E1241" s="12">
        <v>45758.26666666667</v>
      </c>
      <c r="F1241" s="1" t="s">
        <v>19</v>
      </c>
      <c r="G1241" s="1" t="s">
        <v>109</v>
      </c>
      <c r="H1241" s="1" t="s">
        <v>24</v>
      </c>
      <c r="I1241" s="1" t="s">
        <v>15</v>
      </c>
      <c r="J1241" s="1" t="str">
        <f t="shared" si="38"/>
        <v>delivered</v>
      </c>
      <c r="K1241" s="1" t="str">
        <f>_xlfn.XLOOKUP(C1241, 'Product Catalog'!$A:$A, 'Product Catalog'!$B:$B, "Unknown Product")</f>
        <v>Desk Lamp Model I34</v>
      </c>
      <c r="L1241" s="1" t="str">
        <f>_xlfn.XLOOKUP(C1241, 'Product Catalog'!$A:$A, 'Product Catalog'!$C:$C, "Unknown Category")</f>
        <v>Home Goods</v>
      </c>
      <c r="M1241" s="1">
        <f>_xlfn.XLOOKUP(C1241, 'Product Catalog'!$A:$A, 'Product Catalog'!$D:$D, 0)</f>
        <v>141.91</v>
      </c>
      <c r="N1241" s="1">
        <f t="shared" si="39"/>
        <v>283.82</v>
      </c>
    </row>
    <row r="1242" spans="1:14" x14ac:dyDescent="0.3">
      <c r="A1242" s="1" t="s">
        <v>1718</v>
      </c>
      <c r="B1242" s="1" t="s">
        <v>575</v>
      </c>
      <c r="C1242" s="1" t="s">
        <v>749</v>
      </c>
      <c r="D1242" s="1">
        <v>1</v>
      </c>
      <c r="E1242" s="12">
        <v>45719.558333333334</v>
      </c>
      <c r="F1242" s="1" t="s">
        <v>12</v>
      </c>
      <c r="G1242" s="1" t="s">
        <v>46</v>
      </c>
      <c r="H1242" s="1" t="s">
        <v>41</v>
      </c>
      <c r="I1242" s="1" t="s">
        <v>15</v>
      </c>
      <c r="J1242" s="1" t="str">
        <f t="shared" si="38"/>
        <v>delivered</v>
      </c>
      <c r="K1242" s="1" t="str">
        <f>_xlfn.XLOOKUP(C1242, 'Product Catalog'!$A:$A, 'Product Catalog'!$B:$B, "Unknown Product")</f>
        <v>VPN 6-Month Pass Model A130</v>
      </c>
      <c r="L1242" s="1" t="str">
        <f>_xlfn.XLOOKUP(C1242, 'Product Catalog'!$A:$A, 'Product Catalog'!$C:$C, "Unknown Category")</f>
        <v>Digital Services</v>
      </c>
      <c r="M1242" s="1">
        <f>_xlfn.XLOOKUP(C1242, 'Product Catalog'!$A:$A, 'Product Catalog'!$D:$D, 0)</f>
        <v>81.61</v>
      </c>
      <c r="N1242" s="1">
        <f t="shared" si="39"/>
        <v>81.61</v>
      </c>
    </row>
    <row r="1243" spans="1:14" x14ac:dyDescent="0.3">
      <c r="A1243" s="1" t="s">
        <v>1719</v>
      </c>
      <c r="B1243" s="1" t="s">
        <v>249</v>
      </c>
      <c r="C1243" s="1" t="s">
        <v>224</v>
      </c>
      <c r="D1243" s="1">
        <v>1</v>
      </c>
      <c r="E1243" s="12">
        <v>45768.65</v>
      </c>
      <c r="F1243" s="1" t="s">
        <v>12</v>
      </c>
      <c r="G1243" s="1" t="s">
        <v>31</v>
      </c>
      <c r="H1243" s="1" t="s">
        <v>41</v>
      </c>
      <c r="I1243" s="1" t="s">
        <v>15</v>
      </c>
      <c r="J1243" s="1" t="str">
        <f t="shared" si="38"/>
        <v>delivered</v>
      </c>
      <c r="K1243" s="1" t="str">
        <f>_xlfn.XLOOKUP(C1243, 'Product Catalog'!$A:$A, 'Product Catalog'!$B:$B, "Unknown Product")</f>
        <v>Organizer Model P93</v>
      </c>
      <c r="L1243" s="1" t="str">
        <f>_xlfn.XLOOKUP(C1243, 'Product Catalog'!$A:$A, 'Product Catalog'!$C:$C, "Unknown Category")</f>
        <v>Home Goods</v>
      </c>
      <c r="M1243" s="1">
        <f>_xlfn.XLOOKUP(C1243, 'Product Catalog'!$A:$A, 'Product Catalog'!$D:$D, 0)</f>
        <v>175.55</v>
      </c>
      <c r="N1243" s="1">
        <f t="shared" si="39"/>
        <v>175.55</v>
      </c>
    </row>
    <row r="1244" spans="1:14" x14ac:dyDescent="0.3">
      <c r="A1244" s="1" t="s">
        <v>1720</v>
      </c>
      <c r="B1244" s="1" t="s">
        <v>1026</v>
      </c>
      <c r="C1244" s="1" t="s">
        <v>18</v>
      </c>
      <c r="D1244" s="1">
        <v>1</v>
      </c>
      <c r="E1244" s="12">
        <v>45755.480555555558</v>
      </c>
      <c r="F1244" s="1" t="s">
        <v>12</v>
      </c>
      <c r="G1244" s="1" t="s">
        <v>46</v>
      </c>
      <c r="H1244" s="1" t="s">
        <v>41</v>
      </c>
      <c r="I1244" s="1" t="s">
        <v>15</v>
      </c>
      <c r="J1244" s="1" t="str">
        <f t="shared" si="38"/>
        <v>delivered</v>
      </c>
      <c r="K1244" s="1" t="str">
        <f>_xlfn.XLOOKUP(C1244, 'Product Catalog'!$A:$A, 'Product Catalog'!$B:$B, "Unknown Product")</f>
        <v>Sneakers Model H137</v>
      </c>
      <c r="L1244" s="1" t="str">
        <f>_xlfn.XLOOKUP(C1244, 'Product Catalog'!$A:$A, 'Product Catalog'!$C:$C, "Unknown Category")</f>
        <v>Apparel</v>
      </c>
      <c r="M1244" s="1">
        <f>_xlfn.XLOOKUP(C1244, 'Product Catalog'!$A:$A, 'Product Catalog'!$D:$D, 0)</f>
        <v>33.53</v>
      </c>
      <c r="N1244" s="1">
        <f t="shared" si="39"/>
        <v>33.53</v>
      </c>
    </row>
    <row r="1245" spans="1:14" x14ac:dyDescent="0.3">
      <c r="A1245" s="1" t="s">
        <v>1721</v>
      </c>
      <c r="B1245" s="1" t="s">
        <v>183</v>
      </c>
      <c r="C1245" s="1" t="s">
        <v>851</v>
      </c>
      <c r="D1245" s="1">
        <v>4</v>
      </c>
      <c r="E1245" s="12">
        <v>45713.588888888888</v>
      </c>
      <c r="F1245" s="1" t="s">
        <v>19</v>
      </c>
      <c r="G1245" s="1" t="s">
        <v>50</v>
      </c>
      <c r="H1245" s="1" t="s">
        <v>55</v>
      </c>
      <c r="I1245" s="1" t="s">
        <v>102</v>
      </c>
      <c r="J1245" s="1" t="str">
        <f t="shared" si="38"/>
        <v>disputed</v>
      </c>
      <c r="K1245" s="1" t="str">
        <f>_xlfn.XLOOKUP(C1245, 'Product Catalog'!$A:$A, 'Product Catalog'!$B:$B, "Unknown Product")</f>
        <v>Charger Model H59</v>
      </c>
      <c r="L1245" s="1" t="str">
        <f>_xlfn.XLOOKUP(C1245, 'Product Catalog'!$A:$A, 'Product Catalog'!$C:$C, "Unknown Category")</f>
        <v>Electronics</v>
      </c>
      <c r="M1245" s="1">
        <f>_xlfn.XLOOKUP(C1245, 'Product Catalog'!$A:$A, 'Product Catalog'!$D:$D, 0)</f>
        <v>204.89</v>
      </c>
      <c r="N1245" s="1">
        <f t="shared" si="39"/>
        <v>819.56</v>
      </c>
    </row>
    <row r="1246" spans="1:14" x14ac:dyDescent="0.3">
      <c r="A1246" s="1" t="s">
        <v>1722</v>
      </c>
      <c r="B1246" s="1" t="s">
        <v>754</v>
      </c>
      <c r="C1246" s="1" t="s">
        <v>281</v>
      </c>
      <c r="D1246" s="1">
        <v>2</v>
      </c>
      <c r="E1246" s="12">
        <v>45681.9</v>
      </c>
      <c r="F1246" s="1" t="s">
        <v>12</v>
      </c>
      <c r="G1246" s="1" t="s">
        <v>13</v>
      </c>
      <c r="H1246" s="1" t="s">
        <v>14</v>
      </c>
      <c r="I1246" s="1" t="s">
        <v>15</v>
      </c>
      <c r="J1246" s="1" t="str">
        <f t="shared" si="38"/>
        <v>delivered</v>
      </c>
      <c r="K1246" s="1" t="str">
        <f>_xlfn.XLOOKUP(C1246, 'Product Catalog'!$A:$A, 'Product Catalog'!$B:$B, "Unknown Product")</f>
        <v>VPN 6-Month Pass Model B105</v>
      </c>
      <c r="L1246" s="1" t="str">
        <f>_xlfn.XLOOKUP(C1246, 'Product Catalog'!$A:$A, 'Product Catalog'!$C:$C, "Unknown Category")</f>
        <v>Digital Services</v>
      </c>
      <c r="M1246" s="1">
        <f>_xlfn.XLOOKUP(C1246, 'Product Catalog'!$A:$A, 'Product Catalog'!$D:$D, 0)</f>
        <v>36.130000000000003</v>
      </c>
      <c r="N1246" s="1">
        <f t="shared" si="39"/>
        <v>72.260000000000005</v>
      </c>
    </row>
    <row r="1247" spans="1:14" x14ac:dyDescent="0.3">
      <c r="A1247" s="1" t="s">
        <v>1723</v>
      </c>
      <c r="B1247" s="1" t="s">
        <v>804</v>
      </c>
      <c r="C1247" s="1" t="s">
        <v>148</v>
      </c>
      <c r="D1247" s="1">
        <v>1</v>
      </c>
      <c r="E1247" s="12">
        <v>46002.836805555555</v>
      </c>
      <c r="F1247" s="1" t="s">
        <v>19</v>
      </c>
      <c r="G1247" s="1" t="s">
        <v>13</v>
      </c>
      <c r="H1247" s="1" t="s">
        <v>14</v>
      </c>
      <c r="I1247" s="1" t="s">
        <v>81</v>
      </c>
      <c r="J1247" s="1" t="str">
        <f t="shared" si="38"/>
        <v>REFUNDED</v>
      </c>
      <c r="K1247" s="1" t="str">
        <f>_xlfn.XLOOKUP(C1247, 'Product Catalog'!$A:$A, 'Product Catalog'!$B:$B, "Unknown Product")</f>
        <v>Charger Model W100</v>
      </c>
      <c r="L1247" s="1" t="str">
        <f>_xlfn.XLOOKUP(C1247, 'Product Catalog'!$A:$A, 'Product Catalog'!$C:$C, "Unknown Category")</f>
        <v>Electronics</v>
      </c>
      <c r="M1247" s="1">
        <f>_xlfn.XLOOKUP(C1247, 'Product Catalog'!$A:$A, 'Product Catalog'!$D:$D, 0)</f>
        <v>219.96</v>
      </c>
      <c r="N1247" s="1">
        <f t="shared" si="39"/>
        <v>219.96</v>
      </c>
    </row>
    <row r="1248" spans="1:14" x14ac:dyDescent="0.3">
      <c r="A1248" s="1" t="s">
        <v>1724</v>
      </c>
      <c r="B1248" s="1" t="s">
        <v>546</v>
      </c>
      <c r="C1248" s="1" t="s">
        <v>268</v>
      </c>
      <c r="D1248" s="1">
        <v>5</v>
      </c>
      <c r="E1248" s="12">
        <v>45721.640277777777</v>
      </c>
      <c r="F1248" s="1" t="s">
        <v>12</v>
      </c>
      <c r="G1248" s="1" t="s">
        <v>40</v>
      </c>
      <c r="H1248" s="1" t="s">
        <v>51</v>
      </c>
      <c r="I1248" s="1" t="s">
        <v>81</v>
      </c>
      <c r="J1248" s="1" t="str">
        <f t="shared" si="38"/>
        <v>REFUNDED</v>
      </c>
      <c r="K1248" s="1" t="str">
        <f>_xlfn.XLOOKUP(C1248, 'Product Catalog'!$A:$A, 'Product Catalog'!$B:$B, "Unknown Product")</f>
        <v>Sneakers Model P119</v>
      </c>
      <c r="L1248" s="1" t="str">
        <f>_xlfn.XLOOKUP(C1248, 'Product Catalog'!$A:$A, 'Product Catalog'!$C:$C, "Unknown Category")</f>
        <v>Apparel</v>
      </c>
      <c r="M1248" s="1">
        <f>_xlfn.XLOOKUP(C1248, 'Product Catalog'!$A:$A, 'Product Catalog'!$D:$D, 0)</f>
        <v>19.329999999999998</v>
      </c>
      <c r="N1248" s="1">
        <f t="shared" si="39"/>
        <v>96.649999999999991</v>
      </c>
    </row>
    <row r="1249" spans="1:14" x14ac:dyDescent="0.3">
      <c r="A1249" s="1" t="s">
        <v>1725</v>
      </c>
      <c r="B1249" s="1" t="s">
        <v>584</v>
      </c>
      <c r="C1249" s="1" t="s">
        <v>780</v>
      </c>
      <c r="D1249" s="1">
        <v>1</v>
      </c>
      <c r="E1249" s="12">
        <v>45892.936111111114</v>
      </c>
      <c r="F1249" s="1" t="s">
        <v>12</v>
      </c>
      <c r="G1249" s="1" t="s">
        <v>13</v>
      </c>
      <c r="H1249" s="1" t="s">
        <v>14</v>
      </c>
      <c r="I1249" s="1" t="s">
        <v>15</v>
      </c>
      <c r="J1249" s="1" t="str">
        <f t="shared" si="38"/>
        <v>delivered</v>
      </c>
      <c r="K1249" s="1" t="str">
        <f>_xlfn.XLOOKUP(C1249, 'Product Catalog'!$A:$A, 'Product Catalog'!$B:$B, "Unknown Product")</f>
        <v>Organizer Model D133</v>
      </c>
      <c r="L1249" s="1" t="str">
        <f>_xlfn.XLOOKUP(C1249, 'Product Catalog'!$A:$A, 'Product Catalog'!$C:$C, "Unknown Category")</f>
        <v>Home Goods</v>
      </c>
      <c r="M1249" s="1">
        <f>_xlfn.XLOOKUP(C1249, 'Product Catalog'!$A:$A, 'Product Catalog'!$D:$D, 0)</f>
        <v>144.43</v>
      </c>
      <c r="N1249" s="1">
        <f t="shared" si="39"/>
        <v>144.43</v>
      </c>
    </row>
    <row r="1250" spans="1:14" x14ac:dyDescent="0.3">
      <c r="A1250" s="1" t="s">
        <v>1726</v>
      </c>
      <c r="B1250" s="1" t="s">
        <v>70</v>
      </c>
      <c r="C1250" s="1" t="s">
        <v>157</v>
      </c>
      <c r="D1250" s="1">
        <v>1</v>
      </c>
      <c r="E1250" s="12">
        <v>45959.716666666667</v>
      </c>
      <c r="F1250" s="1" t="s">
        <v>19</v>
      </c>
      <c r="G1250" s="1" t="s">
        <v>13</v>
      </c>
      <c r="H1250" s="1" t="s">
        <v>41</v>
      </c>
      <c r="I1250" s="1" t="s">
        <v>15</v>
      </c>
      <c r="J1250" s="1" t="str">
        <f t="shared" si="38"/>
        <v>delivered</v>
      </c>
      <c r="K1250" s="1" t="str">
        <f>_xlfn.XLOOKUP(C1250, 'Product Catalog'!$A:$A, 'Product Catalog'!$B:$B, "Unknown Product")</f>
        <v>Coffee Maker Model Q68</v>
      </c>
      <c r="L1250" s="1" t="str">
        <f>_xlfn.XLOOKUP(C1250, 'Product Catalog'!$A:$A, 'Product Catalog'!$C:$C, "Unknown Category")</f>
        <v>Home Goods</v>
      </c>
      <c r="M1250" s="1">
        <f>_xlfn.XLOOKUP(C1250, 'Product Catalog'!$A:$A, 'Product Catalog'!$D:$D, 0)</f>
        <v>28.02</v>
      </c>
      <c r="N1250" s="1">
        <f t="shared" si="39"/>
        <v>28.02</v>
      </c>
    </row>
    <row r="1251" spans="1:14" x14ac:dyDescent="0.3">
      <c r="A1251" s="1" t="s">
        <v>1727</v>
      </c>
      <c r="B1251" s="1" t="s">
        <v>448</v>
      </c>
      <c r="C1251" s="1" t="s">
        <v>522</v>
      </c>
      <c r="D1251" s="1">
        <v>4</v>
      </c>
      <c r="E1251" s="12">
        <v>45726.709027777775</v>
      </c>
      <c r="F1251" s="1" t="s">
        <v>19</v>
      </c>
      <c r="G1251" s="1" t="s">
        <v>109</v>
      </c>
      <c r="H1251" s="1" t="s">
        <v>41</v>
      </c>
      <c r="I1251" s="1" t="s">
        <v>56</v>
      </c>
      <c r="J1251" s="1" t="str">
        <f t="shared" si="38"/>
        <v>cancelled</v>
      </c>
      <c r="K1251" s="1" t="str">
        <f>_xlfn.XLOOKUP(C1251, 'Product Catalog'!$A:$A, 'Product Catalog'!$B:$B, "Unknown Product")</f>
        <v>Leather Handbag Model F5</v>
      </c>
      <c r="L1251" s="1" t="str">
        <f>_xlfn.XLOOKUP(C1251, 'Product Catalog'!$A:$A, 'Product Catalog'!$C:$C, "Unknown Category")</f>
        <v>Luxury Goods</v>
      </c>
      <c r="M1251" s="1">
        <f>_xlfn.XLOOKUP(C1251, 'Product Catalog'!$A:$A, 'Product Catalog'!$D:$D, 0)</f>
        <v>1875.24</v>
      </c>
      <c r="N1251" s="1">
        <f t="shared" si="39"/>
        <v>7500.96</v>
      </c>
    </row>
    <row r="1252" spans="1:14" x14ac:dyDescent="0.3">
      <c r="A1252" s="1" t="s">
        <v>1728</v>
      </c>
      <c r="B1252" s="1" t="s">
        <v>537</v>
      </c>
      <c r="C1252" s="1" t="s">
        <v>95</v>
      </c>
      <c r="D1252" s="1">
        <v>1</v>
      </c>
      <c r="E1252" s="12">
        <v>45660.754166666666</v>
      </c>
      <c r="F1252" s="1" t="s">
        <v>12</v>
      </c>
      <c r="G1252" s="1" t="s">
        <v>50</v>
      </c>
      <c r="H1252" s="1" t="s">
        <v>51</v>
      </c>
      <c r="I1252" s="1" t="s">
        <v>42</v>
      </c>
      <c r="J1252" s="1" t="str">
        <f t="shared" si="38"/>
        <v>PENDING_REVIEW</v>
      </c>
      <c r="K1252" s="1" t="str">
        <f>_xlfn.XLOOKUP(C1252, 'Product Catalog'!$A:$A, 'Product Catalog'!$B:$B, "Unknown Product")</f>
        <v>Jacket Model U72</v>
      </c>
      <c r="L1252" s="1" t="str">
        <f>_xlfn.XLOOKUP(C1252, 'Product Catalog'!$A:$A, 'Product Catalog'!$C:$C, "Unknown Category")</f>
        <v>Apparel</v>
      </c>
      <c r="M1252" s="1">
        <f>_xlfn.XLOOKUP(C1252, 'Product Catalog'!$A:$A, 'Product Catalog'!$D:$D, 0)</f>
        <v>75.400000000000006</v>
      </c>
      <c r="N1252" s="1">
        <f t="shared" si="39"/>
        <v>75.400000000000006</v>
      </c>
    </row>
    <row r="1253" spans="1:14" x14ac:dyDescent="0.3">
      <c r="A1253" s="1" t="s">
        <v>1729</v>
      </c>
      <c r="B1253" s="1" t="s">
        <v>607</v>
      </c>
      <c r="C1253" s="1" t="s">
        <v>27</v>
      </c>
      <c r="D1253" s="1">
        <v>4</v>
      </c>
      <c r="E1253" s="12">
        <v>45682.786805555559</v>
      </c>
      <c r="F1253" s="1" t="s">
        <v>12</v>
      </c>
      <c r="G1253" s="1" t="s">
        <v>50</v>
      </c>
      <c r="H1253" s="1" t="s">
        <v>51</v>
      </c>
      <c r="I1253" s="1" t="s">
        <v>102</v>
      </c>
      <c r="J1253" s="1" t="str">
        <f t="shared" si="38"/>
        <v>disputed</v>
      </c>
      <c r="K1253" s="1" t="str">
        <f>_xlfn.XLOOKUP(C1253, 'Product Catalog'!$A:$A, 'Product Catalog'!$B:$B, "Unknown Product")</f>
        <v>Premium Stream 1M Model B53</v>
      </c>
      <c r="L1253" s="1" t="str">
        <f>_xlfn.XLOOKUP(C1253, 'Product Catalog'!$A:$A, 'Product Catalog'!$C:$C, "Unknown Category")</f>
        <v>Digital Services</v>
      </c>
      <c r="M1253" s="1">
        <f>_xlfn.XLOOKUP(C1253, 'Product Catalog'!$A:$A, 'Product Catalog'!$D:$D, 0)</f>
        <v>13.87</v>
      </c>
      <c r="N1253" s="1">
        <f t="shared" si="39"/>
        <v>55.48</v>
      </c>
    </row>
    <row r="1254" spans="1:14" x14ac:dyDescent="0.3">
      <c r="A1254" s="1" t="s">
        <v>1730</v>
      </c>
      <c r="B1254" s="1" t="s">
        <v>218</v>
      </c>
      <c r="C1254" s="1" t="s">
        <v>519</v>
      </c>
      <c r="D1254" s="1">
        <v>1</v>
      </c>
      <c r="E1254" s="12">
        <v>45879.831944444442</v>
      </c>
      <c r="F1254" s="1" t="s">
        <v>19</v>
      </c>
      <c r="G1254" s="1" t="s">
        <v>46</v>
      </c>
      <c r="H1254" s="1" t="s">
        <v>14</v>
      </c>
      <c r="I1254" s="1" t="s">
        <v>15</v>
      </c>
      <c r="J1254" s="1" t="str">
        <f t="shared" si="38"/>
        <v>delivered</v>
      </c>
      <c r="K1254" s="1" t="str">
        <f>_xlfn.XLOOKUP(C1254, 'Product Catalog'!$A:$A, 'Product Catalog'!$B:$B, "Unknown Product")</f>
        <v>T-Shirt Model S70</v>
      </c>
      <c r="L1254" s="1" t="str">
        <f>_xlfn.XLOOKUP(C1254, 'Product Catalog'!$A:$A, 'Product Catalog'!$C:$C, "Unknown Category")</f>
        <v>Apparel</v>
      </c>
      <c r="M1254" s="1">
        <f>_xlfn.XLOOKUP(C1254, 'Product Catalog'!$A:$A, 'Product Catalog'!$D:$D, 0)</f>
        <v>75.45</v>
      </c>
      <c r="N1254" s="1">
        <f t="shared" si="39"/>
        <v>75.45</v>
      </c>
    </row>
    <row r="1255" spans="1:14" x14ac:dyDescent="0.3">
      <c r="A1255" s="1" t="s">
        <v>1731</v>
      </c>
      <c r="B1255" s="1" t="s">
        <v>461</v>
      </c>
      <c r="C1255" s="1" t="s">
        <v>164</v>
      </c>
      <c r="D1255" s="1">
        <v>4</v>
      </c>
      <c r="E1255" s="12">
        <v>45905.722916666666</v>
      </c>
      <c r="F1255" s="1" t="s">
        <v>19</v>
      </c>
      <c r="G1255" s="1" t="s">
        <v>13</v>
      </c>
      <c r="H1255" s="1" t="s">
        <v>55</v>
      </c>
      <c r="I1255" s="1" t="s">
        <v>56</v>
      </c>
      <c r="J1255" s="1" t="str">
        <f t="shared" si="38"/>
        <v>cancelled</v>
      </c>
      <c r="K1255" s="1" t="str">
        <f>_xlfn.XLOOKUP(C1255, 'Product Catalog'!$A:$A, 'Product Catalog'!$B:$B, "Unknown Product")</f>
        <v>Gold Bracelet Model A26</v>
      </c>
      <c r="L1255" s="1" t="str">
        <f>_xlfn.XLOOKUP(C1255, 'Product Catalog'!$A:$A, 'Product Catalog'!$C:$C, "Unknown Category")</f>
        <v>Luxury Goods</v>
      </c>
      <c r="M1255" s="1">
        <f>_xlfn.XLOOKUP(C1255, 'Product Catalog'!$A:$A, 'Product Catalog'!$D:$D, 0)</f>
        <v>1096.3900000000001</v>
      </c>
      <c r="N1255" s="1">
        <f t="shared" si="39"/>
        <v>4385.5600000000004</v>
      </c>
    </row>
    <row r="1256" spans="1:14" x14ac:dyDescent="0.3">
      <c r="A1256" s="1" t="s">
        <v>1732</v>
      </c>
      <c r="B1256" s="1" t="s">
        <v>153</v>
      </c>
      <c r="C1256" s="1" t="s">
        <v>512</v>
      </c>
      <c r="D1256" s="1">
        <v>5</v>
      </c>
      <c r="E1256" s="12">
        <v>45748.98333333333</v>
      </c>
      <c r="F1256" s="1" t="s">
        <v>170</v>
      </c>
      <c r="G1256" s="1" t="s">
        <v>109</v>
      </c>
      <c r="H1256" s="1" t="s">
        <v>51</v>
      </c>
      <c r="I1256" s="1" t="s">
        <v>42</v>
      </c>
      <c r="J1256" s="1" t="str">
        <f t="shared" si="38"/>
        <v>PENDING_REVIEW</v>
      </c>
      <c r="K1256" s="1" t="str">
        <f>_xlfn.XLOOKUP(C1256, 'Product Catalog'!$A:$A, 'Product Catalog'!$B:$B, "Unknown Product")</f>
        <v>Designer Watch Model M116</v>
      </c>
      <c r="L1256" s="1" t="str">
        <f>_xlfn.XLOOKUP(C1256, 'Product Catalog'!$A:$A, 'Product Catalog'!$C:$C, "Unknown Category")</f>
        <v>Luxury Goods</v>
      </c>
      <c r="M1256" s="1">
        <f>_xlfn.XLOOKUP(C1256, 'Product Catalog'!$A:$A, 'Product Catalog'!$D:$D, 0)</f>
        <v>968.52</v>
      </c>
      <c r="N1256" s="1">
        <f t="shared" si="39"/>
        <v>4842.6000000000004</v>
      </c>
    </row>
    <row r="1257" spans="1:14" x14ac:dyDescent="0.3">
      <c r="A1257" s="1" t="s">
        <v>1733</v>
      </c>
      <c r="B1257" s="1" t="s">
        <v>584</v>
      </c>
      <c r="C1257" s="1" t="s">
        <v>45</v>
      </c>
      <c r="D1257" s="1">
        <v>2</v>
      </c>
      <c r="E1257" s="12">
        <v>45954.246527777781</v>
      </c>
      <c r="F1257" s="1" t="s">
        <v>12</v>
      </c>
      <c r="G1257" s="1" t="s">
        <v>31</v>
      </c>
      <c r="H1257" s="1" t="s">
        <v>14</v>
      </c>
      <c r="I1257" s="1" t="s">
        <v>81</v>
      </c>
      <c r="J1257" s="1" t="str">
        <f t="shared" si="38"/>
        <v>REFUNDED</v>
      </c>
      <c r="K1257" s="1" t="str">
        <f>_xlfn.XLOOKUP(C1257, 'Product Catalog'!$A:$A, 'Product Catalog'!$B:$B, "Unknown Product")</f>
        <v>Jacket Model N91</v>
      </c>
      <c r="L1257" s="1" t="str">
        <f>_xlfn.XLOOKUP(C1257, 'Product Catalog'!$A:$A, 'Product Catalog'!$C:$C, "Unknown Category")</f>
        <v>Apparel</v>
      </c>
      <c r="M1257" s="1">
        <f>_xlfn.XLOOKUP(C1257, 'Product Catalog'!$A:$A, 'Product Catalog'!$D:$D, 0)</f>
        <v>13.96</v>
      </c>
      <c r="N1257" s="1">
        <f t="shared" si="39"/>
        <v>27.92</v>
      </c>
    </row>
    <row r="1258" spans="1:14" x14ac:dyDescent="0.3">
      <c r="A1258" s="1" t="s">
        <v>1734</v>
      </c>
      <c r="B1258" s="1" t="s">
        <v>417</v>
      </c>
      <c r="C1258" s="1" t="s">
        <v>237</v>
      </c>
      <c r="D1258" s="1">
        <v>4</v>
      </c>
      <c r="E1258" s="12">
        <v>45723.147222222222</v>
      </c>
      <c r="F1258" s="1" t="s">
        <v>12</v>
      </c>
      <c r="G1258" s="1" t="s">
        <v>109</v>
      </c>
      <c r="H1258" s="1" t="s">
        <v>55</v>
      </c>
      <c r="I1258" s="1" t="s">
        <v>102</v>
      </c>
      <c r="J1258" s="1" t="str">
        <f t="shared" si="38"/>
        <v>disputed</v>
      </c>
      <c r="K1258" s="1" t="str">
        <f>_xlfn.XLOOKUP(C1258, 'Product Catalog'!$A:$A, 'Product Catalog'!$B:$B, "Unknown Product")</f>
        <v>Leather Handbag Model U20</v>
      </c>
      <c r="L1258" s="1" t="str">
        <f>_xlfn.XLOOKUP(C1258, 'Product Catalog'!$A:$A, 'Product Catalog'!$C:$C, "Unknown Category")</f>
        <v>Luxury Goods</v>
      </c>
      <c r="M1258" s="1">
        <f>_xlfn.XLOOKUP(C1258, 'Product Catalog'!$A:$A, 'Product Catalog'!$D:$D, 0)</f>
        <v>1806.15</v>
      </c>
      <c r="N1258" s="1">
        <f t="shared" si="39"/>
        <v>7224.6</v>
      </c>
    </row>
    <row r="1259" spans="1:14" x14ac:dyDescent="0.3">
      <c r="A1259" s="1" t="s">
        <v>1735</v>
      </c>
      <c r="B1259" s="1" t="s">
        <v>823</v>
      </c>
      <c r="C1259" s="1" t="s">
        <v>492</v>
      </c>
      <c r="D1259" s="1">
        <v>1</v>
      </c>
      <c r="E1259" s="12">
        <v>45856.93472222222</v>
      </c>
      <c r="F1259" s="1" t="s">
        <v>19</v>
      </c>
      <c r="G1259" s="1" t="s">
        <v>13</v>
      </c>
      <c r="H1259" s="1" t="s">
        <v>14</v>
      </c>
      <c r="I1259" s="1" t="s">
        <v>15</v>
      </c>
      <c r="J1259" s="1" t="str">
        <f t="shared" si="38"/>
        <v>delivered</v>
      </c>
      <c r="K1259" s="1" t="str">
        <f>_xlfn.XLOOKUP(C1259, 'Product Catalog'!$A:$A, 'Product Catalog'!$B:$B, "Unknown Product")</f>
        <v>Blender Model Q16</v>
      </c>
      <c r="L1259" s="1" t="str">
        <f>_xlfn.XLOOKUP(C1259, 'Product Catalog'!$A:$A, 'Product Catalog'!$C:$C, "Unknown Category")</f>
        <v>Home Goods</v>
      </c>
      <c r="M1259" s="1">
        <f>_xlfn.XLOOKUP(C1259, 'Product Catalog'!$A:$A, 'Product Catalog'!$D:$D, 0)</f>
        <v>79.23</v>
      </c>
      <c r="N1259" s="1">
        <f t="shared" si="39"/>
        <v>79.23</v>
      </c>
    </row>
    <row r="1260" spans="1:14" x14ac:dyDescent="0.3">
      <c r="A1260" s="1" t="s">
        <v>1736</v>
      </c>
      <c r="B1260" s="1" t="s">
        <v>342</v>
      </c>
      <c r="C1260" s="1" t="s">
        <v>691</v>
      </c>
      <c r="D1260" s="1">
        <v>5</v>
      </c>
      <c r="E1260" s="12">
        <v>45965.861805555556</v>
      </c>
      <c r="F1260" s="1" t="s">
        <v>19</v>
      </c>
      <c r="G1260" s="1" t="s">
        <v>20</v>
      </c>
      <c r="H1260" s="1" t="s">
        <v>41</v>
      </c>
      <c r="I1260" s="1" t="s">
        <v>42</v>
      </c>
      <c r="J1260" s="1" t="str">
        <f t="shared" si="38"/>
        <v>PENDING_REVIEW</v>
      </c>
      <c r="K1260" s="1" t="str">
        <f>_xlfn.XLOOKUP(C1260, 'Product Catalog'!$A:$A, 'Product Catalog'!$B:$B, "Unknown Product")</f>
        <v>Designer Watch Model T123</v>
      </c>
      <c r="L1260" s="1" t="str">
        <f>_xlfn.XLOOKUP(C1260, 'Product Catalog'!$A:$A, 'Product Catalog'!$C:$C, "Unknown Category")</f>
        <v>Luxury Goods</v>
      </c>
      <c r="M1260" s="1">
        <f>_xlfn.XLOOKUP(C1260, 'Product Catalog'!$A:$A, 'Product Catalog'!$D:$D, 0)</f>
        <v>1301.92</v>
      </c>
      <c r="N1260" s="1">
        <f t="shared" si="39"/>
        <v>6509.6</v>
      </c>
    </row>
    <row r="1261" spans="1:14" x14ac:dyDescent="0.3">
      <c r="A1261" s="1" t="s">
        <v>1737</v>
      </c>
      <c r="B1261" s="1" t="s">
        <v>1738</v>
      </c>
      <c r="C1261" s="1" t="s">
        <v>173</v>
      </c>
      <c r="D1261" s="1">
        <v>1</v>
      </c>
      <c r="E1261" s="12">
        <v>45822.716666666667</v>
      </c>
      <c r="F1261" s="1" t="s">
        <v>170</v>
      </c>
      <c r="G1261" s="1" t="s">
        <v>46</v>
      </c>
      <c r="H1261" s="1" t="s">
        <v>55</v>
      </c>
      <c r="I1261" s="1" t="s">
        <v>81</v>
      </c>
      <c r="J1261" s="1" t="str">
        <f t="shared" si="38"/>
        <v>REFUNDED</v>
      </c>
      <c r="K1261" s="1" t="str">
        <f>_xlfn.XLOOKUP(C1261, 'Product Catalog'!$A:$A, 'Product Catalog'!$B:$B, "Unknown Product")</f>
        <v>Premium Perfume Model Q120</v>
      </c>
      <c r="L1261" s="1" t="str">
        <f>_xlfn.XLOOKUP(C1261, 'Product Catalog'!$A:$A, 'Product Catalog'!$C:$C, "Unknown Category")</f>
        <v>Luxury Goods</v>
      </c>
      <c r="M1261" s="1">
        <f>_xlfn.XLOOKUP(C1261, 'Product Catalog'!$A:$A, 'Product Catalog'!$D:$D, 0)</f>
        <v>505.45</v>
      </c>
      <c r="N1261" s="1">
        <f t="shared" si="39"/>
        <v>505.45</v>
      </c>
    </row>
    <row r="1262" spans="1:14" x14ac:dyDescent="0.3">
      <c r="A1262" s="1" t="s">
        <v>1739</v>
      </c>
      <c r="B1262" s="1" t="s">
        <v>494</v>
      </c>
      <c r="C1262" s="1" t="s">
        <v>633</v>
      </c>
      <c r="D1262" s="1">
        <v>1</v>
      </c>
      <c r="E1262" s="12">
        <v>45854.595138888886</v>
      </c>
      <c r="F1262" s="1" t="s">
        <v>12</v>
      </c>
      <c r="G1262" s="1" t="s">
        <v>20</v>
      </c>
      <c r="H1262" s="1" t="s">
        <v>14</v>
      </c>
      <c r="I1262" s="1" t="s">
        <v>32</v>
      </c>
      <c r="J1262" s="1" t="str">
        <f t="shared" si="38"/>
        <v>SHIPPED</v>
      </c>
      <c r="K1262" s="1" t="str">
        <f>_xlfn.XLOOKUP(C1262, 'Product Catalog'!$A:$A, 'Product Catalog'!$B:$B, "Unknown Product")</f>
        <v>Keyboard Model X49</v>
      </c>
      <c r="L1262" s="1" t="str">
        <f>_xlfn.XLOOKUP(C1262, 'Product Catalog'!$A:$A, 'Product Catalog'!$C:$C, "Unknown Category")</f>
        <v>Electronics</v>
      </c>
      <c r="M1262" s="1">
        <f>_xlfn.XLOOKUP(C1262, 'Product Catalog'!$A:$A, 'Product Catalog'!$D:$D, 0)</f>
        <v>30.84</v>
      </c>
      <c r="N1262" s="1">
        <f t="shared" si="39"/>
        <v>30.84</v>
      </c>
    </row>
    <row r="1263" spans="1:14" x14ac:dyDescent="0.3">
      <c r="A1263" s="1" t="s">
        <v>1740</v>
      </c>
      <c r="B1263" s="1" t="s">
        <v>395</v>
      </c>
      <c r="C1263" s="1" t="s">
        <v>250</v>
      </c>
      <c r="D1263" s="1">
        <v>1</v>
      </c>
      <c r="E1263" s="12">
        <v>45969.984722222223</v>
      </c>
      <c r="F1263" s="1" t="s">
        <v>185</v>
      </c>
      <c r="G1263" s="1" t="s">
        <v>13</v>
      </c>
      <c r="H1263" s="1" t="s">
        <v>41</v>
      </c>
      <c r="I1263" s="1" t="s">
        <v>15</v>
      </c>
      <c r="J1263" s="1" t="str">
        <f t="shared" si="38"/>
        <v>delivered</v>
      </c>
      <c r="K1263" s="1" t="str">
        <f>_xlfn.XLOOKUP(C1263, 'Product Catalog'!$A:$A, 'Product Catalog'!$B:$B, "Unknown Product")</f>
        <v>Keyboard Model U98</v>
      </c>
      <c r="L1263" s="1" t="str">
        <f>_xlfn.XLOOKUP(C1263, 'Product Catalog'!$A:$A, 'Product Catalog'!$C:$C, "Unknown Category")</f>
        <v>Electronics</v>
      </c>
      <c r="M1263" s="1">
        <f>_xlfn.XLOOKUP(C1263, 'Product Catalog'!$A:$A, 'Product Catalog'!$D:$D, 0)</f>
        <v>188.09</v>
      </c>
      <c r="N1263" s="1">
        <f t="shared" si="39"/>
        <v>188.09</v>
      </c>
    </row>
    <row r="1264" spans="1:14" x14ac:dyDescent="0.3">
      <c r="A1264" s="1" t="s">
        <v>1741</v>
      </c>
      <c r="B1264" s="1" t="s">
        <v>76</v>
      </c>
      <c r="C1264" s="1" t="s">
        <v>268</v>
      </c>
      <c r="D1264" s="1">
        <v>3</v>
      </c>
      <c r="E1264" s="12">
        <v>45785.388888888891</v>
      </c>
      <c r="F1264" s="1" t="s">
        <v>185</v>
      </c>
      <c r="G1264" s="1" t="s">
        <v>46</v>
      </c>
      <c r="H1264" s="1" t="s">
        <v>24</v>
      </c>
      <c r="I1264" s="1" t="s">
        <v>15</v>
      </c>
      <c r="J1264" s="1" t="str">
        <f t="shared" si="38"/>
        <v>delivered</v>
      </c>
      <c r="K1264" s="1" t="str">
        <f>_xlfn.XLOOKUP(C1264, 'Product Catalog'!$A:$A, 'Product Catalog'!$B:$B, "Unknown Product")</f>
        <v>Sneakers Model P119</v>
      </c>
      <c r="L1264" s="1" t="str">
        <f>_xlfn.XLOOKUP(C1264, 'Product Catalog'!$A:$A, 'Product Catalog'!$C:$C, "Unknown Category")</f>
        <v>Apparel</v>
      </c>
      <c r="M1264" s="1">
        <f>_xlfn.XLOOKUP(C1264, 'Product Catalog'!$A:$A, 'Product Catalog'!$D:$D, 0)</f>
        <v>19.329999999999998</v>
      </c>
      <c r="N1264" s="1">
        <f t="shared" si="39"/>
        <v>57.989999999999995</v>
      </c>
    </row>
    <row r="1265" spans="1:14" x14ac:dyDescent="0.3">
      <c r="A1265" s="1" t="s">
        <v>1742</v>
      </c>
      <c r="B1265" s="1" t="s">
        <v>448</v>
      </c>
      <c r="C1265" s="1" t="s">
        <v>261</v>
      </c>
      <c r="D1265" s="1">
        <v>1</v>
      </c>
      <c r="E1265" s="12">
        <v>45861.487500000003</v>
      </c>
      <c r="F1265" s="1" t="s">
        <v>19</v>
      </c>
      <c r="G1265" s="1" t="s">
        <v>13</v>
      </c>
      <c r="H1265" s="1" t="s">
        <v>41</v>
      </c>
      <c r="I1265" s="1" t="s">
        <v>15</v>
      </c>
      <c r="J1265" s="1" t="str">
        <f t="shared" si="38"/>
        <v>delivered</v>
      </c>
      <c r="K1265" s="1" t="str">
        <f>_xlfn.XLOOKUP(C1265, 'Product Catalog'!$A:$A, 'Product Catalog'!$B:$B, "Unknown Product")</f>
        <v>Toaster Model C80</v>
      </c>
      <c r="L1265" s="1" t="str">
        <f>_xlfn.XLOOKUP(C1265, 'Product Catalog'!$A:$A, 'Product Catalog'!$C:$C, "Unknown Category")</f>
        <v>Home Goods</v>
      </c>
      <c r="M1265" s="1">
        <f>_xlfn.XLOOKUP(C1265, 'Product Catalog'!$A:$A, 'Product Catalog'!$D:$D, 0)</f>
        <v>45.24</v>
      </c>
      <c r="N1265" s="1">
        <f t="shared" si="39"/>
        <v>45.24</v>
      </c>
    </row>
    <row r="1266" spans="1:14" x14ac:dyDescent="0.3">
      <c r="A1266" s="1" t="s">
        <v>1743</v>
      </c>
      <c r="B1266" s="1" t="s">
        <v>390</v>
      </c>
      <c r="C1266" s="1" t="s">
        <v>377</v>
      </c>
      <c r="D1266" s="1">
        <v>1</v>
      </c>
      <c r="E1266" s="12">
        <v>45808.643750000003</v>
      </c>
      <c r="F1266" s="1" t="s">
        <v>19</v>
      </c>
      <c r="G1266" s="1" t="s">
        <v>109</v>
      </c>
      <c r="H1266" s="1" t="s">
        <v>14</v>
      </c>
      <c r="I1266" s="1" t="s">
        <v>15</v>
      </c>
      <c r="J1266" s="1" t="str">
        <f t="shared" si="38"/>
        <v>delivered</v>
      </c>
      <c r="K1266" s="1" t="str">
        <f>_xlfn.XLOOKUP(C1266, 'Product Catalog'!$A:$A, 'Product Catalog'!$B:$B, "Unknown Product")</f>
        <v>Mouse Model J61</v>
      </c>
      <c r="L1266" s="1" t="str">
        <f>_xlfn.XLOOKUP(C1266, 'Product Catalog'!$A:$A, 'Product Catalog'!$C:$C, "Unknown Category")</f>
        <v>Electronics</v>
      </c>
      <c r="M1266" s="1">
        <f>_xlfn.XLOOKUP(C1266, 'Product Catalog'!$A:$A, 'Product Catalog'!$D:$D, 0)</f>
        <v>232.7</v>
      </c>
      <c r="N1266" s="1">
        <f t="shared" si="39"/>
        <v>232.7</v>
      </c>
    </row>
    <row r="1267" spans="1:14" x14ac:dyDescent="0.3">
      <c r="A1267" s="1" t="s">
        <v>1744</v>
      </c>
      <c r="B1267" s="1" t="s">
        <v>300</v>
      </c>
      <c r="C1267" s="1" t="s">
        <v>213</v>
      </c>
      <c r="D1267" s="1">
        <v>1</v>
      </c>
      <c r="E1267" s="12">
        <v>45726.195833333331</v>
      </c>
      <c r="F1267" s="1" t="s">
        <v>19</v>
      </c>
      <c r="G1267" s="1" t="s">
        <v>13</v>
      </c>
      <c r="H1267" s="1" t="s">
        <v>24</v>
      </c>
      <c r="I1267" s="1" t="s">
        <v>15</v>
      </c>
      <c r="J1267" s="1" t="str">
        <f t="shared" si="38"/>
        <v>delivered</v>
      </c>
      <c r="K1267" s="1" t="str">
        <f>_xlfn.XLOOKUP(C1267, 'Product Catalog'!$A:$A, 'Product Catalog'!$B:$B, "Unknown Product")</f>
        <v>Cloud Storage Basic Model L63</v>
      </c>
      <c r="L1267" s="1" t="str">
        <f>_xlfn.XLOOKUP(C1267, 'Product Catalog'!$A:$A, 'Product Catalog'!$C:$C, "Unknown Category")</f>
        <v>Digital Services</v>
      </c>
      <c r="M1267" s="1">
        <f>_xlfn.XLOOKUP(C1267, 'Product Catalog'!$A:$A, 'Product Catalog'!$D:$D, 0)</f>
        <v>20.48</v>
      </c>
      <c r="N1267" s="1">
        <f t="shared" si="39"/>
        <v>20.48</v>
      </c>
    </row>
    <row r="1268" spans="1:14" x14ac:dyDescent="0.3">
      <c r="A1268" s="1" t="s">
        <v>1745</v>
      </c>
      <c r="B1268" s="1" t="s">
        <v>754</v>
      </c>
      <c r="C1268" s="1" t="s">
        <v>592</v>
      </c>
      <c r="D1268" s="1">
        <v>4</v>
      </c>
      <c r="E1268" s="12">
        <v>45869.856249999997</v>
      </c>
      <c r="F1268" s="1" t="s">
        <v>39</v>
      </c>
      <c r="G1268" s="1" t="s">
        <v>40</v>
      </c>
      <c r="H1268" s="1" t="s">
        <v>51</v>
      </c>
      <c r="I1268" s="1" t="s">
        <v>81</v>
      </c>
      <c r="J1268" s="1" t="str">
        <f t="shared" si="38"/>
        <v>REFUNDED</v>
      </c>
      <c r="K1268" s="1" t="str">
        <f>_xlfn.XLOOKUP(C1268, 'Product Catalog'!$A:$A, 'Product Catalog'!$B:$B, "Unknown Product")</f>
        <v>Blender Model Q94</v>
      </c>
      <c r="L1268" s="1" t="str">
        <f>_xlfn.XLOOKUP(C1268, 'Product Catalog'!$A:$A, 'Product Catalog'!$C:$C, "Unknown Category")</f>
        <v>Home Goods</v>
      </c>
      <c r="M1268" s="1">
        <f>_xlfn.XLOOKUP(C1268, 'Product Catalog'!$A:$A, 'Product Catalog'!$D:$D, 0)</f>
        <v>129.13</v>
      </c>
      <c r="N1268" s="1">
        <f t="shared" si="39"/>
        <v>516.52</v>
      </c>
    </row>
    <row r="1269" spans="1:14" x14ac:dyDescent="0.3">
      <c r="A1269" s="1" t="s">
        <v>1746</v>
      </c>
      <c r="B1269" s="1" t="s">
        <v>1271</v>
      </c>
      <c r="C1269" s="1" t="s">
        <v>383</v>
      </c>
      <c r="D1269" s="1">
        <v>2</v>
      </c>
      <c r="E1269" s="12">
        <v>46016.728472222225</v>
      </c>
      <c r="F1269" s="1" t="s">
        <v>19</v>
      </c>
      <c r="G1269" s="1" t="s">
        <v>13</v>
      </c>
      <c r="H1269" s="1" t="s">
        <v>24</v>
      </c>
      <c r="I1269" s="1" t="s">
        <v>102</v>
      </c>
      <c r="J1269" s="1" t="str">
        <f t="shared" si="38"/>
        <v>disputed</v>
      </c>
      <c r="K1269" s="1" t="str">
        <f>_xlfn.XLOOKUP(C1269, 'Product Catalog'!$A:$A, 'Product Catalog'!$B:$B, "Unknown Product")</f>
        <v>Keyboard Model F83</v>
      </c>
      <c r="L1269" s="1" t="str">
        <f>_xlfn.XLOOKUP(C1269, 'Product Catalog'!$A:$A, 'Product Catalog'!$C:$C, "Unknown Category")</f>
        <v>Electronics</v>
      </c>
      <c r="M1269" s="1">
        <f>_xlfn.XLOOKUP(C1269, 'Product Catalog'!$A:$A, 'Product Catalog'!$D:$D, 0)</f>
        <v>77.150000000000006</v>
      </c>
      <c r="N1269" s="1">
        <f t="shared" si="39"/>
        <v>154.30000000000001</v>
      </c>
    </row>
    <row r="1270" spans="1:14" x14ac:dyDescent="0.3">
      <c r="A1270" s="1" t="s">
        <v>1747</v>
      </c>
      <c r="B1270" s="1" t="s">
        <v>313</v>
      </c>
      <c r="C1270" s="1" t="s">
        <v>622</v>
      </c>
      <c r="D1270" s="1">
        <v>1</v>
      </c>
      <c r="E1270" s="12">
        <v>45811.99722222222</v>
      </c>
      <c r="F1270" s="1" t="s">
        <v>19</v>
      </c>
      <c r="G1270" s="1" t="s">
        <v>20</v>
      </c>
      <c r="H1270" s="1" t="s">
        <v>51</v>
      </c>
      <c r="I1270" s="1" t="s">
        <v>102</v>
      </c>
      <c r="J1270" s="1" t="str">
        <f t="shared" si="38"/>
        <v>disputed</v>
      </c>
      <c r="K1270" s="1" t="str">
        <f>_xlfn.XLOOKUP(C1270, 'Product Catalog'!$A:$A, 'Product Catalog'!$B:$B, "Unknown Product")</f>
        <v>Designer Watch Model R147</v>
      </c>
      <c r="L1270" s="1" t="str">
        <f>_xlfn.XLOOKUP(C1270, 'Product Catalog'!$A:$A, 'Product Catalog'!$C:$C, "Unknown Category")</f>
        <v>Luxury Goods</v>
      </c>
      <c r="M1270" s="1">
        <f>_xlfn.XLOOKUP(C1270, 'Product Catalog'!$A:$A, 'Product Catalog'!$D:$D, 0)</f>
        <v>484.68</v>
      </c>
      <c r="N1270" s="1">
        <f t="shared" si="39"/>
        <v>484.68</v>
      </c>
    </row>
    <row r="1271" spans="1:14" x14ac:dyDescent="0.3">
      <c r="A1271" s="1" t="s">
        <v>1748</v>
      </c>
      <c r="B1271" s="1" t="s">
        <v>70</v>
      </c>
      <c r="C1271" s="1" t="s">
        <v>200</v>
      </c>
      <c r="D1271" s="1">
        <v>1</v>
      </c>
      <c r="E1271" s="12">
        <v>45938.445833333331</v>
      </c>
      <c r="F1271" s="1" t="s">
        <v>19</v>
      </c>
      <c r="G1271" s="1" t="s">
        <v>31</v>
      </c>
      <c r="H1271" s="1" t="s">
        <v>14</v>
      </c>
      <c r="I1271" s="1" t="s">
        <v>15</v>
      </c>
      <c r="J1271" s="1" t="str">
        <f t="shared" si="38"/>
        <v>delivered</v>
      </c>
      <c r="K1271" s="1" t="str">
        <f>_xlfn.XLOOKUP(C1271, 'Product Catalog'!$A:$A, 'Product Catalog'!$B:$B, "Unknown Product")</f>
        <v>Socks Model G58</v>
      </c>
      <c r="L1271" s="1" t="str">
        <f>_xlfn.XLOOKUP(C1271, 'Product Catalog'!$A:$A, 'Product Catalog'!$C:$C, "Unknown Category")</f>
        <v>Apparel</v>
      </c>
      <c r="M1271" s="1">
        <f>_xlfn.XLOOKUP(C1271, 'Product Catalog'!$A:$A, 'Product Catalog'!$D:$D, 0)</f>
        <v>30.18</v>
      </c>
      <c r="N1271" s="1">
        <f t="shared" si="39"/>
        <v>30.18</v>
      </c>
    </row>
    <row r="1272" spans="1:14" x14ac:dyDescent="0.3">
      <c r="A1272" s="1" t="s">
        <v>1749</v>
      </c>
      <c r="B1272" s="1" t="s">
        <v>820</v>
      </c>
      <c r="C1272" s="1" t="s">
        <v>190</v>
      </c>
      <c r="D1272" s="1">
        <v>4</v>
      </c>
      <c r="E1272" s="12">
        <v>45941.899305555555</v>
      </c>
      <c r="F1272" s="1" t="s">
        <v>170</v>
      </c>
      <c r="G1272" s="1" t="s">
        <v>40</v>
      </c>
      <c r="H1272" s="1" t="s">
        <v>41</v>
      </c>
      <c r="I1272" s="1" t="s">
        <v>56</v>
      </c>
      <c r="J1272" s="1" t="str">
        <f t="shared" si="38"/>
        <v>cancelled</v>
      </c>
      <c r="K1272" s="1" t="str">
        <f>_xlfn.XLOOKUP(C1272, 'Product Catalog'!$A:$A, 'Product Catalog'!$B:$B, "Unknown Product")</f>
        <v>Silk Scarf Model A52</v>
      </c>
      <c r="L1272" s="1" t="str">
        <f>_xlfn.XLOOKUP(C1272, 'Product Catalog'!$A:$A, 'Product Catalog'!$C:$C, "Unknown Category")</f>
        <v>Luxury Goods</v>
      </c>
      <c r="M1272" s="1">
        <f>_xlfn.XLOOKUP(C1272, 'Product Catalog'!$A:$A, 'Product Catalog'!$D:$D, 0)</f>
        <v>1339.88</v>
      </c>
      <c r="N1272" s="1">
        <f t="shared" si="39"/>
        <v>5359.52</v>
      </c>
    </row>
    <row r="1273" spans="1:14" x14ac:dyDescent="0.3">
      <c r="A1273" s="1" t="s">
        <v>1750</v>
      </c>
      <c r="B1273" s="1" t="s">
        <v>239</v>
      </c>
      <c r="C1273" s="1" t="s">
        <v>691</v>
      </c>
      <c r="D1273" s="1">
        <v>1</v>
      </c>
      <c r="E1273" s="12">
        <v>45769.285416666666</v>
      </c>
      <c r="F1273" s="1" t="s">
        <v>12</v>
      </c>
      <c r="G1273" s="1" t="s">
        <v>50</v>
      </c>
      <c r="H1273" s="1" t="s">
        <v>51</v>
      </c>
      <c r="I1273" s="1" t="s">
        <v>42</v>
      </c>
      <c r="J1273" s="1" t="str">
        <f t="shared" si="38"/>
        <v>PENDING_REVIEW</v>
      </c>
      <c r="K1273" s="1" t="str">
        <f>_xlfn.XLOOKUP(C1273, 'Product Catalog'!$A:$A, 'Product Catalog'!$B:$B, "Unknown Product")</f>
        <v>Designer Watch Model T123</v>
      </c>
      <c r="L1273" s="1" t="str">
        <f>_xlfn.XLOOKUP(C1273, 'Product Catalog'!$A:$A, 'Product Catalog'!$C:$C, "Unknown Category")</f>
        <v>Luxury Goods</v>
      </c>
      <c r="M1273" s="1">
        <f>_xlfn.XLOOKUP(C1273, 'Product Catalog'!$A:$A, 'Product Catalog'!$D:$D, 0)</f>
        <v>1301.92</v>
      </c>
      <c r="N1273" s="1">
        <f t="shared" si="39"/>
        <v>1301.92</v>
      </c>
    </row>
    <row r="1274" spans="1:14" x14ac:dyDescent="0.3">
      <c r="A1274" s="1" t="s">
        <v>1751</v>
      </c>
      <c r="B1274" s="1" t="s">
        <v>86</v>
      </c>
      <c r="C1274" s="1" t="s">
        <v>195</v>
      </c>
      <c r="D1274" s="1">
        <v>1</v>
      </c>
      <c r="E1274" s="12">
        <v>45765.887499999997</v>
      </c>
      <c r="F1274" s="1" t="s">
        <v>19</v>
      </c>
      <c r="G1274" s="1" t="s">
        <v>13</v>
      </c>
      <c r="H1274" s="1" t="s">
        <v>41</v>
      </c>
      <c r="I1274" s="1" t="s">
        <v>15</v>
      </c>
      <c r="J1274" s="1" t="str">
        <f t="shared" si="38"/>
        <v>delivered</v>
      </c>
      <c r="K1274" s="1" t="str">
        <f>_xlfn.XLOOKUP(C1274, 'Product Catalog'!$A:$A, 'Product Catalog'!$B:$B, "Unknown Product")</f>
        <v>Blender Model L89</v>
      </c>
      <c r="L1274" s="1" t="str">
        <f>_xlfn.XLOOKUP(C1274, 'Product Catalog'!$A:$A, 'Product Catalog'!$C:$C, "Unknown Category")</f>
        <v>Home Goods</v>
      </c>
      <c r="M1274" s="1">
        <f>_xlfn.XLOOKUP(C1274, 'Product Catalog'!$A:$A, 'Product Catalog'!$D:$D, 0)</f>
        <v>138.6</v>
      </c>
      <c r="N1274" s="1">
        <f t="shared" si="39"/>
        <v>138.6</v>
      </c>
    </row>
    <row r="1275" spans="1:14" x14ac:dyDescent="0.3">
      <c r="A1275" s="1" t="s">
        <v>1752</v>
      </c>
      <c r="B1275" s="1" t="s">
        <v>150</v>
      </c>
      <c r="C1275" s="1" t="s">
        <v>229</v>
      </c>
      <c r="D1275" s="1">
        <v>1</v>
      </c>
      <c r="E1275" s="12">
        <v>45806.976388888892</v>
      </c>
      <c r="F1275" s="1" t="s">
        <v>19</v>
      </c>
      <c r="G1275" s="1" t="s">
        <v>109</v>
      </c>
      <c r="H1275" s="1" t="s">
        <v>14</v>
      </c>
      <c r="I1275" s="1" t="s">
        <v>15</v>
      </c>
      <c r="J1275" s="1" t="str">
        <f t="shared" si="38"/>
        <v>delivered</v>
      </c>
      <c r="K1275" s="1" t="str">
        <f>_xlfn.XLOOKUP(C1275, 'Product Catalog'!$A:$A, 'Product Catalog'!$B:$B, "Unknown Product")</f>
        <v>Premium Stream 1M Model O118</v>
      </c>
      <c r="L1275" s="1" t="str">
        <f>_xlfn.XLOOKUP(C1275, 'Product Catalog'!$A:$A, 'Product Catalog'!$C:$C, "Unknown Category")</f>
        <v>Digital Services</v>
      </c>
      <c r="M1275" s="1">
        <f>_xlfn.XLOOKUP(C1275, 'Product Catalog'!$A:$A, 'Product Catalog'!$D:$D, 0)</f>
        <v>53.05</v>
      </c>
      <c r="N1275" s="1">
        <f t="shared" si="39"/>
        <v>53.05</v>
      </c>
    </row>
    <row r="1276" spans="1:14" x14ac:dyDescent="0.3">
      <c r="A1276" s="1" t="s">
        <v>1753</v>
      </c>
      <c r="B1276" s="1" t="s">
        <v>241</v>
      </c>
      <c r="C1276" s="1" t="s">
        <v>404</v>
      </c>
      <c r="D1276" s="1">
        <v>5</v>
      </c>
      <c r="E1276" s="12">
        <v>45834.956250000003</v>
      </c>
      <c r="F1276" s="1" t="s">
        <v>19</v>
      </c>
      <c r="G1276" s="1" t="s">
        <v>31</v>
      </c>
      <c r="H1276" s="1" t="s">
        <v>55</v>
      </c>
      <c r="I1276" s="1" t="s">
        <v>102</v>
      </c>
      <c r="J1276" s="1" t="str">
        <f t="shared" si="38"/>
        <v>disputed</v>
      </c>
      <c r="K1276" s="1" t="str">
        <f>_xlfn.XLOOKUP(C1276, 'Product Catalog'!$A:$A, 'Product Catalog'!$B:$B, "Unknown Product")</f>
        <v>Gold Bracelet Model O66</v>
      </c>
      <c r="L1276" s="1" t="str">
        <f>_xlfn.XLOOKUP(C1276, 'Product Catalog'!$A:$A, 'Product Catalog'!$C:$C, "Unknown Category")</f>
        <v>Luxury Goods</v>
      </c>
      <c r="M1276" s="1">
        <f>_xlfn.XLOOKUP(C1276, 'Product Catalog'!$A:$A, 'Product Catalog'!$D:$D, 0)</f>
        <v>640.54999999999995</v>
      </c>
      <c r="N1276" s="1">
        <f t="shared" si="39"/>
        <v>3202.75</v>
      </c>
    </row>
    <row r="1277" spans="1:14" x14ac:dyDescent="0.3">
      <c r="A1277" s="1" t="s">
        <v>1754</v>
      </c>
      <c r="B1277" s="1" t="s">
        <v>17</v>
      </c>
      <c r="C1277" s="1" t="s">
        <v>268</v>
      </c>
      <c r="D1277" s="1">
        <v>1</v>
      </c>
      <c r="E1277" s="12">
        <v>45725.924305555556</v>
      </c>
      <c r="F1277" s="1" t="s">
        <v>19</v>
      </c>
      <c r="G1277" s="1" t="s">
        <v>31</v>
      </c>
      <c r="H1277" s="1" t="s">
        <v>41</v>
      </c>
      <c r="I1277" s="1" t="s">
        <v>15</v>
      </c>
      <c r="J1277" s="1" t="str">
        <f t="shared" si="38"/>
        <v>delivered</v>
      </c>
      <c r="K1277" s="1" t="str">
        <f>_xlfn.XLOOKUP(C1277, 'Product Catalog'!$A:$A, 'Product Catalog'!$B:$B, "Unknown Product")</f>
        <v>Sneakers Model P119</v>
      </c>
      <c r="L1277" s="1" t="str">
        <f>_xlfn.XLOOKUP(C1277, 'Product Catalog'!$A:$A, 'Product Catalog'!$C:$C, "Unknown Category")</f>
        <v>Apparel</v>
      </c>
      <c r="M1277" s="1">
        <f>_xlfn.XLOOKUP(C1277, 'Product Catalog'!$A:$A, 'Product Catalog'!$D:$D, 0)</f>
        <v>19.329999999999998</v>
      </c>
      <c r="N1277" s="1">
        <f t="shared" si="39"/>
        <v>19.329999999999998</v>
      </c>
    </row>
    <row r="1278" spans="1:14" x14ac:dyDescent="0.3">
      <c r="A1278" s="1" t="s">
        <v>1755</v>
      </c>
      <c r="B1278" s="1" t="s">
        <v>398</v>
      </c>
      <c r="C1278" s="1" t="s">
        <v>586</v>
      </c>
      <c r="D1278" s="1">
        <v>5</v>
      </c>
      <c r="E1278" s="12">
        <v>45749.71597222222</v>
      </c>
      <c r="F1278" s="1" t="s">
        <v>170</v>
      </c>
      <c r="G1278" s="1" t="s">
        <v>31</v>
      </c>
      <c r="H1278" s="1" t="s">
        <v>51</v>
      </c>
      <c r="I1278" s="1" t="s">
        <v>56</v>
      </c>
      <c r="J1278" s="1" t="str">
        <f t="shared" si="38"/>
        <v>cancelled</v>
      </c>
      <c r="K1278" s="1" t="str">
        <f>_xlfn.XLOOKUP(C1278, 'Product Catalog'!$A:$A, 'Product Catalog'!$B:$B, "Unknown Product")</f>
        <v>Designer Watch Model E82</v>
      </c>
      <c r="L1278" s="1" t="str">
        <f>_xlfn.XLOOKUP(C1278, 'Product Catalog'!$A:$A, 'Product Catalog'!$C:$C, "Unknown Category")</f>
        <v>Luxury Goods</v>
      </c>
      <c r="M1278" s="1">
        <f>_xlfn.XLOOKUP(C1278, 'Product Catalog'!$A:$A, 'Product Catalog'!$D:$D, 0)</f>
        <v>1769.3</v>
      </c>
      <c r="N1278" s="1">
        <f t="shared" si="39"/>
        <v>8846.5</v>
      </c>
    </row>
    <row r="1279" spans="1:14" x14ac:dyDescent="0.3">
      <c r="A1279" s="1" t="s">
        <v>1756</v>
      </c>
      <c r="B1279" s="1" t="s">
        <v>439</v>
      </c>
      <c r="C1279" s="1" t="s">
        <v>446</v>
      </c>
      <c r="D1279" s="1">
        <v>1</v>
      </c>
      <c r="E1279" s="12">
        <v>45935.986805555556</v>
      </c>
      <c r="F1279" s="1" t="s">
        <v>19</v>
      </c>
      <c r="G1279" s="1" t="s">
        <v>31</v>
      </c>
      <c r="H1279" s="1" t="s">
        <v>41</v>
      </c>
      <c r="I1279" s="1" t="s">
        <v>102</v>
      </c>
      <c r="J1279" s="1" t="str">
        <f t="shared" si="38"/>
        <v>disputed</v>
      </c>
      <c r="K1279" s="1" t="str">
        <f>_xlfn.XLOOKUP(C1279, 'Product Catalog'!$A:$A, 'Product Catalog'!$B:$B, "Unknown Product")</f>
        <v>Silk Scarf Model K36</v>
      </c>
      <c r="L1279" s="1" t="str">
        <f>_xlfn.XLOOKUP(C1279, 'Product Catalog'!$A:$A, 'Product Catalog'!$C:$C, "Unknown Category")</f>
        <v>Luxury Goods</v>
      </c>
      <c r="M1279" s="1">
        <f>_xlfn.XLOOKUP(C1279, 'Product Catalog'!$A:$A, 'Product Catalog'!$D:$D, 0)</f>
        <v>737.6</v>
      </c>
      <c r="N1279" s="1">
        <f t="shared" si="39"/>
        <v>737.6</v>
      </c>
    </row>
    <row r="1280" spans="1:14" x14ac:dyDescent="0.3">
      <c r="A1280" s="1" t="s">
        <v>1757</v>
      </c>
      <c r="B1280" s="1" t="s">
        <v>484</v>
      </c>
      <c r="C1280" s="1" t="s">
        <v>148</v>
      </c>
      <c r="D1280" s="1">
        <v>1</v>
      </c>
      <c r="E1280" s="12">
        <v>45984.458333333336</v>
      </c>
      <c r="F1280" s="1" t="s">
        <v>19</v>
      </c>
      <c r="G1280" s="1" t="s">
        <v>109</v>
      </c>
      <c r="H1280" s="1" t="s">
        <v>41</v>
      </c>
      <c r="I1280" s="1" t="s">
        <v>102</v>
      </c>
      <c r="J1280" s="1" t="str">
        <f t="shared" si="38"/>
        <v>disputed</v>
      </c>
      <c r="K1280" s="1" t="str">
        <f>_xlfn.XLOOKUP(C1280, 'Product Catalog'!$A:$A, 'Product Catalog'!$B:$B, "Unknown Product")</f>
        <v>Charger Model W100</v>
      </c>
      <c r="L1280" s="1" t="str">
        <f>_xlfn.XLOOKUP(C1280, 'Product Catalog'!$A:$A, 'Product Catalog'!$C:$C, "Unknown Category")</f>
        <v>Electronics</v>
      </c>
      <c r="M1280" s="1">
        <f>_xlfn.XLOOKUP(C1280, 'Product Catalog'!$A:$A, 'Product Catalog'!$D:$D, 0)</f>
        <v>219.96</v>
      </c>
      <c r="N1280" s="1">
        <f t="shared" si="39"/>
        <v>219.96</v>
      </c>
    </row>
    <row r="1281" spans="1:14" x14ac:dyDescent="0.3">
      <c r="A1281" s="1" t="s">
        <v>1758</v>
      </c>
      <c r="B1281" s="1" t="s">
        <v>1759</v>
      </c>
      <c r="C1281" s="1" t="s">
        <v>62</v>
      </c>
      <c r="D1281" s="1">
        <v>1</v>
      </c>
      <c r="E1281" s="12">
        <v>45717.500694444447</v>
      </c>
      <c r="F1281" s="1" t="s">
        <v>12</v>
      </c>
      <c r="G1281" s="1" t="s">
        <v>31</v>
      </c>
      <c r="H1281" s="1" t="s">
        <v>14</v>
      </c>
      <c r="I1281" s="1" t="s">
        <v>15</v>
      </c>
      <c r="J1281" s="1" t="str">
        <f t="shared" si="38"/>
        <v>delivered</v>
      </c>
      <c r="K1281" s="1" t="str">
        <f>_xlfn.XLOOKUP(C1281, 'Product Catalog'!$A:$A, 'Product Catalog'!$B:$B, "Unknown Product")</f>
        <v>Cable Model M12</v>
      </c>
      <c r="L1281" s="1" t="str">
        <f>_xlfn.XLOOKUP(C1281, 'Product Catalog'!$A:$A, 'Product Catalog'!$C:$C, "Unknown Category")</f>
        <v>Electronics</v>
      </c>
      <c r="M1281" s="1">
        <f>_xlfn.XLOOKUP(C1281, 'Product Catalog'!$A:$A, 'Product Catalog'!$D:$D, 0)</f>
        <v>83.9</v>
      </c>
      <c r="N1281" s="1">
        <f t="shared" si="39"/>
        <v>83.9</v>
      </c>
    </row>
    <row r="1282" spans="1:14" x14ac:dyDescent="0.3">
      <c r="A1282" s="1" t="s">
        <v>1760</v>
      </c>
      <c r="B1282" s="1" t="s">
        <v>734</v>
      </c>
      <c r="C1282" s="1" t="s">
        <v>485</v>
      </c>
      <c r="D1282" s="1">
        <v>2</v>
      </c>
      <c r="E1282" s="12">
        <v>45945.682638888888</v>
      </c>
      <c r="F1282" s="1" t="s">
        <v>12</v>
      </c>
      <c r="G1282" s="1" t="s">
        <v>46</v>
      </c>
      <c r="H1282" s="1" t="s">
        <v>41</v>
      </c>
      <c r="I1282" s="1" t="s">
        <v>81</v>
      </c>
      <c r="J1282" s="1" t="str">
        <f t="shared" ref="J1282:J1345" si="40">TRIM(I1282)</f>
        <v>REFUNDED</v>
      </c>
      <c r="K1282" s="1" t="str">
        <f>_xlfn.XLOOKUP(C1282, 'Product Catalog'!$A:$A, 'Product Catalog'!$B:$B, "Unknown Product")</f>
        <v>Smartwatch Model K140</v>
      </c>
      <c r="L1282" s="1" t="str">
        <f>_xlfn.XLOOKUP(C1282, 'Product Catalog'!$A:$A, 'Product Catalog'!$C:$C, "Unknown Category")</f>
        <v>Electronics</v>
      </c>
      <c r="M1282" s="1">
        <f>_xlfn.XLOOKUP(C1282, 'Product Catalog'!$A:$A, 'Product Catalog'!$D:$D, 0)</f>
        <v>221.95</v>
      </c>
      <c r="N1282" s="1">
        <f t="shared" ref="N1282:N1345" si="41">D1282 * M1282</f>
        <v>443.9</v>
      </c>
    </row>
    <row r="1283" spans="1:14" x14ac:dyDescent="0.3">
      <c r="A1283" s="1" t="s">
        <v>1761</v>
      </c>
      <c r="B1283" s="1" t="s">
        <v>458</v>
      </c>
      <c r="C1283" s="1" t="s">
        <v>112</v>
      </c>
      <c r="D1283" s="1">
        <v>1</v>
      </c>
      <c r="E1283" s="12">
        <v>45956.811111111114</v>
      </c>
      <c r="F1283" s="1" t="s">
        <v>12</v>
      </c>
      <c r="G1283" s="1" t="s">
        <v>13</v>
      </c>
      <c r="H1283" s="1" t="s">
        <v>24</v>
      </c>
      <c r="I1283" s="1" t="s">
        <v>15</v>
      </c>
      <c r="J1283" s="1" t="str">
        <f t="shared" si="40"/>
        <v>delivered</v>
      </c>
      <c r="K1283" s="1" t="str">
        <f>_xlfn.XLOOKUP(C1283, 'Product Catalog'!$A:$A, 'Product Catalog'!$B:$B, "Unknown Product")</f>
        <v>Mouse Model J87</v>
      </c>
      <c r="L1283" s="1" t="str">
        <f>_xlfn.XLOOKUP(C1283, 'Product Catalog'!$A:$A, 'Product Catalog'!$C:$C, "Unknown Category")</f>
        <v>Electronics</v>
      </c>
      <c r="M1283" s="1">
        <f>_xlfn.XLOOKUP(C1283, 'Product Catalog'!$A:$A, 'Product Catalog'!$D:$D, 0)</f>
        <v>164.06</v>
      </c>
      <c r="N1283" s="1">
        <f t="shared" si="41"/>
        <v>164.06</v>
      </c>
    </row>
    <row r="1284" spans="1:14" x14ac:dyDescent="0.3">
      <c r="A1284" s="1" t="s">
        <v>1762</v>
      </c>
      <c r="B1284" s="1" t="s">
        <v>58</v>
      </c>
      <c r="C1284" s="1" t="s">
        <v>38</v>
      </c>
      <c r="D1284" s="1">
        <v>1</v>
      </c>
      <c r="E1284" s="12">
        <v>45999.593055555553</v>
      </c>
      <c r="F1284" s="1" t="s">
        <v>19</v>
      </c>
      <c r="G1284" s="1" t="s">
        <v>20</v>
      </c>
      <c r="H1284" s="1" t="s">
        <v>41</v>
      </c>
      <c r="I1284" s="1" t="s">
        <v>32</v>
      </c>
      <c r="J1284" s="1" t="str">
        <f t="shared" si="40"/>
        <v>SHIPPED</v>
      </c>
      <c r="K1284" s="1" t="str">
        <f>_xlfn.XLOOKUP(C1284, 'Product Catalog'!$A:$A, 'Product Catalog'!$B:$B, "Unknown Product")</f>
        <v>VPN 6-Month Pass Model V73</v>
      </c>
      <c r="L1284" s="1" t="str">
        <f>_xlfn.XLOOKUP(C1284, 'Product Catalog'!$A:$A, 'Product Catalog'!$C:$C, "Unknown Category")</f>
        <v>Digital Services</v>
      </c>
      <c r="M1284" s="1">
        <f>_xlfn.XLOOKUP(C1284, 'Product Catalog'!$A:$A, 'Product Catalog'!$D:$D, 0)</f>
        <v>58.13</v>
      </c>
      <c r="N1284" s="1">
        <f t="shared" si="41"/>
        <v>58.13</v>
      </c>
    </row>
    <row r="1285" spans="1:14" x14ac:dyDescent="0.3">
      <c r="A1285" s="1" t="s">
        <v>1763</v>
      </c>
      <c r="B1285" s="1" t="s">
        <v>827</v>
      </c>
      <c r="C1285" s="1" t="s">
        <v>195</v>
      </c>
      <c r="D1285" s="1">
        <v>1</v>
      </c>
      <c r="E1285" s="12">
        <v>46003.759027777778</v>
      </c>
      <c r="F1285" s="1" t="s">
        <v>19</v>
      </c>
      <c r="G1285" s="1" t="s">
        <v>20</v>
      </c>
      <c r="H1285" s="1" t="s">
        <v>24</v>
      </c>
      <c r="I1285" s="1" t="s">
        <v>15</v>
      </c>
      <c r="J1285" s="1" t="str">
        <f t="shared" si="40"/>
        <v>delivered</v>
      </c>
      <c r="K1285" s="1" t="str">
        <f>_xlfn.XLOOKUP(C1285, 'Product Catalog'!$A:$A, 'Product Catalog'!$B:$B, "Unknown Product")</f>
        <v>Blender Model L89</v>
      </c>
      <c r="L1285" s="1" t="str">
        <f>_xlfn.XLOOKUP(C1285, 'Product Catalog'!$A:$A, 'Product Catalog'!$C:$C, "Unknown Category")</f>
        <v>Home Goods</v>
      </c>
      <c r="M1285" s="1">
        <f>_xlfn.XLOOKUP(C1285, 'Product Catalog'!$A:$A, 'Product Catalog'!$D:$D, 0)</f>
        <v>138.6</v>
      </c>
      <c r="N1285" s="1">
        <f t="shared" si="41"/>
        <v>138.6</v>
      </c>
    </row>
    <row r="1286" spans="1:14" x14ac:dyDescent="0.3">
      <c r="A1286" s="1" t="s">
        <v>1764</v>
      </c>
      <c r="B1286" s="1" t="s">
        <v>842</v>
      </c>
      <c r="C1286" s="1" t="s">
        <v>519</v>
      </c>
      <c r="D1286" s="1">
        <v>1</v>
      </c>
      <c r="E1286" s="12">
        <v>45804.600694444445</v>
      </c>
      <c r="F1286" s="1" t="s">
        <v>19</v>
      </c>
      <c r="G1286" s="1" t="s">
        <v>31</v>
      </c>
      <c r="H1286" s="1" t="s">
        <v>41</v>
      </c>
      <c r="I1286" s="1" t="s">
        <v>15</v>
      </c>
      <c r="J1286" s="1" t="str">
        <f t="shared" si="40"/>
        <v>delivered</v>
      </c>
      <c r="K1286" s="1" t="str">
        <f>_xlfn.XLOOKUP(C1286, 'Product Catalog'!$A:$A, 'Product Catalog'!$B:$B, "Unknown Product")</f>
        <v>T-Shirt Model S70</v>
      </c>
      <c r="L1286" s="1" t="str">
        <f>_xlfn.XLOOKUP(C1286, 'Product Catalog'!$A:$A, 'Product Catalog'!$C:$C, "Unknown Category")</f>
        <v>Apparel</v>
      </c>
      <c r="M1286" s="1">
        <f>_xlfn.XLOOKUP(C1286, 'Product Catalog'!$A:$A, 'Product Catalog'!$D:$D, 0)</f>
        <v>75.45</v>
      </c>
      <c r="N1286" s="1">
        <f t="shared" si="41"/>
        <v>75.45</v>
      </c>
    </row>
    <row r="1287" spans="1:14" x14ac:dyDescent="0.3">
      <c r="A1287" s="1" t="s">
        <v>1765</v>
      </c>
      <c r="B1287" s="1" t="s">
        <v>1220</v>
      </c>
      <c r="C1287" s="1" t="s">
        <v>348</v>
      </c>
      <c r="D1287" s="1">
        <v>4</v>
      </c>
      <c r="E1287" s="12">
        <v>45664.743055555555</v>
      </c>
      <c r="F1287" s="1" t="s">
        <v>19</v>
      </c>
      <c r="G1287" s="1" t="s">
        <v>13</v>
      </c>
      <c r="H1287" s="1" t="s">
        <v>55</v>
      </c>
      <c r="I1287" s="1" t="s">
        <v>56</v>
      </c>
      <c r="J1287" s="1" t="str">
        <f t="shared" si="40"/>
        <v>cancelled</v>
      </c>
      <c r="K1287" s="1" t="str">
        <f>_xlfn.XLOOKUP(C1287, 'Product Catalog'!$A:$A, 'Product Catalog'!$B:$B, "Unknown Product")</f>
        <v>Leather Handbag Model G84</v>
      </c>
      <c r="L1287" s="1" t="str">
        <f>_xlfn.XLOOKUP(C1287, 'Product Catalog'!$A:$A, 'Product Catalog'!$C:$C, "Unknown Category")</f>
        <v>Luxury Goods</v>
      </c>
      <c r="M1287" s="1">
        <f>_xlfn.XLOOKUP(C1287, 'Product Catalog'!$A:$A, 'Product Catalog'!$D:$D, 0)</f>
        <v>899.17</v>
      </c>
      <c r="N1287" s="1">
        <f t="shared" si="41"/>
        <v>3596.68</v>
      </c>
    </row>
    <row r="1288" spans="1:14" x14ac:dyDescent="0.3">
      <c r="A1288" s="1" t="s">
        <v>1766</v>
      </c>
      <c r="B1288" s="1" t="s">
        <v>142</v>
      </c>
      <c r="C1288" s="1" t="s">
        <v>176</v>
      </c>
      <c r="D1288" s="1">
        <v>4</v>
      </c>
      <c r="E1288" s="12">
        <v>45712.035416666666</v>
      </c>
      <c r="F1288" s="1" t="s">
        <v>39</v>
      </c>
      <c r="G1288" s="1" t="s">
        <v>31</v>
      </c>
      <c r="H1288" s="1" t="s">
        <v>51</v>
      </c>
      <c r="I1288" s="1" t="s">
        <v>42</v>
      </c>
      <c r="J1288" s="1" t="str">
        <f t="shared" si="40"/>
        <v>PENDING_REVIEW</v>
      </c>
      <c r="K1288" s="1" t="str">
        <f>_xlfn.XLOOKUP(C1288, 'Product Catalog'!$A:$A, 'Product Catalog'!$B:$B, "Unknown Product")</f>
        <v>Leather Handbag Model U124</v>
      </c>
      <c r="L1288" s="1" t="str">
        <f>_xlfn.XLOOKUP(C1288, 'Product Catalog'!$A:$A, 'Product Catalog'!$C:$C, "Unknown Category")</f>
        <v>Luxury Goods</v>
      </c>
      <c r="M1288" s="1">
        <f>_xlfn.XLOOKUP(C1288, 'Product Catalog'!$A:$A, 'Product Catalog'!$D:$D, 0)</f>
        <v>1880.36</v>
      </c>
      <c r="N1288" s="1">
        <f t="shared" si="41"/>
        <v>7521.44</v>
      </c>
    </row>
    <row r="1289" spans="1:14" x14ac:dyDescent="0.3">
      <c r="A1289" s="1" t="s">
        <v>1767</v>
      </c>
      <c r="B1289" s="1" t="s">
        <v>208</v>
      </c>
      <c r="C1289" s="1" t="s">
        <v>619</v>
      </c>
      <c r="D1289" s="1">
        <v>2</v>
      </c>
      <c r="E1289" s="12">
        <v>45853.206250000003</v>
      </c>
      <c r="F1289" s="1" t="s">
        <v>19</v>
      </c>
      <c r="G1289" s="1" t="s">
        <v>46</v>
      </c>
      <c r="H1289" s="1" t="s">
        <v>41</v>
      </c>
      <c r="I1289" s="1" t="s">
        <v>15</v>
      </c>
      <c r="J1289" s="1" t="str">
        <f t="shared" si="40"/>
        <v>delivered</v>
      </c>
      <c r="K1289" s="1" t="str">
        <f>_xlfn.XLOOKUP(C1289, 'Product Catalog'!$A:$A, 'Product Catalog'!$B:$B, "Unknown Product")</f>
        <v>Jacket Model B27</v>
      </c>
      <c r="L1289" s="1" t="str">
        <f>_xlfn.XLOOKUP(C1289, 'Product Catalog'!$A:$A, 'Product Catalog'!$C:$C, "Unknown Category")</f>
        <v>Apparel</v>
      </c>
      <c r="M1289" s="1">
        <f>_xlfn.XLOOKUP(C1289, 'Product Catalog'!$A:$A, 'Product Catalog'!$D:$D, 0)</f>
        <v>64.290000000000006</v>
      </c>
      <c r="N1289" s="1">
        <f t="shared" si="41"/>
        <v>128.58000000000001</v>
      </c>
    </row>
    <row r="1290" spans="1:14" x14ac:dyDescent="0.3">
      <c r="A1290" s="1" t="s">
        <v>1768</v>
      </c>
      <c r="B1290" s="1" t="s">
        <v>221</v>
      </c>
      <c r="C1290" s="1" t="s">
        <v>134</v>
      </c>
      <c r="D1290" s="1">
        <v>1</v>
      </c>
      <c r="E1290" s="12">
        <v>45685.952777777777</v>
      </c>
      <c r="F1290" s="1" t="s">
        <v>19</v>
      </c>
      <c r="G1290" s="1" t="s">
        <v>20</v>
      </c>
      <c r="H1290" s="1" t="s">
        <v>14</v>
      </c>
      <c r="I1290" s="1" t="s">
        <v>15</v>
      </c>
      <c r="J1290" s="1" t="str">
        <f t="shared" si="40"/>
        <v>delivered</v>
      </c>
      <c r="K1290" s="1" t="str">
        <f>_xlfn.XLOOKUP(C1290, 'Product Catalog'!$A:$A, 'Product Catalog'!$B:$B, "Unknown Product")</f>
        <v>Cloud Storage Basic Model O144</v>
      </c>
      <c r="L1290" s="1" t="str">
        <f>_xlfn.XLOOKUP(C1290, 'Product Catalog'!$A:$A, 'Product Catalog'!$C:$C, "Unknown Category")</f>
        <v>Digital Services</v>
      </c>
      <c r="M1290" s="1">
        <f>_xlfn.XLOOKUP(C1290, 'Product Catalog'!$A:$A, 'Product Catalog'!$D:$D, 0)</f>
        <v>41.55</v>
      </c>
      <c r="N1290" s="1">
        <f t="shared" si="41"/>
        <v>41.55</v>
      </c>
    </row>
    <row r="1291" spans="1:14" x14ac:dyDescent="0.3">
      <c r="A1291" s="1" t="s">
        <v>1769</v>
      </c>
      <c r="B1291" s="1" t="s">
        <v>307</v>
      </c>
      <c r="C1291" s="1" t="s">
        <v>466</v>
      </c>
      <c r="D1291" s="1">
        <v>2</v>
      </c>
      <c r="E1291" s="12">
        <v>45686.28402777778</v>
      </c>
      <c r="F1291" s="1" t="s">
        <v>19</v>
      </c>
      <c r="G1291" s="1" t="s">
        <v>20</v>
      </c>
      <c r="H1291" s="1" t="s">
        <v>24</v>
      </c>
      <c r="I1291" s="1" t="s">
        <v>32</v>
      </c>
      <c r="J1291" s="1" t="str">
        <f t="shared" si="40"/>
        <v>SHIPPED</v>
      </c>
      <c r="K1291" s="1" t="str">
        <f>_xlfn.XLOOKUP(C1291, 'Product Catalog'!$A:$A, 'Product Catalog'!$B:$B, "Unknown Product")</f>
        <v>VPN 6-Month Pass Model L11</v>
      </c>
      <c r="L1291" s="1" t="str">
        <f>_xlfn.XLOOKUP(C1291, 'Product Catalog'!$A:$A, 'Product Catalog'!$C:$C, "Unknown Category")</f>
        <v>Digital Services</v>
      </c>
      <c r="M1291" s="1">
        <f>_xlfn.XLOOKUP(C1291, 'Product Catalog'!$A:$A, 'Product Catalog'!$D:$D, 0)</f>
        <v>16.73</v>
      </c>
      <c r="N1291" s="1">
        <f t="shared" si="41"/>
        <v>33.46</v>
      </c>
    </row>
    <row r="1292" spans="1:14" x14ac:dyDescent="0.3">
      <c r="A1292" s="1" t="s">
        <v>1770</v>
      </c>
      <c r="B1292" s="1" t="s">
        <v>470</v>
      </c>
      <c r="C1292" s="1" t="s">
        <v>203</v>
      </c>
      <c r="D1292" s="1">
        <v>1</v>
      </c>
      <c r="E1292" s="12">
        <v>45794.228472222225</v>
      </c>
      <c r="F1292" s="1" t="s">
        <v>12</v>
      </c>
      <c r="G1292" s="1" t="s">
        <v>109</v>
      </c>
      <c r="H1292" s="1" t="s">
        <v>41</v>
      </c>
      <c r="I1292" s="1" t="s">
        <v>102</v>
      </c>
      <c r="J1292" s="1" t="str">
        <f t="shared" si="40"/>
        <v>disputed</v>
      </c>
      <c r="K1292" s="1" t="str">
        <f>_xlfn.XLOOKUP(C1292, 'Product Catalog'!$A:$A, 'Product Catalog'!$B:$B, "Unknown Product")</f>
        <v>Pillow Model R17</v>
      </c>
      <c r="L1292" s="1" t="str">
        <f>_xlfn.XLOOKUP(C1292, 'Product Catalog'!$A:$A, 'Product Catalog'!$C:$C, "Unknown Category")</f>
        <v>Home Goods</v>
      </c>
      <c r="M1292" s="1">
        <f>_xlfn.XLOOKUP(C1292, 'Product Catalog'!$A:$A, 'Product Catalog'!$D:$D, 0)</f>
        <v>169.86</v>
      </c>
      <c r="N1292" s="1">
        <f t="shared" si="41"/>
        <v>169.86</v>
      </c>
    </row>
    <row r="1293" spans="1:14" x14ac:dyDescent="0.3">
      <c r="A1293" s="1" t="s">
        <v>1771</v>
      </c>
      <c r="B1293" s="1" t="s">
        <v>336</v>
      </c>
      <c r="C1293" s="1" t="s">
        <v>691</v>
      </c>
      <c r="D1293" s="1">
        <v>1</v>
      </c>
      <c r="E1293" s="12">
        <v>45804.97152777778</v>
      </c>
      <c r="F1293" s="1" t="s">
        <v>12</v>
      </c>
      <c r="G1293" s="1" t="s">
        <v>31</v>
      </c>
      <c r="H1293" s="1" t="s">
        <v>41</v>
      </c>
      <c r="I1293" s="1" t="s">
        <v>42</v>
      </c>
      <c r="J1293" s="1" t="str">
        <f t="shared" si="40"/>
        <v>PENDING_REVIEW</v>
      </c>
      <c r="K1293" s="1" t="str">
        <f>_xlfn.XLOOKUP(C1293, 'Product Catalog'!$A:$A, 'Product Catalog'!$B:$B, "Unknown Product")</f>
        <v>Designer Watch Model T123</v>
      </c>
      <c r="L1293" s="1" t="str">
        <f>_xlfn.XLOOKUP(C1293, 'Product Catalog'!$A:$A, 'Product Catalog'!$C:$C, "Unknown Category")</f>
        <v>Luxury Goods</v>
      </c>
      <c r="M1293" s="1">
        <f>_xlfn.XLOOKUP(C1293, 'Product Catalog'!$A:$A, 'Product Catalog'!$D:$D, 0)</f>
        <v>1301.92</v>
      </c>
      <c r="N1293" s="1">
        <f t="shared" si="41"/>
        <v>1301.92</v>
      </c>
    </row>
    <row r="1294" spans="1:14" x14ac:dyDescent="0.3">
      <c r="A1294" s="1" t="s">
        <v>1772</v>
      </c>
      <c r="B1294" s="1" t="s">
        <v>437</v>
      </c>
      <c r="C1294" s="1" t="s">
        <v>512</v>
      </c>
      <c r="D1294" s="1">
        <v>4</v>
      </c>
      <c r="E1294" s="12">
        <v>45786.207638888889</v>
      </c>
      <c r="F1294" s="1" t="s">
        <v>19</v>
      </c>
      <c r="G1294" s="1" t="s">
        <v>40</v>
      </c>
      <c r="H1294" s="1" t="s">
        <v>51</v>
      </c>
      <c r="I1294" s="1" t="s">
        <v>102</v>
      </c>
      <c r="J1294" s="1" t="str">
        <f t="shared" si="40"/>
        <v>disputed</v>
      </c>
      <c r="K1294" s="1" t="str">
        <f>_xlfn.XLOOKUP(C1294, 'Product Catalog'!$A:$A, 'Product Catalog'!$B:$B, "Unknown Product")</f>
        <v>Designer Watch Model M116</v>
      </c>
      <c r="L1294" s="1" t="str">
        <f>_xlfn.XLOOKUP(C1294, 'Product Catalog'!$A:$A, 'Product Catalog'!$C:$C, "Unknown Category")</f>
        <v>Luxury Goods</v>
      </c>
      <c r="M1294" s="1">
        <f>_xlfn.XLOOKUP(C1294, 'Product Catalog'!$A:$A, 'Product Catalog'!$D:$D, 0)</f>
        <v>968.52</v>
      </c>
      <c r="N1294" s="1">
        <f t="shared" si="41"/>
        <v>3874.08</v>
      </c>
    </row>
    <row r="1295" spans="1:14" x14ac:dyDescent="0.3">
      <c r="A1295" s="1" t="s">
        <v>1773</v>
      </c>
      <c r="B1295" s="1" t="s">
        <v>476</v>
      </c>
      <c r="C1295" s="1" t="s">
        <v>11</v>
      </c>
      <c r="D1295" s="1">
        <v>2</v>
      </c>
      <c r="E1295" s="12">
        <v>45689.981944444444</v>
      </c>
      <c r="F1295" s="1" t="s">
        <v>19</v>
      </c>
      <c r="G1295" s="1" t="s">
        <v>109</v>
      </c>
      <c r="H1295" s="1" t="s">
        <v>41</v>
      </c>
      <c r="I1295" s="1" t="s">
        <v>15</v>
      </c>
      <c r="J1295" s="1" t="str">
        <f t="shared" si="40"/>
        <v>delivered</v>
      </c>
      <c r="K1295" s="1" t="str">
        <f>_xlfn.XLOOKUP(C1295, 'Product Catalog'!$A:$A, 'Product Catalog'!$B:$B, "Unknown Product")</f>
        <v>Keyboard Model F57</v>
      </c>
      <c r="L1295" s="1" t="str">
        <f>_xlfn.XLOOKUP(C1295, 'Product Catalog'!$A:$A, 'Product Catalog'!$C:$C, "Unknown Category")</f>
        <v>Electronics</v>
      </c>
      <c r="M1295" s="1">
        <f>_xlfn.XLOOKUP(C1295, 'Product Catalog'!$A:$A, 'Product Catalog'!$D:$D, 0)</f>
        <v>60.02</v>
      </c>
      <c r="N1295" s="1">
        <f t="shared" si="41"/>
        <v>120.04</v>
      </c>
    </row>
    <row r="1296" spans="1:14" x14ac:dyDescent="0.3">
      <c r="A1296" s="1" t="s">
        <v>1774</v>
      </c>
      <c r="B1296" s="1" t="s">
        <v>488</v>
      </c>
      <c r="C1296" s="1" t="s">
        <v>565</v>
      </c>
      <c r="D1296" s="1">
        <v>1</v>
      </c>
      <c r="E1296" s="12">
        <v>45809.289583333331</v>
      </c>
      <c r="F1296" s="1" t="s">
        <v>19</v>
      </c>
      <c r="G1296" s="1" t="s">
        <v>46</v>
      </c>
      <c r="H1296" s="1" t="s">
        <v>41</v>
      </c>
      <c r="I1296" s="1" t="s">
        <v>15</v>
      </c>
      <c r="J1296" s="1" t="str">
        <f t="shared" si="40"/>
        <v>delivered</v>
      </c>
      <c r="K1296" s="1" t="str">
        <f>_xlfn.XLOOKUP(C1296, 'Product Catalog'!$A:$A, 'Product Catalog'!$B:$B, "Unknown Product")</f>
        <v>Mug Model X75</v>
      </c>
      <c r="L1296" s="1" t="str">
        <f>_xlfn.XLOOKUP(C1296, 'Product Catalog'!$A:$A, 'Product Catalog'!$C:$C, "Unknown Category")</f>
        <v>Home Goods</v>
      </c>
      <c r="M1296" s="1">
        <f>_xlfn.XLOOKUP(C1296, 'Product Catalog'!$A:$A, 'Product Catalog'!$D:$D, 0)</f>
        <v>40.94</v>
      </c>
      <c r="N1296" s="1">
        <f t="shared" si="41"/>
        <v>40.94</v>
      </c>
    </row>
    <row r="1297" spans="1:14" x14ac:dyDescent="0.3">
      <c r="A1297" s="1" t="s">
        <v>1775</v>
      </c>
      <c r="B1297" s="1" t="s">
        <v>422</v>
      </c>
      <c r="C1297" s="1" t="s">
        <v>148</v>
      </c>
      <c r="D1297" s="1">
        <v>1</v>
      </c>
      <c r="E1297" s="12">
        <v>45935.04583333333</v>
      </c>
      <c r="F1297" s="1" t="s">
        <v>12</v>
      </c>
      <c r="G1297" s="1" t="s">
        <v>13</v>
      </c>
      <c r="H1297" s="1" t="s">
        <v>41</v>
      </c>
      <c r="I1297" s="1" t="s">
        <v>15</v>
      </c>
      <c r="J1297" s="1" t="str">
        <f t="shared" si="40"/>
        <v>delivered</v>
      </c>
      <c r="K1297" s="1" t="str">
        <f>_xlfn.XLOOKUP(C1297, 'Product Catalog'!$A:$A, 'Product Catalog'!$B:$B, "Unknown Product")</f>
        <v>Charger Model W100</v>
      </c>
      <c r="L1297" s="1" t="str">
        <f>_xlfn.XLOOKUP(C1297, 'Product Catalog'!$A:$A, 'Product Catalog'!$C:$C, "Unknown Category")</f>
        <v>Electronics</v>
      </c>
      <c r="M1297" s="1">
        <f>_xlfn.XLOOKUP(C1297, 'Product Catalog'!$A:$A, 'Product Catalog'!$D:$D, 0)</f>
        <v>219.96</v>
      </c>
      <c r="N1297" s="1">
        <f t="shared" si="41"/>
        <v>219.96</v>
      </c>
    </row>
    <row r="1298" spans="1:14" x14ac:dyDescent="0.3">
      <c r="A1298" s="1" t="s">
        <v>1776</v>
      </c>
      <c r="B1298" s="1" t="s">
        <v>686</v>
      </c>
      <c r="C1298" s="1" t="s">
        <v>396</v>
      </c>
      <c r="D1298" s="1">
        <v>2</v>
      </c>
      <c r="E1298" s="12">
        <v>45841.643055555556</v>
      </c>
      <c r="F1298" s="1" t="s">
        <v>19</v>
      </c>
      <c r="G1298" s="1" t="s">
        <v>46</v>
      </c>
      <c r="H1298" s="1" t="s">
        <v>41</v>
      </c>
      <c r="I1298" s="1" t="s">
        <v>15</v>
      </c>
      <c r="J1298" s="1" t="str">
        <f t="shared" si="40"/>
        <v>delivered</v>
      </c>
      <c r="K1298" s="1" t="str">
        <f>_xlfn.XLOOKUP(C1298, 'Product Catalog'!$A:$A, 'Product Catalog'!$B:$B, "Unknown Product")</f>
        <v>Cap Model O14</v>
      </c>
      <c r="L1298" s="1" t="str">
        <f>_xlfn.XLOOKUP(C1298, 'Product Catalog'!$A:$A, 'Product Catalog'!$C:$C, "Unknown Category")</f>
        <v>Apparel</v>
      </c>
      <c r="M1298" s="1">
        <f>_xlfn.XLOOKUP(C1298, 'Product Catalog'!$A:$A, 'Product Catalog'!$D:$D, 0)</f>
        <v>41.83</v>
      </c>
      <c r="N1298" s="1">
        <f t="shared" si="41"/>
        <v>83.66</v>
      </c>
    </row>
    <row r="1299" spans="1:14" x14ac:dyDescent="0.3">
      <c r="A1299" s="1" t="s">
        <v>1777</v>
      </c>
      <c r="B1299" s="1" t="s">
        <v>208</v>
      </c>
      <c r="C1299" s="1" t="s">
        <v>691</v>
      </c>
      <c r="D1299" s="1">
        <v>1</v>
      </c>
      <c r="E1299" s="12">
        <v>45710.875694444447</v>
      </c>
      <c r="F1299" s="1" t="s">
        <v>39</v>
      </c>
      <c r="G1299" s="1" t="s">
        <v>46</v>
      </c>
      <c r="H1299" s="1" t="s">
        <v>41</v>
      </c>
      <c r="I1299" s="1" t="s">
        <v>42</v>
      </c>
      <c r="J1299" s="1" t="str">
        <f t="shared" si="40"/>
        <v>PENDING_REVIEW</v>
      </c>
      <c r="K1299" s="1" t="str">
        <f>_xlfn.XLOOKUP(C1299, 'Product Catalog'!$A:$A, 'Product Catalog'!$B:$B, "Unknown Product")</f>
        <v>Designer Watch Model T123</v>
      </c>
      <c r="L1299" s="1" t="str">
        <f>_xlfn.XLOOKUP(C1299, 'Product Catalog'!$A:$A, 'Product Catalog'!$C:$C, "Unknown Category")</f>
        <v>Luxury Goods</v>
      </c>
      <c r="M1299" s="1">
        <f>_xlfn.XLOOKUP(C1299, 'Product Catalog'!$A:$A, 'Product Catalog'!$D:$D, 0)</f>
        <v>1301.92</v>
      </c>
      <c r="N1299" s="1">
        <f t="shared" si="41"/>
        <v>1301.92</v>
      </c>
    </row>
    <row r="1300" spans="1:14" x14ac:dyDescent="0.3">
      <c r="A1300" s="1" t="s">
        <v>1778</v>
      </c>
      <c r="B1300" s="1" t="s">
        <v>232</v>
      </c>
      <c r="C1300" s="1" t="s">
        <v>721</v>
      </c>
      <c r="D1300" s="1">
        <v>2</v>
      </c>
      <c r="E1300" s="12">
        <v>46003.798611111109</v>
      </c>
      <c r="F1300" s="1" t="s">
        <v>19</v>
      </c>
      <c r="G1300" s="1" t="s">
        <v>20</v>
      </c>
      <c r="H1300" s="1" t="s">
        <v>41</v>
      </c>
      <c r="I1300" s="1" t="s">
        <v>15</v>
      </c>
      <c r="J1300" s="1" t="str">
        <f t="shared" si="40"/>
        <v>delivered</v>
      </c>
      <c r="K1300" s="1" t="str">
        <f>_xlfn.XLOOKUP(C1300, 'Product Catalog'!$A:$A, 'Product Catalog'!$B:$B, "Unknown Product")</f>
        <v>Hoodie Model E134</v>
      </c>
      <c r="L1300" s="1" t="str">
        <f>_xlfn.XLOOKUP(C1300, 'Product Catalog'!$A:$A, 'Product Catalog'!$C:$C, "Unknown Category")</f>
        <v>Apparel</v>
      </c>
      <c r="M1300" s="1">
        <f>_xlfn.XLOOKUP(C1300, 'Product Catalog'!$A:$A, 'Product Catalog'!$D:$D, 0)</f>
        <v>58.39</v>
      </c>
      <c r="N1300" s="1">
        <f t="shared" si="41"/>
        <v>116.78</v>
      </c>
    </row>
    <row r="1301" spans="1:14" x14ac:dyDescent="0.3">
      <c r="A1301" s="1" t="s">
        <v>1779</v>
      </c>
      <c r="B1301" s="1" t="s">
        <v>652</v>
      </c>
      <c r="C1301" s="1" t="s">
        <v>1780</v>
      </c>
      <c r="D1301" s="1">
        <v>4</v>
      </c>
      <c r="E1301" s="12">
        <v>45772.920138888891</v>
      </c>
      <c r="F1301" s="1" t="s">
        <v>19</v>
      </c>
      <c r="G1301" s="1" t="s">
        <v>40</v>
      </c>
      <c r="H1301" s="1" t="s">
        <v>55</v>
      </c>
      <c r="I1301" s="1" t="s">
        <v>56</v>
      </c>
      <c r="J1301" s="1" t="str">
        <f t="shared" si="40"/>
        <v>cancelled</v>
      </c>
      <c r="K1301" s="1" t="str">
        <f>_xlfn.XLOOKUP(C1301, 'Product Catalog'!$A:$A, 'Product Catalog'!$B:$B, "Unknown Product")</f>
        <v>Keyboard Model G136</v>
      </c>
      <c r="L1301" s="1" t="str">
        <f>_xlfn.XLOOKUP(C1301, 'Product Catalog'!$A:$A, 'Product Catalog'!$C:$C, "Unknown Category")</f>
        <v>Electronics</v>
      </c>
      <c r="M1301" s="1">
        <f>_xlfn.XLOOKUP(C1301, 'Product Catalog'!$A:$A, 'Product Catalog'!$D:$D, 0)</f>
        <v>50.45</v>
      </c>
      <c r="N1301" s="1">
        <f t="shared" si="41"/>
        <v>201.8</v>
      </c>
    </row>
    <row r="1302" spans="1:14" x14ac:dyDescent="0.3">
      <c r="A1302" s="1" t="s">
        <v>1781</v>
      </c>
      <c r="B1302" s="1" t="s">
        <v>169</v>
      </c>
      <c r="C1302" s="1" t="s">
        <v>527</v>
      </c>
      <c r="D1302" s="1">
        <v>1</v>
      </c>
      <c r="E1302" s="12">
        <v>45945.552777777775</v>
      </c>
      <c r="F1302" s="1" t="s">
        <v>170</v>
      </c>
      <c r="G1302" s="1" t="s">
        <v>40</v>
      </c>
      <c r="H1302" s="1" t="s">
        <v>41</v>
      </c>
      <c r="I1302" s="1" t="s">
        <v>42</v>
      </c>
      <c r="J1302" s="1" t="str">
        <f t="shared" si="40"/>
        <v>PENDING_REVIEW</v>
      </c>
      <c r="K1302" s="1" t="str">
        <f>_xlfn.XLOOKUP(C1302, 'Product Catalog'!$A:$A, 'Product Catalog'!$B:$B, "Unknown Product")</f>
        <v>Leather Handbag Model S96</v>
      </c>
      <c r="L1302" s="1" t="str">
        <f>_xlfn.XLOOKUP(C1302, 'Product Catalog'!$A:$A, 'Product Catalog'!$C:$C, "Unknown Category")</f>
        <v>Luxury Goods</v>
      </c>
      <c r="M1302" s="1">
        <f>_xlfn.XLOOKUP(C1302, 'Product Catalog'!$A:$A, 'Product Catalog'!$D:$D, 0)</f>
        <v>2336.6799999999998</v>
      </c>
      <c r="N1302" s="1">
        <f t="shared" si="41"/>
        <v>2336.6799999999998</v>
      </c>
    </row>
    <row r="1303" spans="1:14" x14ac:dyDescent="0.3">
      <c r="A1303" s="1" t="s">
        <v>1782</v>
      </c>
      <c r="B1303" s="1" t="s">
        <v>765</v>
      </c>
      <c r="C1303" s="1" t="s">
        <v>393</v>
      </c>
      <c r="D1303" s="1">
        <v>2</v>
      </c>
      <c r="E1303" s="12">
        <v>45779.726388888892</v>
      </c>
      <c r="F1303" s="1" t="s">
        <v>19</v>
      </c>
      <c r="G1303" s="1" t="s">
        <v>20</v>
      </c>
      <c r="H1303" s="1" t="s">
        <v>24</v>
      </c>
      <c r="I1303" s="1" t="s">
        <v>42</v>
      </c>
      <c r="J1303" s="1" t="str">
        <f t="shared" si="40"/>
        <v>PENDING_REVIEW</v>
      </c>
      <c r="K1303" s="1" t="str">
        <f>_xlfn.XLOOKUP(C1303, 'Product Catalog'!$A:$A, 'Product Catalog'!$B:$B, "Unknown Product")</f>
        <v>Mouse Model B1</v>
      </c>
      <c r="L1303" s="1" t="str">
        <f>_xlfn.XLOOKUP(C1303, 'Product Catalog'!$A:$A, 'Product Catalog'!$C:$C, "Unknown Category")</f>
        <v>Electronics</v>
      </c>
      <c r="M1303" s="1">
        <f>_xlfn.XLOOKUP(C1303, 'Product Catalog'!$A:$A, 'Product Catalog'!$D:$D, 0)</f>
        <v>189.26</v>
      </c>
      <c r="N1303" s="1">
        <f t="shared" si="41"/>
        <v>378.52</v>
      </c>
    </row>
    <row r="1304" spans="1:14" x14ac:dyDescent="0.3">
      <c r="A1304" s="1" t="s">
        <v>1783</v>
      </c>
      <c r="B1304" s="1" t="s">
        <v>1106</v>
      </c>
      <c r="C1304" s="1" t="s">
        <v>216</v>
      </c>
      <c r="D1304" s="1">
        <v>1</v>
      </c>
      <c r="E1304" s="12">
        <v>46014.40902777778</v>
      </c>
      <c r="F1304" s="1" t="s">
        <v>12</v>
      </c>
      <c r="G1304" s="1" t="s">
        <v>20</v>
      </c>
      <c r="H1304" s="1" t="s">
        <v>55</v>
      </c>
      <c r="I1304" s="1" t="s">
        <v>102</v>
      </c>
      <c r="J1304" s="1" t="str">
        <f t="shared" si="40"/>
        <v>disputed</v>
      </c>
      <c r="K1304" s="1" t="str">
        <f>_xlfn.XLOOKUP(C1304, 'Product Catalog'!$A:$A, 'Product Catalog'!$B:$B, "Unknown Product")</f>
        <v>Premium Perfume Model X23</v>
      </c>
      <c r="L1304" s="1" t="str">
        <f>_xlfn.XLOOKUP(C1304, 'Product Catalog'!$A:$A, 'Product Catalog'!$C:$C, "Unknown Category")</f>
        <v>Luxury Goods</v>
      </c>
      <c r="M1304" s="1">
        <f>_xlfn.XLOOKUP(C1304, 'Product Catalog'!$A:$A, 'Product Catalog'!$D:$D, 0)</f>
        <v>767.78</v>
      </c>
      <c r="N1304" s="1">
        <f t="shared" si="41"/>
        <v>767.78</v>
      </c>
    </row>
    <row r="1305" spans="1:14" x14ac:dyDescent="0.3">
      <c r="A1305" s="1" t="s">
        <v>1784</v>
      </c>
      <c r="B1305" s="1" t="s">
        <v>1474</v>
      </c>
      <c r="C1305" s="1" t="s">
        <v>216</v>
      </c>
      <c r="D1305" s="1">
        <v>1</v>
      </c>
      <c r="E1305" s="12">
        <v>46012.944444444445</v>
      </c>
      <c r="F1305" s="1" t="s">
        <v>170</v>
      </c>
      <c r="G1305" s="1" t="s">
        <v>50</v>
      </c>
      <c r="H1305" s="1" t="s">
        <v>51</v>
      </c>
      <c r="I1305" s="1" t="s">
        <v>56</v>
      </c>
      <c r="J1305" s="1" t="str">
        <f t="shared" si="40"/>
        <v>cancelled</v>
      </c>
      <c r="K1305" s="1" t="str">
        <f>_xlfn.XLOOKUP(C1305, 'Product Catalog'!$A:$A, 'Product Catalog'!$B:$B, "Unknown Product")</f>
        <v>Premium Perfume Model X23</v>
      </c>
      <c r="L1305" s="1" t="str">
        <f>_xlfn.XLOOKUP(C1305, 'Product Catalog'!$A:$A, 'Product Catalog'!$C:$C, "Unknown Category")</f>
        <v>Luxury Goods</v>
      </c>
      <c r="M1305" s="1">
        <f>_xlfn.XLOOKUP(C1305, 'Product Catalog'!$A:$A, 'Product Catalog'!$D:$D, 0)</f>
        <v>767.78</v>
      </c>
      <c r="N1305" s="1">
        <f t="shared" si="41"/>
        <v>767.78</v>
      </c>
    </row>
    <row r="1306" spans="1:14" x14ac:dyDescent="0.3">
      <c r="A1306" s="1" t="s">
        <v>1785</v>
      </c>
      <c r="B1306" s="1" t="s">
        <v>324</v>
      </c>
      <c r="C1306" s="1" t="s">
        <v>261</v>
      </c>
      <c r="D1306" s="1">
        <v>2</v>
      </c>
      <c r="E1306" s="12">
        <v>45682.542361111111</v>
      </c>
      <c r="F1306" s="1" t="s">
        <v>19</v>
      </c>
      <c r="G1306" s="1" t="s">
        <v>46</v>
      </c>
      <c r="H1306" s="1" t="s">
        <v>24</v>
      </c>
      <c r="I1306" s="1" t="s">
        <v>15</v>
      </c>
      <c r="J1306" s="1" t="str">
        <f t="shared" si="40"/>
        <v>delivered</v>
      </c>
      <c r="K1306" s="1" t="str">
        <f>_xlfn.XLOOKUP(C1306, 'Product Catalog'!$A:$A, 'Product Catalog'!$B:$B, "Unknown Product")</f>
        <v>Toaster Model C80</v>
      </c>
      <c r="L1306" s="1" t="str">
        <f>_xlfn.XLOOKUP(C1306, 'Product Catalog'!$A:$A, 'Product Catalog'!$C:$C, "Unknown Category")</f>
        <v>Home Goods</v>
      </c>
      <c r="M1306" s="1">
        <f>_xlfn.XLOOKUP(C1306, 'Product Catalog'!$A:$A, 'Product Catalog'!$D:$D, 0)</f>
        <v>45.24</v>
      </c>
      <c r="N1306" s="1">
        <f t="shared" si="41"/>
        <v>90.48</v>
      </c>
    </row>
    <row r="1307" spans="1:14" x14ac:dyDescent="0.3">
      <c r="A1307" s="1" t="s">
        <v>1786</v>
      </c>
      <c r="B1307" s="1" t="s">
        <v>1101</v>
      </c>
      <c r="C1307" s="1" t="s">
        <v>851</v>
      </c>
      <c r="D1307" s="1">
        <v>4</v>
      </c>
      <c r="E1307" s="12">
        <v>45856.592361111114</v>
      </c>
      <c r="F1307" s="1" t="s">
        <v>12</v>
      </c>
      <c r="G1307" s="1" t="s">
        <v>40</v>
      </c>
      <c r="H1307" s="1" t="s">
        <v>41</v>
      </c>
      <c r="I1307" s="1" t="s">
        <v>81</v>
      </c>
      <c r="J1307" s="1" t="str">
        <f t="shared" si="40"/>
        <v>REFUNDED</v>
      </c>
      <c r="K1307" s="1" t="str">
        <f>_xlfn.XLOOKUP(C1307, 'Product Catalog'!$A:$A, 'Product Catalog'!$B:$B, "Unknown Product")</f>
        <v>Charger Model H59</v>
      </c>
      <c r="L1307" s="1" t="str">
        <f>_xlfn.XLOOKUP(C1307, 'Product Catalog'!$A:$A, 'Product Catalog'!$C:$C, "Unknown Category")</f>
        <v>Electronics</v>
      </c>
      <c r="M1307" s="1">
        <f>_xlfn.XLOOKUP(C1307, 'Product Catalog'!$A:$A, 'Product Catalog'!$D:$D, 0)</f>
        <v>204.89</v>
      </c>
      <c r="N1307" s="1">
        <f t="shared" si="41"/>
        <v>819.56</v>
      </c>
    </row>
    <row r="1308" spans="1:14" x14ac:dyDescent="0.3">
      <c r="A1308" s="1" t="s">
        <v>1787</v>
      </c>
      <c r="B1308" s="1" t="s">
        <v>1026</v>
      </c>
      <c r="C1308" s="1" t="s">
        <v>112</v>
      </c>
      <c r="D1308" s="1">
        <v>1</v>
      </c>
      <c r="E1308" s="12">
        <v>46008.444444444445</v>
      </c>
      <c r="F1308" s="1" t="s">
        <v>12</v>
      </c>
      <c r="G1308" s="1" t="s">
        <v>31</v>
      </c>
      <c r="H1308" s="1" t="s">
        <v>14</v>
      </c>
      <c r="I1308" s="1" t="s">
        <v>15</v>
      </c>
      <c r="J1308" s="1" t="str">
        <f t="shared" si="40"/>
        <v>delivered</v>
      </c>
      <c r="K1308" s="1" t="str">
        <f>_xlfn.XLOOKUP(C1308, 'Product Catalog'!$A:$A, 'Product Catalog'!$B:$B, "Unknown Product")</f>
        <v>Mouse Model J87</v>
      </c>
      <c r="L1308" s="1" t="str">
        <f>_xlfn.XLOOKUP(C1308, 'Product Catalog'!$A:$A, 'Product Catalog'!$C:$C, "Unknown Category")</f>
        <v>Electronics</v>
      </c>
      <c r="M1308" s="1">
        <f>_xlfn.XLOOKUP(C1308, 'Product Catalog'!$A:$A, 'Product Catalog'!$D:$D, 0)</f>
        <v>164.06</v>
      </c>
      <c r="N1308" s="1">
        <f t="shared" si="41"/>
        <v>164.06</v>
      </c>
    </row>
    <row r="1309" spans="1:14" x14ac:dyDescent="0.3">
      <c r="A1309" s="1" t="s">
        <v>1788</v>
      </c>
      <c r="B1309" s="1" t="s">
        <v>162</v>
      </c>
      <c r="C1309" s="1" t="s">
        <v>482</v>
      </c>
      <c r="D1309" s="1">
        <v>1</v>
      </c>
      <c r="E1309" s="12">
        <v>45940.076388888891</v>
      </c>
      <c r="F1309" s="1" t="s">
        <v>12</v>
      </c>
      <c r="G1309" s="1" t="s">
        <v>13</v>
      </c>
      <c r="H1309" s="1" t="s">
        <v>41</v>
      </c>
      <c r="I1309" s="1" t="s">
        <v>15</v>
      </c>
      <c r="J1309" s="1" t="str">
        <f t="shared" si="40"/>
        <v>delivered</v>
      </c>
      <c r="K1309" s="1" t="str">
        <f>_xlfn.XLOOKUP(C1309, 'Product Catalog'!$A:$A, 'Product Catalog'!$B:$B, "Unknown Product")</f>
        <v>VPN 6-Month Pass Model E30</v>
      </c>
      <c r="L1309" s="1" t="str">
        <f>_xlfn.XLOOKUP(C1309, 'Product Catalog'!$A:$A, 'Product Catalog'!$C:$C, "Unknown Category")</f>
        <v>Digital Services</v>
      </c>
      <c r="M1309" s="1">
        <f>_xlfn.XLOOKUP(C1309, 'Product Catalog'!$A:$A, 'Product Catalog'!$D:$D, 0)</f>
        <v>28.63</v>
      </c>
      <c r="N1309" s="1">
        <f t="shared" si="41"/>
        <v>28.63</v>
      </c>
    </row>
    <row r="1310" spans="1:14" x14ac:dyDescent="0.3">
      <c r="A1310" s="1" t="s">
        <v>1789</v>
      </c>
      <c r="B1310" s="1" t="s">
        <v>630</v>
      </c>
      <c r="C1310" s="1" t="s">
        <v>337</v>
      </c>
      <c r="D1310" s="1">
        <v>1</v>
      </c>
      <c r="E1310" s="12">
        <v>45664.356944444444</v>
      </c>
      <c r="F1310" s="1" t="s">
        <v>12</v>
      </c>
      <c r="G1310" s="1" t="s">
        <v>31</v>
      </c>
      <c r="H1310" s="1" t="s">
        <v>14</v>
      </c>
      <c r="I1310" s="1" t="s">
        <v>15</v>
      </c>
      <c r="J1310" s="1" t="str">
        <f t="shared" si="40"/>
        <v>delivered</v>
      </c>
      <c r="K1310" s="1" t="str">
        <f>_xlfn.XLOOKUP(C1310, 'Product Catalog'!$A:$A, 'Product Catalog'!$B:$B, "Unknown Product")</f>
        <v>Webcam Model Z103</v>
      </c>
      <c r="L1310" s="1" t="str">
        <f>_xlfn.XLOOKUP(C1310, 'Product Catalog'!$A:$A, 'Product Catalog'!$C:$C, "Unknown Category")</f>
        <v>Electronics</v>
      </c>
      <c r="M1310" s="1">
        <f>_xlfn.XLOOKUP(C1310, 'Product Catalog'!$A:$A, 'Product Catalog'!$D:$D, 0)</f>
        <v>60.39</v>
      </c>
      <c r="N1310" s="1">
        <f t="shared" si="41"/>
        <v>60.39</v>
      </c>
    </row>
    <row r="1311" spans="1:14" x14ac:dyDescent="0.3">
      <c r="A1311" s="1" t="s">
        <v>1790</v>
      </c>
      <c r="B1311" s="1" t="s">
        <v>950</v>
      </c>
      <c r="C1311" s="1" t="s">
        <v>316</v>
      </c>
      <c r="D1311" s="1">
        <v>5</v>
      </c>
      <c r="E1311" s="12">
        <v>45761.881944444445</v>
      </c>
      <c r="F1311" s="1" t="s">
        <v>39</v>
      </c>
      <c r="G1311" s="1" t="s">
        <v>31</v>
      </c>
      <c r="H1311" s="1" t="s">
        <v>51</v>
      </c>
      <c r="I1311" s="1" t="s">
        <v>102</v>
      </c>
      <c r="J1311" s="1" t="str">
        <f t="shared" si="40"/>
        <v>disputed</v>
      </c>
      <c r="K1311" s="1" t="str">
        <f>_xlfn.XLOOKUP(C1311, 'Product Catalog'!$A:$A, 'Product Catalog'!$B:$B, "Unknown Product")</f>
        <v>Leather Handbag Model W48</v>
      </c>
      <c r="L1311" s="1" t="str">
        <f>_xlfn.XLOOKUP(C1311, 'Product Catalog'!$A:$A, 'Product Catalog'!$C:$C, "Unknown Category")</f>
        <v>Luxury Goods</v>
      </c>
      <c r="M1311" s="1">
        <f>_xlfn.XLOOKUP(C1311, 'Product Catalog'!$A:$A, 'Product Catalog'!$D:$D, 0)</f>
        <v>315.82</v>
      </c>
      <c r="N1311" s="1">
        <f t="shared" si="41"/>
        <v>1579.1</v>
      </c>
    </row>
    <row r="1312" spans="1:14" x14ac:dyDescent="0.3">
      <c r="A1312" s="1" t="s">
        <v>1791</v>
      </c>
      <c r="B1312" s="1" t="s">
        <v>180</v>
      </c>
      <c r="C1312" s="1" t="s">
        <v>122</v>
      </c>
      <c r="D1312" s="1">
        <v>5</v>
      </c>
      <c r="E1312" s="12">
        <v>45884.320138888892</v>
      </c>
      <c r="F1312" s="1" t="s">
        <v>39</v>
      </c>
      <c r="G1312" s="1" t="s">
        <v>20</v>
      </c>
      <c r="H1312" s="1" t="s">
        <v>51</v>
      </c>
      <c r="I1312" s="1" t="s">
        <v>102</v>
      </c>
      <c r="J1312" s="1" t="str">
        <f t="shared" si="40"/>
        <v>disputed</v>
      </c>
      <c r="K1312" s="1" t="str">
        <f>_xlfn.XLOOKUP(C1312, 'Product Catalog'!$A:$A, 'Product Catalog'!$B:$B, "Unknown Product")</f>
        <v>Gold Bracelet Model I86</v>
      </c>
      <c r="L1312" s="1" t="str">
        <f>_xlfn.XLOOKUP(C1312, 'Product Catalog'!$A:$A, 'Product Catalog'!$C:$C, "Unknown Category")</f>
        <v>Luxury Goods</v>
      </c>
      <c r="M1312" s="1">
        <f>_xlfn.XLOOKUP(C1312, 'Product Catalog'!$A:$A, 'Product Catalog'!$D:$D, 0)</f>
        <v>852.47</v>
      </c>
      <c r="N1312" s="1">
        <f t="shared" si="41"/>
        <v>4262.3500000000004</v>
      </c>
    </row>
    <row r="1313" spans="1:14" x14ac:dyDescent="0.3">
      <c r="A1313" s="1" t="s">
        <v>1792</v>
      </c>
      <c r="B1313" s="1" t="s">
        <v>1474</v>
      </c>
      <c r="C1313" s="1" t="s">
        <v>18</v>
      </c>
      <c r="D1313" s="1">
        <v>1</v>
      </c>
      <c r="E1313" s="12">
        <v>45982.92083333333</v>
      </c>
      <c r="F1313" s="1" t="s">
        <v>12</v>
      </c>
      <c r="G1313" s="1" t="s">
        <v>13</v>
      </c>
      <c r="H1313" s="1" t="s">
        <v>14</v>
      </c>
      <c r="I1313" s="1" t="s">
        <v>15</v>
      </c>
      <c r="J1313" s="1" t="str">
        <f t="shared" si="40"/>
        <v>delivered</v>
      </c>
      <c r="K1313" s="1" t="str">
        <f>_xlfn.XLOOKUP(C1313, 'Product Catalog'!$A:$A, 'Product Catalog'!$B:$B, "Unknown Product")</f>
        <v>Sneakers Model H137</v>
      </c>
      <c r="L1313" s="1" t="str">
        <f>_xlfn.XLOOKUP(C1313, 'Product Catalog'!$A:$A, 'Product Catalog'!$C:$C, "Unknown Category")</f>
        <v>Apparel</v>
      </c>
      <c r="M1313" s="1">
        <f>_xlfn.XLOOKUP(C1313, 'Product Catalog'!$A:$A, 'Product Catalog'!$D:$D, 0)</f>
        <v>33.53</v>
      </c>
      <c r="N1313" s="1">
        <f t="shared" si="41"/>
        <v>33.53</v>
      </c>
    </row>
    <row r="1314" spans="1:14" x14ac:dyDescent="0.3">
      <c r="A1314" s="1" t="s">
        <v>1793</v>
      </c>
      <c r="B1314" s="1" t="s">
        <v>283</v>
      </c>
      <c r="C1314" s="1" t="s">
        <v>352</v>
      </c>
      <c r="D1314" s="1">
        <v>1</v>
      </c>
      <c r="E1314" s="12">
        <v>45846.836805555555</v>
      </c>
      <c r="F1314" s="1" t="s">
        <v>19</v>
      </c>
      <c r="G1314" s="1" t="s">
        <v>46</v>
      </c>
      <c r="H1314" s="1" t="s">
        <v>41</v>
      </c>
      <c r="I1314" s="1" t="s">
        <v>15</v>
      </c>
      <c r="J1314" s="1" t="str">
        <f t="shared" si="40"/>
        <v>delivered</v>
      </c>
      <c r="K1314" s="1" t="str">
        <f>_xlfn.XLOOKUP(C1314, 'Product Catalog'!$A:$A, 'Product Catalog'!$B:$B, "Unknown Product")</f>
        <v>VPN 6-Month Pass Model U46</v>
      </c>
      <c r="L1314" s="1" t="str">
        <f>_xlfn.XLOOKUP(C1314, 'Product Catalog'!$A:$A, 'Product Catalog'!$C:$C, "Unknown Category")</f>
        <v>Digital Services</v>
      </c>
      <c r="M1314" s="1">
        <f>_xlfn.XLOOKUP(C1314, 'Product Catalog'!$A:$A, 'Product Catalog'!$D:$D, 0)</f>
        <v>47.44</v>
      </c>
      <c r="N1314" s="1">
        <f t="shared" si="41"/>
        <v>47.44</v>
      </c>
    </row>
    <row r="1315" spans="1:14" x14ac:dyDescent="0.3">
      <c r="A1315" s="1" t="s">
        <v>1794</v>
      </c>
      <c r="B1315" s="1" t="s">
        <v>92</v>
      </c>
      <c r="C1315" s="1" t="s">
        <v>424</v>
      </c>
      <c r="D1315" s="1">
        <v>4</v>
      </c>
      <c r="E1315" s="12">
        <v>45937.857638888891</v>
      </c>
      <c r="F1315" s="1" t="s">
        <v>19</v>
      </c>
      <c r="G1315" s="1" t="s">
        <v>40</v>
      </c>
      <c r="H1315" s="1" t="s">
        <v>55</v>
      </c>
      <c r="I1315" s="1" t="s">
        <v>81</v>
      </c>
      <c r="J1315" s="1" t="str">
        <f t="shared" si="40"/>
        <v>REFUNDED</v>
      </c>
      <c r="K1315" s="1" t="str">
        <f>_xlfn.XLOOKUP(C1315, 'Product Catalog'!$A:$A, 'Product Catalog'!$B:$B, "Unknown Product")</f>
        <v>Software License Tier A Model M142</v>
      </c>
      <c r="L1315" s="1" t="str">
        <f>_xlfn.XLOOKUP(C1315, 'Product Catalog'!$A:$A, 'Product Catalog'!$C:$C, "Unknown Category")</f>
        <v>Digital Services</v>
      </c>
      <c r="M1315" s="1">
        <f>_xlfn.XLOOKUP(C1315, 'Product Catalog'!$A:$A, 'Product Catalog'!$D:$D, 0)</f>
        <v>55.59</v>
      </c>
      <c r="N1315" s="1">
        <f t="shared" si="41"/>
        <v>222.36</v>
      </c>
    </row>
    <row r="1316" spans="1:14" x14ac:dyDescent="0.3">
      <c r="A1316" s="1" t="s">
        <v>1795</v>
      </c>
      <c r="B1316" s="1" t="s">
        <v>662</v>
      </c>
      <c r="C1316" s="1" t="s">
        <v>404</v>
      </c>
      <c r="D1316" s="1">
        <v>5</v>
      </c>
      <c r="E1316" s="12">
        <v>45758.275000000001</v>
      </c>
      <c r="F1316" s="1" t="s">
        <v>19</v>
      </c>
      <c r="G1316" s="1" t="s">
        <v>40</v>
      </c>
      <c r="H1316" s="1" t="s">
        <v>51</v>
      </c>
      <c r="I1316" s="1" t="s">
        <v>56</v>
      </c>
      <c r="J1316" s="1" t="str">
        <f t="shared" si="40"/>
        <v>cancelled</v>
      </c>
      <c r="K1316" s="1" t="str">
        <f>_xlfn.XLOOKUP(C1316, 'Product Catalog'!$A:$A, 'Product Catalog'!$B:$B, "Unknown Product")</f>
        <v>Gold Bracelet Model O66</v>
      </c>
      <c r="L1316" s="1" t="str">
        <f>_xlfn.XLOOKUP(C1316, 'Product Catalog'!$A:$A, 'Product Catalog'!$C:$C, "Unknown Category")</f>
        <v>Luxury Goods</v>
      </c>
      <c r="M1316" s="1">
        <f>_xlfn.XLOOKUP(C1316, 'Product Catalog'!$A:$A, 'Product Catalog'!$D:$D, 0)</f>
        <v>640.54999999999995</v>
      </c>
      <c r="N1316" s="1">
        <f t="shared" si="41"/>
        <v>3202.75</v>
      </c>
    </row>
    <row r="1317" spans="1:14" x14ac:dyDescent="0.3">
      <c r="A1317" s="1" t="s">
        <v>1796</v>
      </c>
      <c r="B1317" s="1" t="s">
        <v>530</v>
      </c>
      <c r="C1317" s="1" t="s">
        <v>415</v>
      </c>
      <c r="D1317" s="1">
        <v>1</v>
      </c>
      <c r="E1317" s="12">
        <v>45808.638194444444</v>
      </c>
      <c r="F1317" s="1" t="s">
        <v>12</v>
      </c>
      <c r="G1317" s="1" t="s">
        <v>46</v>
      </c>
      <c r="H1317" s="1" t="s">
        <v>14</v>
      </c>
      <c r="I1317" s="1" t="s">
        <v>42</v>
      </c>
      <c r="J1317" s="1" t="str">
        <f t="shared" si="40"/>
        <v>PENDING_REVIEW</v>
      </c>
      <c r="K1317" s="1" t="str">
        <f>_xlfn.XLOOKUP(C1317, 'Product Catalog'!$A:$A, 'Product Catalog'!$B:$B, "Unknown Product")</f>
        <v>Premium Stream 1M Model S148</v>
      </c>
      <c r="L1317" s="1" t="str">
        <f>_xlfn.XLOOKUP(C1317, 'Product Catalog'!$A:$A, 'Product Catalog'!$C:$C, "Unknown Category")</f>
        <v>Digital Services</v>
      </c>
      <c r="M1317" s="1">
        <f>_xlfn.XLOOKUP(C1317, 'Product Catalog'!$A:$A, 'Product Catalog'!$D:$D, 0)</f>
        <v>9.73</v>
      </c>
      <c r="N1317" s="1">
        <f t="shared" si="41"/>
        <v>9.73</v>
      </c>
    </row>
    <row r="1318" spans="1:14" x14ac:dyDescent="0.3">
      <c r="A1318" s="1" t="s">
        <v>1797</v>
      </c>
      <c r="B1318" s="1" t="s">
        <v>228</v>
      </c>
      <c r="C1318" s="1" t="s">
        <v>190</v>
      </c>
      <c r="D1318" s="1">
        <v>1</v>
      </c>
      <c r="E1318" s="12">
        <v>45748.970833333333</v>
      </c>
      <c r="F1318" s="1" t="s">
        <v>12</v>
      </c>
      <c r="G1318" s="1" t="s">
        <v>13</v>
      </c>
      <c r="H1318" s="1" t="s">
        <v>55</v>
      </c>
      <c r="I1318" s="1" t="s">
        <v>42</v>
      </c>
      <c r="J1318" s="1" t="str">
        <f t="shared" si="40"/>
        <v>PENDING_REVIEW</v>
      </c>
      <c r="K1318" s="1" t="str">
        <f>_xlfn.XLOOKUP(C1318, 'Product Catalog'!$A:$A, 'Product Catalog'!$B:$B, "Unknown Product")</f>
        <v>Silk Scarf Model A52</v>
      </c>
      <c r="L1318" s="1" t="str">
        <f>_xlfn.XLOOKUP(C1318, 'Product Catalog'!$A:$A, 'Product Catalog'!$C:$C, "Unknown Category")</f>
        <v>Luxury Goods</v>
      </c>
      <c r="M1318" s="1">
        <f>_xlfn.XLOOKUP(C1318, 'Product Catalog'!$A:$A, 'Product Catalog'!$D:$D, 0)</f>
        <v>1339.88</v>
      </c>
      <c r="N1318" s="1">
        <f t="shared" si="41"/>
        <v>1339.88</v>
      </c>
    </row>
    <row r="1319" spans="1:14" x14ac:dyDescent="0.3">
      <c r="A1319" s="1" t="s">
        <v>1798</v>
      </c>
      <c r="B1319" s="1" t="s">
        <v>61</v>
      </c>
      <c r="C1319" s="1" t="s">
        <v>396</v>
      </c>
      <c r="D1319" s="1">
        <v>2</v>
      </c>
      <c r="E1319" s="12">
        <v>45696.265277777777</v>
      </c>
      <c r="F1319" s="1" t="s">
        <v>185</v>
      </c>
      <c r="G1319" s="1" t="s">
        <v>46</v>
      </c>
      <c r="H1319" s="1" t="s">
        <v>41</v>
      </c>
      <c r="I1319" s="1" t="s">
        <v>15</v>
      </c>
      <c r="J1319" s="1" t="str">
        <f t="shared" si="40"/>
        <v>delivered</v>
      </c>
      <c r="K1319" s="1" t="str">
        <f>_xlfn.XLOOKUP(C1319, 'Product Catalog'!$A:$A, 'Product Catalog'!$B:$B, "Unknown Product")</f>
        <v>Cap Model O14</v>
      </c>
      <c r="L1319" s="1" t="str">
        <f>_xlfn.XLOOKUP(C1319, 'Product Catalog'!$A:$A, 'Product Catalog'!$C:$C, "Unknown Category")</f>
        <v>Apparel</v>
      </c>
      <c r="M1319" s="1">
        <f>_xlfn.XLOOKUP(C1319, 'Product Catalog'!$A:$A, 'Product Catalog'!$D:$D, 0)</f>
        <v>41.83</v>
      </c>
      <c r="N1319" s="1">
        <f t="shared" si="41"/>
        <v>83.66</v>
      </c>
    </row>
    <row r="1320" spans="1:14" x14ac:dyDescent="0.3">
      <c r="A1320" s="1" t="s">
        <v>1799</v>
      </c>
      <c r="B1320" s="1" t="s">
        <v>533</v>
      </c>
      <c r="C1320" s="1" t="s">
        <v>309</v>
      </c>
      <c r="D1320" s="1">
        <v>1</v>
      </c>
      <c r="E1320" s="12">
        <v>45746.730555555558</v>
      </c>
      <c r="F1320" s="1" t="s">
        <v>39</v>
      </c>
      <c r="G1320" s="1" t="s">
        <v>40</v>
      </c>
      <c r="H1320" s="1" t="s">
        <v>41</v>
      </c>
      <c r="I1320" s="1" t="s">
        <v>56</v>
      </c>
      <c r="J1320" s="1" t="str">
        <f t="shared" si="40"/>
        <v>cancelled</v>
      </c>
      <c r="K1320" s="1" t="str">
        <f>_xlfn.XLOOKUP(C1320, 'Product Catalog'!$A:$A, 'Product Catalog'!$B:$B, "Unknown Product")</f>
        <v>Sneakers Model C2</v>
      </c>
      <c r="L1320" s="1" t="str">
        <f>_xlfn.XLOOKUP(C1320, 'Product Catalog'!$A:$A, 'Product Catalog'!$C:$C, "Unknown Category")</f>
        <v>Apparel</v>
      </c>
      <c r="M1320" s="1">
        <f>_xlfn.XLOOKUP(C1320, 'Product Catalog'!$A:$A, 'Product Catalog'!$D:$D, 0)</f>
        <v>21.27</v>
      </c>
      <c r="N1320" s="1">
        <f t="shared" si="41"/>
        <v>21.27</v>
      </c>
    </row>
    <row r="1321" spans="1:14" x14ac:dyDescent="0.3">
      <c r="A1321" s="1" t="s">
        <v>1800</v>
      </c>
      <c r="B1321" s="1" t="s">
        <v>888</v>
      </c>
      <c r="C1321" s="1" t="s">
        <v>415</v>
      </c>
      <c r="D1321" s="1">
        <v>1</v>
      </c>
      <c r="E1321" s="12">
        <v>45719.536111111112</v>
      </c>
      <c r="F1321" s="1" t="s">
        <v>19</v>
      </c>
      <c r="G1321" s="1" t="s">
        <v>109</v>
      </c>
      <c r="H1321" s="1" t="s">
        <v>24</v>
      </c>
      <c r="I1321" s="1" t="s">
        <v>15</v>
      </c>
      <c r="J1321" s="1" t="str">
        <f t="shared" si="40"/>
        <v>delivered</v>
      </c>
      <c r="K1321" s="1" t="str">
        <f>_xlfn.XLOOKUP(C1321, 'Product Catalog'!$A:$A, 'Product Catalog'!$B:$B, "Unknown Product")</f>
        <v>Premium Stream 1M Model S148</v>
      </c>
      <c r="L1321" s="1" t="str">
        <f>_xlfn.XLOOKUP(C1321, 'Product Catalog'!$A:$A, 'Product Catalog'!$C:$C, "Unknown Category")</f>
        <v>Digital Services</v>
      </c>
      <c r="M1321" s="1">
        <f>_xlfn.XLOOKUP(C1321, 'Product Catalog'!$A:$A, 'Product Catalog'!$D:$D, 0)</f>
        <v>9.73</v>
      </c>
      <c r="N1321" s="1">
        <f t="shared" si="41"/>
        <v>9.73</v>
      </c>
    </row>
    <row r="1322" spans="1:14" x14ac:dyDescent="0.3">
      <c r="A1322" s="1" t="s">
        <v>1801</v>
      </c>
      <c r="B1322" s="1" t="s">
        <v>874</v>
      </c>
      <c r="C1322" s="1" t="s">
        <v>377</v>
      </c>
      <c r="D1322" s="1">
        <v>2</v>
      </c>
      <c r="E1322" s="12">
        <v>45678.609027777777</v>
      </c>
      <c r="F1322" s="1" t="s">
        <v>185</v>
      </c>
      <c r="G1322" s="1" t="s">
        <v>46</v>
      </c>
      <c r="H1322" s="1" t="s">
        <v>14</v>
      </c>
      <c r="I1322" s="1" t="s">
        <v>102</v>
      </c>
      <c r="J1322" s="1" t="str">
        <f t="shared" si="40"/>
        <v>disputed</v>
      </c>
      <c r="K1322" s="1" t="str">
        <f>_xlfn.XLOOKUP(C1322, 'Product Catalog'!$A:$A, 'Product Catalog'!$B:$B, "Unknown Product")</f>
        <v>Mouse Model J61</v>
      </c>
      <c r="L1322" s="1" t="str">
        <f>_xlfn.XLOOKUP(C1322, 'Product Catalog'!$A:$A, 'Product Catalog'!$C:$C, "Unknown Category")</f>
        <v>Electronics</v>
      </c>
      <c r="M1322" s="1">
        <f>_xlfn.XLOOKUP(C1322, 'Product Catalog'!$A:$A, 'Product Catalog'!$D:$D, 0)</f>
        <v>232.7</v>
      </c>
      <c r="N1322" s="1">
        <f t="shared" si="41"/>
        <v>465.4</v>
      </c>
    </row>
    <row r="1323" spans="1:14" x14ac:dyDescent="0.3">
      <c r="A1323" s="1" t="s">
        <v>1802</v>
      </c>
      <c r="B1323" s="1" t="s">
        <v>1220</v>
      </c>
      <c r="C1323" s="1" t="s">
        <v>237</v>
      </c>
      <c r="D1323" s="1">
        <v>4</v>
      </c>
      <c r="E1323" s="12">
        <v>45800.790972222225</v>
      </c>
      <c r="F1323" s="1" t="s">
        <v>19</v>
      </c>
      <c r="G1323" s="1" t="s">
        <v>46</v>
      </c>
      <c r="H1323" s="1" t="s">
        <v>55</v>
      </c>
      <c r="I1323" s="1" t="s">
        <v>81</v>
      </c>
      <c r="J1323" s="1" t="str">
        <f t="shared" si="40"/>
        <v>REFUNDED</v>
      </c>
      <c r="K1323" s="1" t="str">
        <f>_xlfn.XLOOKUP(C1323, 'Product Catalog'!$A:$A, 'Product Catalog'!$B:$B, "Unknown Product")</f>
        <v>Leather Handbag Model U20</v>
      </c>
      <c r="L1323" s="1" t="str">
        <f>_xlfn.XLOOKUP(C1323, 'Product Catalog'!$A:$A, 'Product Catalog'!$C:$C, "Unknown Category")</f>
        <v>Luxury Goods</v>
      </c>
      <c r="M1323" s="1">
        <f>_xlfn.XLOOKUP(C1323, 'Product Catalog'!$A:$A, 'Product Catalog'!$D:$D, 0)</f>
        <v>1806.15</v>
      </c>
      <c r="N1323" s="1">
        <f t="shared" si="41"/>
        <v>7224.6</v>
      </c>
    </row>
    <row r="1324" spans="1:14" x14ac:dyDescent="0.3">
      <c r="A1324" s="1" t="s">
        <v>1803</v>
      </c>
      <c r="B1324" s="1" t="s">
        <v>698</v>
      </c>
      <c r="C1324" s="1" t="s">
        <v>496</v>
      </c>
      <c r="D1324" s="1">
        <v>1</v>
      </c>
      <c r="E1324" s="12">
        <v>45793.18472222222</v>
      </c>
      <c r="F1324" s="1" t="s">
        <v>19</v>
      </c>
      <c r="G1324" s="1" t="s">
        <v>109</v>
      </c>
      <c r="H1324" s="1" t="s">
        <v>14</v>
      </c>
      <c r="I1324" s="1" t="s">
        <v>42</v>
      </c>
      <c r="J1324" s="1" t="str">
        <f t="shared" si="40"/>
        <v>PENDING_REVIEW</v>
      </c>
      <c r="K1324" s="1" t="str">
        <f>_xlfn.XLOOKUP(C1324, 'Product Catalog'!$A:$A, 'Product Catalog'!$B:$B, "Unknown Product")</f>
        <v>Mug Model T45</v>
      </c>
      <c r="L1324" s="1" t="str">
        <f>_xlfn.XLOOKUP(C1324, 'Product Catalog'!$A:$A, 'Product Catalog'!$C:$C, "Unknown Category")</f>
        <v>Home Goods</v>
      </c>
      <c r="M1324" s="1">
        <f>_xlfn.XLOOKUP(C1324, 'Product Catalog'!$A:$A, 'Product Catalog'!$D:$D, 0)</f>
        <v>179.22</v>
      </c>
      <c r="N1324" s="1">
        <f t="shared" si="41"/>
        <v>179.22</v>
      </c>
    </row>
    <row r="1325" spans="1:14" x14ac:dyDescent="0.3">
      <c r="A1325" s="1" t="s">
        <v>1804</v>
      </c>
      <c r="B1325" s="1" t="s">
        <v>977</v>
      </c>
      <c r="C1325" s="1" t="s">
        <v>256</v>
      </c>
      <c r="D1325" s="1">
        <v>1</v>
      </c>
      <c r="E1325" s="12">
        <v>45740.830555555556</v>
      </c>
      <c r="F1325" s="1" t="s">
        <v>12</v>
      </c>
      <c r="G1325" s="1" t="s">
        <v>109</v>
      </c>
      <c r="H1325" s="1" t="s">
        <v>41</v>
      </c>
      <c r="I1325" s="1" t="s">
        <v>32</v>
      </c>
      <c r="J1325" s="1" t="str">
        <f t="shared" si="40"/>
        <v>SHIPPED</v>
      </c>
      <c r="K1325" s="1" t="str">
        <f>_xlfn.XLOOKUP(C1325, 'Product Catalog'!$A:$A, 'Product Catalog'!$B:$B, "Unknown Product")</f>
        <v>Charger Model E56</v>
      </c>
      <c r="L1325" s="1" t="str">
        <f>_xlfn.XLOOKUP(C1325, 'Product Catalog'!$A:$A, 'Product Catalog'!$C:$C, "Unknown Category")</f>
        <v>Electronics</v>
      </c>
      <c r="M1325" s="1">
        <f>_xlfn.XLOOKUP(C1325, 'Product Catalog'!$A:$A, 'Product Catalog'!$D:$D, 0)</f>
        <v>186.13</v>
      </c>
      <c r="N1325" s="1">
        <f t="shared" si="41"/>
        <v>186.13</v>
      </c>
    </row>
    <row r="1326" spans="1:14" x14ac:dyDescent="0.3">
      <c r="A1326" s="1" t="s">
        <v>1805</v>
      </c>
      <c r="B1326" s="1" t="s">
        <v>451</v>
      </c>
      <c r="C1326" s="1" t="s">
        <v>383</v>
      </c>
      <c r="D1326" s="1">
        <v>1</v>
      </c>
      <c r="E1326" s="12">
        <v>45788.007638888892</v>
      </c>
      <c r="F1326" s="1" t="s">
        <v>19</v>
      </c>
      <c r="G1326" s="1" t="s">
        <v>31</v>
      </c>
      <c r="H1326" s="1" t="s">
        <v>14</v>
      </c>
      <c r="I1326" s="1" t="s">
        <v>15</v>
      </c>
      <c r="J1326" s="1" t="str">
        <f t="shared" si="40"/>
        <v>delivered</v>
      </c>
      <c r="K1326" s="1" t="str">
        <f>_xlfn.XLOOKUP(C1326, 'Product Catalog'!$A:$A, 'Product Catalog'!$B:$B, "Unknown Product")</f>
        <v>Keyboard Model F83</v>
      </c>
      <c r="L1326" s="1" t="str">
        <f>_xlfn.XLOOKUP(C1326, 'Product Catalog'!$A:$A, 'Product Catalog'!$C:$C, "Unknown Category")</f>
        <v>Electronics</v>
      </c>
      <c r="M1326" s="1">
        <f>_xlfn.XLOOKUP(C1326, 'Product Catalog'!$A:$A, 'Product Catalog'!$D:$D, 0)</f>
        <v>77.150000000000006</v>
      </c>
      <c r="N1326" s="1">
        <f t="shared" si="41"/>
        <v>77.150000000000006</v>
      </c>
    </row>
    <row r="1327" spans="1:14" x14ac:dyDescent="0.3">
      <c r="A1327" s="1" t="s">
        <v>1806</v>
      </c>
      <c r="B1327" s="1" t="s">
        <v>666</v>
      </c>
      <c r="C1327" s="1" t="s">
        <v>879</v>
      </c>
      <c r="D1327" s="1">
        <v>1</v>
      </c>
      <c r="E1327" s="12">
        <v>45827.663194444445</v>
      </c>
      <c r="F1327" s="1" t="s">
        <v>19</v>
      </c>
      <c r="G1327" s="1" t="s">
        <v>31</v>
      </c>
      <c r="H1327" s="1" t="s">
        <v>41</v>
      </c>
      <c r="I1327" s="1" t="s">
        <v>15</v>
      </c>
      <c r="J1327" s="1" t="str">
        <f t="shared" si="40"/>
        <v>delivered</v>
      </c>
      <c r="K1327" s="1" t="str">
        <f>_xlfn.XLOOKUP(C1327, 'Product Catalog'!$A:$A, 'Product Catalog'!$B:$B, "Unknown Product")</f>
        <v>Toaster Model I8</v>
      </c>
      <c r="L1327" s="1" t="str">
        <f>_xlfn.XLOOKUP(C1327, 'Product Catalog'!$A:$A, 'Product Catalog'!$C:$C, "Unknown Category")</f>
        <v>Home Goods</v>
      </c>
      <c r="M1327" s="1">
        <f>_xlfn.XLOOKUP(C1327, 'Product Catalog'!$A:$A, 'Product Catalog'!$D:$D, 0)</f>
        <v>44.88</v>
      </c>
      <c r="N1327" s="1">
        <f t="shared" si="41"/>
        <v>44.88</v>
      </c>
    </row>
    <row r="1328" spans="1:14" x14ac:dyDescent="0.3">
      <c r="A1328" s="1" t="s">
        <v>1807</v>
      </c>
      <c r="B1328" s="1" t="s">
        <v>902</v>
      </c>
      <c r="C1328" s="1" t="s">
        <v>357</v>
      </c>
      <c r="D1328" s="1">
        <v>1</v>
      </c>
      <c r="E1328" s="12">
        <v>45737.056250000001</v>
      </c>
      <c r="F1328" s="1" t="s">
        <v>185</v>
      </c>
      <c r="G1328" s="1" t="s">
        <v>31</v>
      </c>
      <c r="H1328" s="1" t="s">
        <v>41</v>
      </c>
      <c r="I1328" s="1" t="s">
        <v>15</v>
      </c>
      <c r="J1328" s="1" t="str">
        <f t="shared" si="40"/>
        <v>delivered</v>
      </c>
      <c r="K1328" s="1" t="str">
        <f>_xlfn.XLOOKUP(C1328, 'Product Catalog'!$A:$A, 'Product Catalog'!$B:$B, "Unknown Product")</f>
        <v>Blender Model C106</v>
      </c>
      <c r="L1328" s="1" t="str">
        <f>_xlfn.XLOOKUP(C1328, 'Product Catalog'!$A:$A, 'Product Catalog'!$C:$C, "Unknown Category")</f>
        <v>Home Goods</v>
      </c>
      <c r="M1328" s="1">
        <f>_xlfn.XLOOKUP(C1328, 'Product Catalog'!$A:$A, 'Product Catalog'!$D:$D, 0)</f>
        <v>112.89</v>
      </c>
      <c r="N1328" s="1">
        <f t="shared" si="41"/>
        <v>112.89</v>
      </c>
    </row>
    <row r="1329" spans="1:14" x14ac:dyDescent="0.3">
      <c r="A1329" s="1" t="s">
        <v>1808</v>
      </c>
      <c r="B1329" s="1" t="s">
        <v>439</v>
      </c>
      <c r="C1329" s="1" t="s">
        <v>176</v>
      </c>
      <c r="D1329" s="1">
        <v>4</v>
      </c>
      <c r="E1329" s="12">
        <v>45736.458333333336</v>
      </c>
      <c r="F1329" s="1" t="s">
        <v>170</v>
      </c>
      <c r="G1329" s="1" t="s">
        <v>31</v>
      </c>
      <c r="H1329" s="1" t="s">
        <v>51</v>
      </c>
      <c r="I1329" s="1" t="s">
        <v>56</v>
      </c>
      <c r="J1329" s="1" t="str">
        <f t="shared" si="40"/>
        <v>cancelled</v>
      </c>
      <c r="K1329" s="1" t="str">
        <f>_xlfn.XLOOKUP(C1329, 'Product Catalog'!$A:$A, 'Product Catalog'!$B:$B, "Unknown Product")</f>
        <v>Leather Handbag Model U124</v>
      </c>
      <c r="L1329" s="1" t="str">
        <f>_xlfn.XLOOKUP(C1329, 'Product Catalog'!$A:$A, 'Product Catalog'!$C:$C, "Unknown Category")</f>
        <v>Luxury Goods</v>
      </c>
      <c r="M1329" s="1">
        <f>_xlfn.XLOOKUP(C1329, 'Product Catalog'!$A:$A, 'Product Catalog'!$D:$D, 0)</f>
        <v>1880.36</v>
      </c>
      <c r="N1329" s="1">
        <f t="shared" si="41"/>
        <v>7521.44</v>
      </c>
    </row>
    <row r="1330" spans="1:14" x14ac:dyDescent="0.3">
      <c r="A1330" s="1" t="s">
        <v>1809</v>
      </c>
      <c r="B1330" s="1" t="s">
        <v>1106</v>
      </c>
      <c r="C1330" s="1" t="s">
        <v>556</v>
      </c>
      <c r="D1330" s="1">
        <v>1</v>
      </c>
      <c r="E1330" s="12">
        <v>45963.072222222225</v>
      </c>
      <c r="F1330" s="1" t="s">
        <v>19</v>
      </c>
      <c r="G1330" s="1" t="s">
        <v>40</v>
      </c>
      <c r="H1330" s="1" t="s">
        <v>41</v>
      </c>
      <c r="I1330" s="1" t="s">
        <v>81</v>
      </c>
      <c r="J1330" s="1" t="str">
        <f t="shared" si="40"/>
        <v>REFUNDED</v>
      </c>
      <c r="K1330" s="1" t="str">
        <f>_xlfn.XLOOKUP(C1330, 'Product Catalog'!$A:$A, 'Product Catalog'!$B:$B, "Unknown Product")</f>
        <v>Mug Model C54</v>
      </c>
      <c r="L1330" s="1" t="str">
        <f>_xlfn.XLOOKUP(C1330, 'Product Catalog'!$A:$A, 'Product Catalog'!$C:$C, "Unknown Category")</f>
        <v>Home Goods</v>
      </c>
      <c r="M1330" s="1">
        <f>_xlfn.XLOOKUP(C1330, 'Product Catalog'!$A:$A, 'Product Catalog'!$D:$D, 0)</f>
        <v>85.78</v>
      </c>
      <c r="N1330" s="1">
        <f t="shared" si="41"/>
        <v>85.78</v>
      </c>
    </row>
    <row r="1331" spans="1:14" x14ac:dyDescent="0.3">
      <c r="A1331" s="1" t="s">
        <v>1810</v>
      </c>
      <c r="B1331" s="1" t="s">
        <v>277</v>
      </c>
      <c r="C1331" s="1" t="s">
        <v>749</v>
      </c>
      <c r="D1331" s="1">
        <v>4</v>
      </c>
      <c r="E1331" s="12">
        <v>45978.875</v>
      </c>
      <c r="F1331" s="1" t="s">
        <v>170</v>
      </c>
      <c r="G1331" s="1" t="s">
        <v>40</v>
      </c>
      <c r="H1331" s="1" t="s">
        <v>55</v>
      </c>
      <c r="I1331" s="1" t="s">
        <v>102</v>
      </c>
      <c r="J1331" s="1" t="str">
        <f t="shared" si="40"/>
        <v>disputed</v>
      </c>
      <c r="K1331" s="1" t="str">
        <f>_xlfn.XLOOKUP(C1331, 'Product Catalog'!$A:$A, 'Product Catalog'!$B:$B, "Unknown Product")</f>
        <v>VPN 6-Month Pass Model A130</v>
      </c>
      <c r="L1331" s="1" t="str">
        <f>_xlfn.XLOOKUP(C1331, 'Product Catalog'!$A:$A, 'Product Catalog'!$C:$C, "Unknown Category")</f>
        <v>Digital Services</v>
      </c>
      <c r="M1331" s="1">
        <f>_xlfn.XLOOKUP(C1331, 'Product Catalog'!$A:$A, 'Product Catalog'!$D:$D, 0)</f>
        <v>81.61</v>
      </c>
      <c r="N1331" s="1">
        <f t="shared" si="41"/>
        <v>326.44</v>
      </c>
    </row>
    <row r="1332" spans="1:14" x14ac:dyDescent="0.3">
      <c r="A1332" s="1" t="s">
        <v>1811</v>
      </c>
      <c r="B1332" s="1" t="s">
        <v>666</v>
      </c>
      <c r="C1332" s="1" t="s">
        <v>749</v>
      </c>
      <c r="D1332" s="1">
        <v>1</v>
      </c>
      <c r="E1332" s="12">
        <v>45996.427777777775</v>
      </c>
      <c r="F1332" s="1" t="s">
        <v>12</v>
      </c>
      <c r="G1332" s="1" t="s">
        <v>20</v>
      </c>
      <c r="H1332" s="1" t="s">
        <v>24</v>
      </c>
      <c r="I1332" s="1" t="s">
        <v>15</v>
      </c>
      <c r="J1332" s="1" t="str">
        <f t="shared" si="40"/>
        <v>delivered</v>
      </c>
      <c r="K1332" s="1" t="str">
        <f>_xlfn.XLOOKUP(C1332, 'Product Catalog'!$A:$A, 'Product Catalog'!$B:$B, "Unknown Product")</f>
        <v>VPN 6-Month Pass Model A130</v>
      </c>
      <c r="L1332" s="1" t="str">
        <f>_xlfn.XLOOKUP(C1332, 'Product Catalog'!$A:$A, 'Product Catalog'!$C:$C, "Unknown Category")</f>
        <v>Digital Services</v>
      </c>
      <c r="M1332" s="1">
        <f>_xlfn.XLOOKUP(C1332, 'Product Catalog'!$A:$A, 'Product Catalog'!$D:$D, 0)</f>
        <v>81.61</v>
      </c>
      <c r="N1332" s="1">
        <f t="shared" si="41"/>
        <v>81.61</v>
      </c>
    </row>
    <row r="1333" spans="1:14" x14ac:dyDescent="0.3">
      <c r="A1333" s="1" t="s">
        <v>1812</v>
      </c>
      <c r="B1333" s="1" t="s">
        <v>648</v>
      </c>
      <c r="C1333" s="1" t="s">
        <v>446</v>
      </c>
      <c r="D1333" s="1">
        <v>5</v>
      </c>
      <c r="E1333" s="12">
        <v>45909.813888888886</v>
      </c>
      <c r="F1333" s="1" t="s">
        <v>39</v>
      </c>
      <c r="G1333" s="1" t="s">
        <v>46</v>
      </c>
      <c r="H1333" s="1" t="s">
        <v>51</v>
      </c>
      <c r="I1333" s="1" t="s">
        <v>102</v>
      </c>
      <c r="J1333" s="1" t="str">
        <f t="shared" si="40"/>
        <v>disputed</v>
      </c>
      <c r="K1333" s="1" t="str">
        <f>_xlfn.XLOOKUP(C1333, 'Product Catalog'!$A:$A, 'Product Catalog'!$B:$B, "Unknown Product")</f>
        <v>Silk Scarf Model K36</v>
      </c>
      <c r="L1333" s="1" t="str">
        <f>_xlfn.XLOOKUP(C1333, 'Product Catalog'!$A:$A, 'Product Catalog'!$C:$C, "Unknown Category")</f>
        <v>Luxury Goods</v>
      </c>
      <c r="M1333" s="1">
        <f>_xlfn.XLOOKUP(C1333, 'Product Catalog'!$A:$A, 'Product Catalog'!$D:$D, 0)</f>
        <v>737.6</v>
      </c>
      <c r="N1333" s="1">
        <f t="shared" si="41"/>
        <v>3688</v>
      </c>
    </row>
    <row r="1334" spans="1:14" x14ac:dyDescent="0.3">
      <c r="A1334" s="1" t="s">
        <v>1813</v>
      </c>
      <c r="B1334" s="1" t="s">
        <v>630</v>
      </c>
      <c r="C1334" s="1" t="s">
        <v>357</v>
      </c>
      <c r="D1334" s="1">
        <v>1</v>
      </c>
      <c r="E1334" s="12">
        <v>45939.509027777778</v>
      </c>
      <c r="F1334" s="1" t="s">
        <v>19</v>
      </c>
      <c r="G1334" s="1" t="s">
        <v>46</v>
      </c>
      <c r="H1334" s="1" t="s">
        <v>14</v>
      </c>
      <c r="I1334" s="1" t="s">
        <v>15</v>
      </c>
      <c r="J1334" s="1" t="str">
        <f t="shared" si="40"/>
        <v>delivered</v>
      </c>
      <c r="K1334" s="1" t="str">
        <f>_xlfn.XLOOKUP(C1334, 'Product Catalog'!$A:$A, 'Product Catalog'!$B:$B, "Unknown Product")</f>
        <v>Blender Model C106</v>
      </c>
      <c r="L1334" s="1" t="str">
        <f>_xlfn.XLOOKUP(C1334, 'Product Catalog'!$A:$A, 'Product Catalog'!$C:$C, "Unknown Category")</f>
        <v>Home Goods</v>
      </c>
      <c r="M1334" s="1">
        <f>_xlfn.XLOOKUP(C1334, 'Product Catalog'!$A:$A, 'Product Catalog'!$D:$D, 0)</f>
        <v>112.89</v>
      </c>
      <c r="N1334" s="1">
        <f t="shared" si="41"/>
        <v>112.89</v>
      </c>
    </row>
    <row r="1335" spans="1:14" x14ac:dyDescent="0.3">
      <c r="A1335" s="1" t="s">
        <v>1814</v>
      </c>
      <c r="B1335" s="1" t="s">
        <v>548</v>
      </c>
      <c r="C1335" s="1" t="s">
        <v>459</v>
      </c>
      <c r="D1335" s="1">
        <v>2</v>
      </c>
      <c r="E1335" s="12">
        <v>45695.451388888891</v>
      </c>
      <c r="F1335" s="1" t="s">
        <v>19</v>
      </c>
      <c r="G1335" s="1" t="s">
        <v>13</v>
      </c>
      <c r="H1335" s="1" t="s">
        <v>14</v>
      </c>
      <c r="I1335" s="1" t="s">
        <v>15</v>
      </c>
      <c r="J1335" s="1" t="str">
        <f t="shared" si="40"/>
        <v>delivered</v>
      </c>
      <c r="K1335" s="1" t="str">
        <f>_xlfn.XLOOKUP(C1335, 'Product Catalog'!$A:$A, 'Product Catalog'!$B:$B, "Unknown Product")</f>
        <v>Mouse Model I60</v>
      </c>
      <c r="L1335" s="1" t="str">
        <f>_xlfn.XLOOKUP(C1335, 'Product Catalog'!$A:$A, 'Product Catalog'!$C:$C, "Unknown Category")</f>
        <v>Electronics</v>
      </c>
      <c r="M1335" s="1">
        <f>_xlfn.XLOOKUP(C1335, 'Product Catalog'!$A:$A, 'Product Catalog'!$D:$D, 0)</f>
        <v>168.25</v>
      </c>
      <c r="N1335" s="1">
        <f t="shared" si="41"/>
        <v>336.5</v>
      </c>
    </row>
    <row r="1336" spans="1:14" x14ac:dyDescent="0.3">
      <c r="A1336" s="1" t="s">
        <v>1815</v>
      </c>
      <c r="B1336" s="1" t="s">
        <v>648</v>
      </c>
      <c r="C1336" s="1" t="s">
        <v>316</v>
      </c>
      <c r="D1336" s="1">
        <v>1</v>
      </c>
      <c r="E1336" s="12">
        <v>45927.3125</v>
      </c>
      <c r="F1336" s="1" t="s">
        <v>39</v>
      </c>
      <c r="G1336" s="1" t="s">
        <v>46</v>
      </c>
      <c r="H1336" s="1" t="s">
        <v>41</v>
      </c>
      <c r="I1336" s="1" t="s">
        <v>102</v>
      </c>
      <c r="J1336" s="1" t="str">
        <f t="shared" si="40"/>
        <v>disputed</v>
      </c>
      <c r="K1336" s="1" t="str">
        <f>_xlfn.XLOOKUP(C1336, 'Product Catalog'!$A:$A, 'Product Catalog'!$B:$B, "Unknown Product")</f>
        <v>Leather Handbag Model W48</v>
      </c>
      <c r="L1336" s="1" t="str">
        <f>_xlfn.XLOOKUP(C1336, 'Product Catalog'!$A:$A, 'Product Catalog'!$C:$C, "Unknown Category")</f>
        <v>Luxury Goods</v>
      </c>
      <c r="M1336" s="1">
        <f>_xlfn.XLOOKUP(C1336, 'Product Catalog'!$A:$A, 'Product Catalog'!$D:$D, 0)</f>
        <v>315.82</v>
      </c>
      <c r="N1336" s="1">
        <f t="shared" si="41"/>
        <v>315.82</v>
      </c>
    </row>
    <row r="1337" spans="1:14" x14ac:dyDescent="0.3">
      <c r="A1337" s="1" t="s">
        <v>1816</v>
      </c>
      <c r="B1337" s="1" t="s">
        <v>539</v>
      </c>
      <c r="C1337" s="1" t="s">
        <v>200</v>
      </c>
      <c r="D1337" s="1">
        <v>1</v>
      </c>
      <c r="E1337" s="12">
        <v>45752.740277777775</v>
      </c>
      <c r="F1337" s="1" t="s">
        <v>39</v>
      </c>
      <c r="G1337" s="1" t="s">
        <v>50</v>
      </c>
      <c r="H1337" s="1" t="s">
        <v>55</v>
      </c>
      <c r="I1337" s="1" t="s">
        <v>102</v>
      </c>
      <c r="J1337" s="1" t="str">
        <f t="shared" si="40"/>
        <v>disputed</v>
      </c>
      <c r="K1337" s="1" t="str">
        <f>_xlfn.XLOOKUP(C1337, 'Product Catalog'!$A:$A, 'Product Catalog'!$B:$B, "Unknown Product")</f>
        <v>Socks Model G58</v>
      </c>
      <c r="L1337" s="1" t="str">
        <f>_xlfn.XLOOKUP(C1337, 'Product Catalog'!$A:$A, 'Product Catalog'!$C:$C, "Unknown Category")</f>
        <v>Apparel</v>
      </c>
      <c r="M1337" s="1">
        <f>_xlfn.XLOOKUP(C1337, 'Product Catalog'!$A:$A, 'Product Catalog'!$D:$D, 0)</f>
        <v>30.18</v>
      </c>
      <c r="N1337" s="1">
        <f t="shared" si="41"/>
        <v>30.18</v>
      </c>
    </row>
    <row r="1338" spans="1:14" x14ac:dyDescent="0.3">
      <c r="A1338" s="1" t="s">
        <v>1817</v>
      </c>
      <c r="B1338" s="1" t="s">
        <v>827</v>
      </c>
      <c r="C1338" s="1" t="s">
        <v>200</v>
      </c>
      <c r="D1338" s="1">
        <v>2</v>
      </c>
      <c r="E1338" s="12">
        <v>45692.718055555553</v>
      </c>
      <c r="F1338" s="1" t="s">
        <v>12</v>
      </c>
      <c r="G1338" s="1" t="s">
        <v>20</v>
      </c>
      <c r="H1338" s="1" t="s">
        <v>41</v>
      </c>
      <c r="I1338" s="1" t="s">
        <v>81</v>
      </c>
      <c r="J1338" s="1" t="str">
        <f t="shared" si="40"/>
        <v>REFUNDED</v>
      </c>
      <c r="K1338" s="1" t="str">
        <f>_xlfn.XLOOKUP(C1338, 'Product Catalog'!$A:$A, 'Product Catalog'!$B:$B, "Unknown Product")</f>
        <v>Socks Model G58</v>
      </c>
      <c r="L1338" s="1" t="str">
        <f>_xlfn.XLOOKUP(C1338, 'Product Catalog'!$A:$A, 'Product Catalog'!$C:$C, "Unknown Category")</f>
        <v>Apparel</v>
      </c>
      <c r="M1338" s="1">
        <f>_xlfn.XLOOKUP(C1338, 'Product Catalog'!$A:$A, 'Product Catalog'!$D:$D, 0)</f>
        <v>30.18</v>
      </c>
      <c r="N1338" s="1">
        <f t="shared" si="41"/>
        <v>60.36</v>
      </c>
    </row>
    <row r="1339" spans="1:14" x14ac:dyDescent="0.3">
      <c r="A1339" s="1" t="s">
        <v>1818</v>
      </c>
      <c r="B1339" s="1" t="s">
        <v>867</v>
      </c>
      <c r="C1339" s="1" t="s">
        <v>586</v>
      </c>
      <c r="D1339" s="1">
        <v>5</v>
      </c>
      <c r="E1339" s="12">
        <v>45739.59097222222</v>
      </c>
      <c r="F1339" s="1" t="s">
        <v>12</v>
      </c>
      <c r="G1339" s="1" t="s">
        <v>109</v>
      </c>
      <c r="H1339" s="1" t="s">
        <v>51</v>
      </c>
      <c r="I1339" s="1" t="s">
        <v>56</v>
      </c>
      <c r="J1339" s="1" t="str">
        <f t="shared" si="40"/>
        <v>cancelled</v>
      </c>
      <c r="K1339" s="1" t="str">
        <f>_xlfn.XLOOKUP(C1339, 'Product Catalog'!$A:$A, 'Product Catalog'!$B:$B, "Unknown Product")</f>
        <v>Designer Watch Model E82</v>
      </c>
      <c r="L1339" s="1" t="str">
        <f>_xlfn.XLOOKUP(C1339, 'Product Catalog'!$A:$A, 'Product Catalog'!$C:$C, "Unknown Category")</f>
        <v>Luxury Goods</v>
      </c>
      <c r="M1339" s="1">
        <f>_xlfn.XLOOKUP(C1339, 'Product Catalog'!$A:$A, 'Product Catalog'!$D:$D, 0)</f>
        <v>1769.3</v>
      </c>
      <c r="N1339" s="1">
        <f t="shared" si="41"/>
        <v>8846.5</v>
      </c>
    </row>
    <row r="1340" spans="1:14" x14ac:dyDescent="0.3">
      <c r="A1340" s="1" t="s">
        <v>1819</v>
      </c>
      <c r="B1340" s="1" t="s">
        <v>570</v>
      </c>
      <c r="C1340" s="1" t="s">
        <v>148</v>
      </c>
      <c r="D1340" s="1">
        <v>1</v>
      </c>
      <c r="E1340" s="12">
        <v>45936.763194444444</v>
      </c>
      <c r="F1340" s="1" t="s">
        <v>185</v>
      </c>
      <c r="G1340" s="1" t="s">
        <v>13</v>
      </c>
      <c r="H1340" s="1" t="s">
        <v>14</v>
      </c>
      <c r="I1340" s="1" t="s">
        <v>15</v>
      </c>
      <c r="J1340" s="1" t="str">
        <f t="shared" si="40"/>
        <v>delivered</v>
      </c>
      <c r="K1340" s="1" t="str">
        <f>_xlfn.XLOOKUP(C1340, 'Product Catalog'!$A:$A, 'Product Catalog'!$B:$B, "Unknown Product")</f>
        <v>Charger Model W100</v>
      </c>
      <c r="L1340" s="1" t="str">
        <f>_xlfn.XLOOKUP(C1340, 'Product Catalog'!$A:$A, 'Product Catalog'!$C:$C, "Unknown Category")</f>
        <v>Electronics</v>
      </c>
      <c r="M1340" s="1">
        <f>_xlfn.XLOOKUP(C1340, 'Product Catalog'!$A:$A, 'Product Catalog'!$D:$D, 0)</f>
        <v>219.96</v>
      </c>
      <c r="N1340" s="1">
        <f t="shared" si="41"/>
        <v>219.96</v>
      </c>
    </row>
    <row r="1341" spans="1:14" x14ac:dyDescent="0.3">
      <c r="A1341" s="1" t="s">
        <v>1820</v>
      </c>
      <c r="B1341" s="1" t="s">
        <v>1821</v>
      </c>
      <c r="C1341" s="1" t="s">
        <v>95</v>
      </c>
      <c r="D1341" s="1">
        <v>1</v>
      </c>
      <c r="E1341" s="12">
        <v>45864.130555555559</v>
      </c>
      <c r="F1341" s="1" t="s">
        <v>19</v>
      </c>
      <c r="G1341" s="1" t="s">
        <v>13</v>
      </c>
      <c r="H1341" s="1" t="s">
        <v>14</v>
      </c>
      <c r="I1341" s="1" t="s">
        <v>15</v>
      </c>
      <c r="J1341" s="1" t="str">
        <f t="shared" si="40"/>
        <v>delivered</v>
      </c>
      <c r="K1341" s="1" t="str">
        <f>_xlfn.XLOOKUP(C1341, 'Product Catalog'!$A:$A, 'Product Catalog'!$B:$B, "Unknown Product")</f>
        <v>Jacket Model U72</v>
      </c>
      <c r="L1341" s="1" t="str">
        <f>_xlfn.XLOOKUP(C1341, 'Product Catalog'!$A:$A, 'Product Catalog'!$C:$C, "Unknown Category")</f>
        <v>Apparel</v>
      </c>
      <c r="M1341" s="1">
        <f>_xlfn.XLOOKUP(C1341, 'Product Catalog'!$A:$A, 'Product Catalog'!$D:$D, 0)</f>
        <v>75.400000000000006</v>
      </c>
      <c r="N1341" s="1">
        <f t="shared" si="41"/>
        <v>75.400000000000006</v>
      </c>
    </row>
    <row r="1342" spans="1:14" x14ac:dyDescent="0.3">
      <c r="A1342" s="1" t="s">
        <v>1822</v>
      </c>
      <c r="B1342" s="1" t="s">
        <v>1088</v>
      </c>
      <c r="C1342" s="1" t="s">
        <v>71</v>
      </c>
      <c r="D1342" s="1">
        <v>1</v>
      </c>
      <c r="E1342" s="12">
        <v>45836.314583333333</v>
      </c>
      <c r="F1342" s="1" t="s">
        <v>19</v>
      </c>
      <c r="G1342" s="1" t="s">
        <v>31</v>
      </c>
      <c r="H1342" s="1" t="s">
        <v>41</v>
      </c>
      <c r="I1342" s="1" t="s">
        <v>15</v>
      </c>
      <c r="J1342" s="1" t="str">
        <f t="shared" si="40"/>
        <v>delivered</v>
      </c>
      <c r="K1342" s="1" t="str">
        <f>_xlfn.XLOOKUP(C1342, 'Product Catalog'!$A:$A, 'Product Catalog'!$B:$B, "Unknown Product")</f>
        <v>VPN 6-Month Pass Model D29</v>
      </c>
      <c r="L1342" s="1" t="str">
        <f>_xlfn.XLOOKUP(C1342, 'Product Catalog'!$A:$A, 'Product Catalog'!$C:$C, "Unknown Category")</f>
        <v>Digital Services</v>
      </c>
      <c r="M1342" s="1">
        <f>_xlfn.XLOOKUP(C1342, 'Product Catalog'!$A:$A, 'Product Catalog'!$D:$D, 0)</f>
        <v>10.97</v>
      </c>
      <c r="N1342" s="1">
        <f t="shared" si="41"/>
        <v>10.97</v>
      </c>
    </row>
    <row r="1343" spans="1:14" x14ac:dyDescent="0.3">
      <c r="A1343" s="1" t="s">
        <v>1823</v>
      </c>
      <c r="B1343" s="1" t="s">
        <v>1062</v>
      </c>
      <c r="C1343" s="1" t="s">
        <v>200</v>
      </c>
      <c r="D1343" s="1">
        <v>1</v>
      </c>
      <c r="E1343" s="12">
        <v>45767.943055555559</v>
      </c>
      <c r="F1343" s="1" t="s">
        <v>19</v>
      </c>
      <c r="G1343" s="1" t="s">
        <v>20</v>
      </c>
      <c r="H1343" s="1" t="s">
        <v>14</v>
      </c>
      <c r="I1343" s="1" t="s">
        <v>15</v>
      </c>
      <c r="J1343" s="1" t="str">
        <f t="shared" si="40"/>
        <v>delivered</v>
      </c>
      <c r="K1343" s="1" t="str">
        <f>_xlfn.XLOOKUP(C1343, 'Product Catalog'!$A:$A, 'Product Catalog'!$B:$B, "Unknown Product")</f>
        <v>Socks Model G58</v>
      </c>
      <c r="L1343" s="1" t="str">
        <f>_xlfn.XLOOKUP(C1343, 'Product Catalog'!$A:$A, 'Product Catalog'!$C:$C, "Unknown Category")</f>
        <v>Apparel</v>
      </c>
      <c r="M1343" s="1">
        <f>_xlfn.XLOOKUP(C1343, 'Product Catalog'!$A:$A, 'Product Catalog'!$D:$D, 0)</f>
        <v>30.18</v>
      </c>
      <c r="N1343" s="1">
        <f t="shared" si="41"/>
        <v>30.18</v>
      </c>
    </row>
    <row r="1344" spans="1:14" x14ac:dyDescent="0.3">
      <c r="A1344" s="1" t="s">
        <v>1824</v>
      </c>
      <c r="B1344" s="1" t="s">
        <v>283</v>
      </c>
      <c r="C1344" s="1" t="s">
        <v>402</v>
      </c>
      <c r="D1344" s="1">
        <v>1</v>
      </c>
      <c r="E1344" s="12">
        <v>45827.470833333333</v>
      </c>
      <c r="F1344" s="1" t="s">
        <v>12</v>
      </c>
      <c r="G1344" s="1" t="s">
        <v>20</v>
      </c>
      <c r="H1344" s="1" t="s">
        <v>41</v>
      </c>
      <c r="I1344" s="1" t="s">
        <v>15</v>
      </c>
      <c r="J1344" s="1" t="str">
        <f t="shared" si="40"/>
        <v>delivered</v>
      </c>
      <c r="K1344" s="1" t="str">
        <f>_xlfn.XLOOKUP(C1344, 'Product Catalog'!$A:$A, 'Product Catalog'!$B:$B, "Unknown Product")</f>
        <v>Software License Tier A Model J139</v>
      </c>
      <c r="L1344" s="1" t="str">
        <f>_xlfn.XLOOKUP(C1344, 'Product Catalog'!$A:$A, 'Product Catalog'!$C:$C, "Unknown Category")</f>
        <v>Digital Services</v>
      </c>
      <c r="M1344" s="1">
        <f>_xlfn.XLOOKUP(C1344, 'Product Catalog'!$A:$A, 'Product Catalog'!$D:$D, 0)</f>
        <v>90.05</v>
      </c>
      <c r="N1344" s="1">
        <f t="shared" si="41"/>
        <v>90.05</v>
      </c>
    </row>
    <row r="1345" spans="1:14" x14ac:dyDescent="0.3">
      <c r="A1345" s="1" t="s">
        <v>1825</v>
      </c>
      <c r="B1345" s="1" t="s">
        <v>361</v>
      </c>
      <c r="C1345" s="1" t="s">
        <v>101</v>
      </c>
      <c r="D1345" s="1">
        <v>1</v>
      </c>
      <c r="E1345" s="12">
        <v>45842.417361111111</v>
      </c>
      <c r="F1345" s="1" t="s">
        <v>185</v>
      </c>
      <c r="G1345" s="1" t="s">
        <v>46</v>
      </c>
      <c r="H1345" s="1" t="s">
        <v>24</v>
      </c>
      <c r="I1345" s="1" t="s">
        <v>81</v>
      </c>
      <c r="J1345" s="1" t="str">
        <f t="shared" si="40"/>
        <v>REFUNDED</v>
      </c>
      <c r="K1345" s="1" t="str">
        <f>_xlfn.XLOOKUP(C1345, 'Product Catalog'!$A:$A, 'Product Catalog'!$B:$B, "Unknown Product")</f>
        <v>Smartwatch Model W126</v>
      </c>
      <c r="L1345" s="1" t="str">
        <f>_xlfn.XLOOKUP(C1345, 'Product Catalog'!$A:$A, 'Product Catalog'!$C:$C, "Unknown Category")</f>
        <v>Electronics</v>
      </c>
      <c r="M1345" s="1">
        <f>_xlfn.XLOOKUP(C1345, 'Product Catalog'!$A:$A, 'Product Catalog'!$D:$D, 0)</f>
        <v>114.91</v>
      </c>
      <c r="N1345" s="1">
        <f t="shared" si="41"/>
        <v>114.91</v>
      </c>
    </row>
    <row r="1346" spans="1:14" x14ac:dyDescent="0.3">
      <c r="A1346" s="1" t="s">
        <v>1826</v>
      </c>
      <c r="B1346" s="1" t="s">
        <v>829</v>
      </c>
      <c r="C1346" s="1" t="s">
        <v>320</v>
      </c>
      <c r="D1346" s="1">
        <v>4</v>
      </c>
      <c r="E1346" s="12">
        <v>45769.879166666666</v>
      </c>
      <c r="F1346" s="1" t="s">
        <v>39</v>
      </c>
      <c r="G1346" s="1" t="s">
        <v>40</v>
      </c>
      <c r="H1346" s="1" t="s">
        <v>55</v>
      </c>
      <c r="I1346" s="1" t="s">
        <v>81</v>
      </c>
      <c r="J1346" s="1" t="str">
        <f t="shared" ref="J1346:J1409" si="42">TRIM(I1346)</f>
        <v>REFUNDED</v>
      </c>
      <c r="K1346" s="1" t="str">
        <f>_xlfn.XLOOKUP(C1346, 'Product Catalog'!$A:$A, 'Product Catalog'!$B:$B, "Unknown Product")</f>
        <v>Premium Stream 1M Model Y24</v>
      </c>
      <c r="L1346" s="1" t="str">
        <f>_xlfn.XLOOKUP(C1346, 'Product Catalog'!$A:$A, 'Product Catalog'!$C:$C, "Unknown Category")</f>
        <v>Digital Services</v>
      </c>
      <c r="M1346" s="1">
        <f>_xlfn.XLOOKUP(C1346, 'Product Catalog'!$A:$A, 'Product Catalog'!$D:$D, 0)</f>
        <v>29.9</v>
      </c>
      <c r="N1346" s="1">
        <f t="shared" ref="N1346:N1409" si="43">D1346 * M1346</f>
        <v>119.6</v>
      </c>
    </row>
    <row r="1347" spans="1:14" x14ac:dyDescent="0.3">
      <c r="A1347" s="1" t="s">
        <v>1827</v>
      </c>
      <c r="B1347" s="1" t="s">
        <v>333</v>
      </c>
      <c r="C1347" s="1" t="s">
        <v>452</v>
      </c>
      <c r="D1347" s="1">
        <v>1</v>
      </c>
      <c r="E1347" s="12">
        <v>45929.675000000003</v>
      </c>
      <c r="F1347" s="1" t="s">
        <v>19</v>
      </c>
      <c r="G1347" s="1" t="s">
        <v>13</v>
      </c>
      <c r="H1347" s="1" t="s">
        <v>14</v>
      </c>
      <c r="I1347" s="1" t="s">
        <v>15</v>
      </c>
      <c r="J1347" s="1" t="str">
        <f t="shared" si="42"/>
        <v>delivered</v>
      </c>
      <c r="K1347" s="1" t="str">
        <f>_xlfn.XLOOKUP(C1347, 'Product Catalog'!$A:$A, 'Product Catalog'!$B:$B, "Unknown Product")</f>
        <v>E-Book Access Model U150</v>
      </c>
      <c r="L1347" s="1" t="str">
        <f>_xlfn.XLOOKUP(C1347, 'Product Catalog'!$A:$A, 'Product Catalog'!$C:$C, "Unknown Category")</f>
        <v>Digital Services</v>
      </c>
      <c r="M1347" s="1">
        <f>_xlfn.XLOOKUP(C1347, 'Product Catalog'!$A:$A, 'Product Catalog'!$D:$D, 0)</f>
        <v>75.69</v>
      </c>
      <c r="N1347" s="1">
        <f t="shared" si="43"/>
        <v>75.69</v>
      </c>
    </row>
    <row r="1348" spans="1:14" x14ac:dyDescent="0.3">
      <c r="A1348" s="1" t="s">
        <v>1828</v>
      </c>
      <c r="B1348" s="1" t="s">
        <v>1501</v>
      </c>
      <c r="C1348" s="1" t="s">
        <v>716</v>
      </c>
      <c r="D1348" s="1">
        <v>4</v>
      </c>
      <c r="E1348" s="12">
        <v>45945.92291666667</v>
      </c>
      <c r="F1348" s="1" t="s">
        <v>39</v>
      </c>
      <c r="G1348" s="1" t="s">
        <v>40</v>
      </c>
      <c r="H1348" s="1" t="s">
        <v>41</v>
      </c>
      <c r="I1348" s="1" t="s">
        <v>42</v>
      </c>
      <c r="J1348" s="1" t="str">
        <f t="shared" si="42"/>
        <v>PENDING_REVIEW</v>
      </c>
      <c r="K1348" s="1" t="str">
        <f>_xlfn.XLOOKUP(C1348, 'Product Catalog'!$A:$A, 'Product Catalog'!$B:$B, "Unknown Product")</f>
        <v>Jeans Model X101</v>
      </c>
      <c r="L1348" s="1" t="str">
        <f>_xlfn.XLOOKUP(C1348, 'Product Catalog'!$A:$A, 'Product Catalog'!$C:$C, "Unknown Category")</f>
        <v>Apparel</v>
      </c>
      <c r="M1348" s="1">
        <f>_xlfn.XLOOKUP(C1348, 'Product Catalog'!$A:$A, 'Product Catalog'!$D:$D, 0)</f>
        <v>99.82</v>
      </c>
      <c r="N1348" s="1">
        <f t="shared" si="43"/>
        <v>399.28</v>
      </c>
    </row>
    <row r="1349" spans="1:14" x14ac:dyDescent="0.3">
      <c r="A1349" s="1" t="s">
        <v>1829</v>
      </c>
      <c r="B1349" s="1" t="s">
        <v>874</v>
      </c>
      <c r="C1349" s="1" t="s">
        <v>54</v>
      </c>
      <c r="D1349" s="1">
        <v>1</v>
      </c>
      <c r="E1349" s="12">
        <v>45662.162499999999</v>
      </c>
      <c r="F1349" s="1" t="s">
        <v>19</v>
      </c>
      <c r="G1349" s="1" t="s">
        <v>46</v>
      </c>
      <c r="H1349" s="1" t="s">
        <v>14</v>
      </c>
      <c r="I1349" s="1" t="s">
        <v>15</v>
      </c>
      <c r="J1349" s="1" t="str">
        <f t="shared" si="42"/>
        <v>delivered</v>
      </c>
      <c r="K1349" s="1" t="str">
        <f>_xlfn.XLOOKUP(C1349, 'Product Catalog'!$A:$A, 'Product Catalog'!$B:$B, "Unknown Product")</f>
        <v>Keyboard Model V21</v>
      </c>
      <c r="L1349" s="1" t="str">
        <f>_xlfn.XLOOKUP(C1349, 'Product Catalog'!$A:$A, 'Product Catalog'!$C:$C, "Unknown Category")</f>
        <v>Electronics</v>
      </c>
      <c r="M1349" s="1">
        <f>_xlfn.XLOOKUP(C1349, 'Product Catalog'!$A:$A, 'Product Catalog'!$D:$D, 0)</f>
        <v>208.12</v>
      </c>
      <c r="N1349" s="1">
        <f t="shared" si="43"/>
        <v>208.12</v>
      </c>
    </row>
    <row r="1350" spans="1:14" x14ac:dyDescent="0.3">
      <c r="A1350" s="1" t="s">
        <v>1830</v>
      </c>
      <c r="B1350" s="1" t="s">
        <v>369</v>
      </c>
      <c r="C1350" s="1" t="s">
        <v>466</v>
      </c>
      <c r="D1350" s="1">
        <v>1</v>
      </c>
      <c r="E1350" s="12">
        <v>46000.491666666669</v>
      </c>
      <c r="F1350" s="1" t="s">
        <v>19</v>
      </c>
      <c r="G1350" s="1" t="s">
        <v>20</v>
      </c>
      <c r="H1350" s="1" t="s">
        <v>41</v>
      </c>
      <c r="I1350" s="1" t="s">
        <v>15</v>
      </c>
      <c r="J1350" s="1" t="str">
        <f t="shared" si="42"/>
        <v>delivered</v>
      </c>
      <c r="K1350" s="1" t="str">
        <f>_xlfn.XLOOKUP(C1350, 'Product Catalog'!$A:$A, 'Product Catalog'!$B:$B, "Unknown Product")</f>
        <v>VPN 6-Month Pass Model L11</v>
      </c>
      <c r="L1350" s="1" t="str">
        <f>_xlfn.XLOOKUP(C1350, 'Product Catalog'!$A:$A, 'Product Catalog'!$C:$C, "Unknown Category")</f>
        <v>Digital Services</v>
      </c>
      <c r="M1350" s="1">
        <f>_xlfn.XLOOKUP(C1350, 'Product Catalog'!$A:$A, 'Product Catalog'!$D:$D, 0)</f>
        <v>16.73</v>
      </c>
      <c r="N1350" s="1">
        <f t="shared" si="43"/>
        <v>16.73</v>
      </c>
    </row>
    <row r="1351" spans="1:14" x14ac:dyDescent="0.3">
      <c r="A1351" s="1" t="s">
        <v>1831</v>
      </c>
      <c r="B1351" s="1" t="s">
        <v>243</v>
      </c>
      <c r="C1351" s="1" t="s">
        <v>143</v>
      </c>
      <c r="D1351" s="1">
        <v>5</v>
      </c>
      <c r="E1351" s="12">
        <v>45886.341666666667</v>
      </c>
      <c r="F1351" s="1" t="s">
        <v>19</v>
      </c>
      <c r="G1351" s="1" t="s">
        <v>13</v>
      </c>
      <c r="H1351" s="1" t="s">
        <v>55</v>
      </c>
      <c r="I1351" s="1" t="s">
        <v>42</v>
      </c>
      <c r="J1351" s="1" t="str">
        <f t="shared" si="42"/>
        <v>PENDING_REVIEW</v>
      </c>
      <c r="K1351" s="1" t="str">
        <f>_xlfn.XLOOKUP(C1351, 'Product Catalog'!$A:$A, 'Product Catalog'!$B:$B, "Unknown Product")</f>
        <v>Designer Watch Model D3</v>
      </c>
      <c r="L1351" s="1" t="str">
        <f>_xlfn.XLOOKUP(C1351, 'Product Catalog'!$A:$A, 'Product Catalog'!$C:$C, "Unknown Category")</f>
        <v>Luxury Goods</v>
      </c>
      <c r="M1351" s="1">
        <f>_xlfn.XLOOKUP(C1351, 'Product Catalog'!$A:$A, 'Product Catalog'!$D:$D, 0)</f>
        <v>1599.08</v>
      </c>
      <c r="N1351" s="1">
        <f t="shared" si="43"/>
        <v>7995.4</v>
      </c>
    </row>
    <row r="1352" spans="1:14" x14ac:dyDescent="0.3">
      <c r="A1352" s="1" t="s">
        <v>1832</v>
      </c>
      <c r="B1352" s="1" t="s">
        <v>22</v>
      </c>
      <c r="C1352" s="1" t="s">
        <v>90</v>
      </c>
      <c r="D1352" s="1">
        <v>5</v>
      </c>
      <c r="E1352" s="12">
        <v>45986.87222222222</v>
      </c>
      <c r="F1352" s="1" t="s">
        <v>12</v>
      </c>
      <c r="G1352" s="1" t="s">
        <v>50</v>
      </c>
      <c r="H1352" s="1" t="s">
        <v>51</v>
      </c>
      <c r="I1352" s="1" t="s">
        <v>81</v>
      </c>
      <c r="J1352" s="1" t="str">
        <f t="shared" si="42"/>
        <v>REFUNDED</v>
      </c>
      <c r="K1352" s="1" t="str">
        <f>_xlfn.XLOOKUP(C1352, 'Product Catalog'!$A:$A, 'Product Catalog'!$B:$B, "Unknown Product")</f>
        <v>VPN 6-Month Pass Model F109</v>
      </c>
      <c r="L1352" s="1" t="str">
        <f>_xlfn.XLOOKUP(C1352, 'Product Catalog'!$A:$A, 'Product Catalog'!$C:$C, "Unknown Category")</f>
        <v>Digital Services</v>
      </c>
      <c r="M1352" s="1">
        <f>_xlfn.XLOOKUP(C1352, 'Product Catalog'!$A:$A, 'Product Catalog'!$D:$D, 0)</f>
        <v>22.87</v>
      </c>
      <c r="N1352" s="1">
        <f t="shared" si="43"/>
        <v>114.35000000000001</v>
      </c>
    </row>
    <row r="1353" spans="1:14" x14ac:dyDescent="0.3">
      <c r="A1353" s="1" t="s">
        <v>1833</v>
      </c>
      <c r="B1353" s="1" t="s">
        <v>877</v>
      </c>
      <c r="C1353" s="1" t="s">
        <v>35</v>
      </c>
      <c r="D1353" s="1">
        <v>1</v>
      </c>
      <c r="E1353" s="12">
        <v>45976.34652777778</v>
      </c>
      <c r="F1353" s="1" t="s">
        <v>19</v>
      </c>
      <c r="G1353" s="1" t="s">
        <v>31</v>
      </c>
      <c r="H1353" s="1" t="s">
        <v>14</v>
      </c>
      <c r="I1353" s="1" t="s">
        <v>15</v>
      </c>
      <c r="J1353" s="1" t="str">
        <f t="shared" si="42"/>
        <v>delivered</v>
      </c>
      <c r="K1353" s="1" t="str">
        <f>_xlfn.XLOOKUP(C1353, 'Product Catalog'!$A:$A, 'Product Catalog'!$B:$B, "Unknown Product")</f>
        <v>Blender Model W74</v>
      </c>
      <c r="L1353" s="1" t="str">
        <f>_xlfn.XLOOKUP(C1353, 'Product Catalog'!$A:$A, 'Product Catalog'!$C:$C, "Unknown Category")</f>
        <v>Home Goods</v>
      </c>
      <c r="M1353" s="1">
        <f>_xlfn.XLOOKUP(C1353, 'Product Catalog'!$A:$A, 'Product Catalog'!$D:$D, 0)</f>
        <v>127.16</v>
      </c>
      <c r="N1353" s="1">
        <f t="shared" si="43"/>
        <v>127.16</v>
      </c>
    </row>
    <row r="1354" spans="1:14" x14ac:dyDescent="0.3">
      <c r="A1354" s="1" t="s">
        <v>1834</v>
      </c>
      <c r="B1354" s="1" t="s">
        <v>354</v>
      </c>
      <c r="C1354" s="1" t="s">
        <v>404</v>
      </c>
      <c r="D1354" s="1">
        <v>1</v>
      </c>
      <c r="E1354" s="12">
        <v>45678.970138888886</v>
      </c>
      <c r="F1354" s="1" t="s">
        <v>19</v>
      </c>
      <c r="G1354" s="1" t="s">
        <v>31</v>
      </c>
      <c r="H1354" s="1" t="s">
        <v>41</v>
      </c>
      <c r="I1354" s="1" t="s">
        <v>42</v>
      </c>
      <c r="J1354" s="1" t="str">
        <f t="shared" si="42"/>
        <v>PENDING_REVIEW</v>
      </c>
      <c r="K1354" s="1" t="str">
        <f>_xlfn.XLOOKUP(C1354, 'Product Catalog'!$A:$A, 'Product Catalog'!$B:$B, "Unknown Product")</f>
        <v>Gold Bracelet Model O66</v>
      </c>
      <c r="L1354" s="1" t="str">
        <f>_xlfn.XLOOKUP(C1354, 'Product Catalog'!$A:$A, 'Product Catalog'!$C:$C, "Unknown Category")</f>
        <v>Luxury Goods</v>
      </c>
      <c r="M1354" s="1">
        <f>_xlfn.XLOOKUP(C1354, 'Product Catalog'!$A:$A, 'Product Catalog'!$D:$D, 0)</f>
        <v>640.54999999999995</v>
      </c>
      <c r="N1354" s="1">
        <f t="shared" si="43"/>
        <v>640.54999999999995</v>
      </c>
    </row>
    <row r="1355" spans="1:14" x14ac:dyDescent="0.3">
      <c r="A1355" s="1" t="s">
        <v>1835</v>
      </c>
      <c r="B1355" s="1" t="s">
        <v>838</v>
      </c>
      <c r="C1355" s="1" t="s">
        <v>160</v>
      </c>
      <c r="D1355" s="1">
        <v>1</v>
      </c>
      <c r="E1355" s="12">
        <v>45822.542361111111</v>
      </c>
      <c r="F1355" s="1" t="s">
        <v>12</v>
      </c>
      <c r="G1355" s="1" t="s">
        <v>46</v>
      </c>
      <c r="H1355" s="1" t="s">
        <v>41</v>
      </c>
      <c r="I1355" s="1" t="s">
        <v>15</v>
      </c>
      <c r="J1355" s="1" t="str">
        <f t="shared" si="42"/>
        <v>delivered</v>
      </c>
      <c r="K1355" s="1" t="str">
        <f>_xlfn.XLOOKUP(C1355, 'Product Catalog'!$A:$A, 'Product Catalog'!$B:$B, "Unknown Product")</f>
        <v>Socks Model T149</v>
      </c>
      <c r="L1355" s="1" t="str">
        <f>_xlfn.XLOOKUP(C1355, 'Product Catalog'!$A:$A, 'Product Catalog'!$C:$C, "Unknown Category")</f>
        <v>Apparel</v>
      </c>
      <c r="M1355" s="1">
        <f>_xlfn.XLOOKUP(C1355, 'Product Catalog'!$A:$A, 'Product Catalog'!$D:$D, 0)</f>
        <v>45.95</v>
      </c>
      <c r="N1355" s="1">
        <f t="shared" si="43"/>
        <v>45.95</v>
      </c>
    </row>
    <row r="1356" spans="1:14" x14ac:dyDescent="0.3">
      <c r="A1356" s="1" t="s">
        <v>1836</v>
      </c>
      <c r="B1356" s="1" t="s">
        <v>111</v>
      </c>
      <c r="C1356" s="1" t="s">
        <v>154</v>
      </c>
      <c r="D1356" s="1">
        <v>1</v>
      </c>
      <c r="E1356" s="12">
        <v>45716.548611111109</v>
      </c>
      <c r="F1356" s="1" t="s">
        <v>12</v>
      </c>
      <c r="G1356" s="1" t="s">
        <v>46</v>
      </c>
      <c r="H1356" s="1" t="s">
        <v>14</v>
      </c>
      <c r="I1356" s="1" t="s">
        <v>32</v>
      </c>
      <c r="J1356" s="1" t="str">
        <f t="shared" si="42"/>
        <v>SHIPPED</v>
      </c>
      <c r="K1356" s="1" t="str">
        <f>_xlfn.XLOOKUP(C1356, 'Product Catalog'!$A:$A, 'Product Catalog'!$B:$B, "Unknown Product")</f>
        <v>Desk Lamp Model N13</v>
      </c>
      <c r="L1356" s="1" t="str">
        <f>_xlfn.XLOOKUP(C1356, 'Product Catalog'!$A:$A, 'Product Catalog'!$C:$C, "Unknown Category")</f>
        <v>Home Goods</v>
      </c>
      <c r="M1356" s="1">
        <f>_xlfn.XLOOKUP(C1356, 'Product Catalog'!$A:$A, 'Product Catalog'!$D:$D, 0)</f>
        <v>50.77</v>
      </c>
      <c r="N1356" s="1">
        <f t="shared" si="43"/>
        <v>50.77</v>
      </c>
    </row>
    <row r="1357" spans="1:14" x14ac:dyDescent="0.3">
      <c r="A1357" s="1" t="s">
        <v>1837</v>
      </c>
      <c r="B1357" s="1" t="s">
        <v>811</v>
      </c>
      <c r="C1357" s="1" t="s">
        <v>65</v>
      </c>
      <c r="D1357" s="1">
        <v>4</v>
      </c>
      <c r="E1357" s="12">
        <v>45789.768055555556</v>
      </c>
      <c r="F1357" s="1" t="s">
        <v>39</v>
      </c>
      <c r="G1357" s="1" t="s">
        <v>40</v>
      </c>
      <c r="H1357" s="1" t="s">
        <v>55</v>
      </c>
      <c r="I1357" s="1" t="s">
        <v>42</v>
      </c>
      <c r="J1357" s="1" t="str">
        <f t="shared" si="42"/>
        <v>PENDING_REVIEW</v>
      </c>
      <c r="K1357" s="1" t="str">
        <f>_xlfn.XLOOKUP(C1357, 'Product Catalog'!$A:$A, 'Product Catalog'!$B:$B, "Unknown Product")</f>
        <v>Cap Model T97</v>
      </c>
      <c r="L1357" s="1" t="str">
        <f>_xlfn.XLOOKUP(C1357, 'Product Catalog'!$A:$A, 'Product Catalog'!$C:$C, "Unknown Category")</f>
        <v>Apparel</v>
      </c>
      <c r="M1357" s="1">
        <f>_xlfn.XLOOKUP(C1357, 'Product Catalog'!$A:$A, 'Product Catalog'!$D:$D, 0)</f>
        <v>99.18</v>
      </c>
      <c r="N1357" s="1">
        <f t="shared" si="43"/>
        <v>396.72</v>
      </c>
    </row>
    <row r="1358" spans="1:14" x14ac:dyDescent="0.3">
      <c r="A1358" s="1" t="s">
        <v>1838</v>
      </c>
      <c r="B1358" s="1" t="s">
        <v>1550</v>
      </c>
      <c r="C1358" s="1" t="s">
        <v>213</v>
      </c>
      <c r="D1358" s="1">
        <v>1</v>
      </c>
      <c r="E1358" s="12">
        <v>45802.034722222219</v>
      </c>
      <c r="F1358" s="1" t="s">
        <v>19</v>
      </c>
      <c r="G1358" s="1" t="s">
        <v>50</v>
      </c>
      <c r="H1358" s="1" t="s">
        <v>51</v>
      </c>
      <c r="I1358" s="1" t="s">
        <v>81</v>
      </c>
      <c r="J1358" s="1" t="str">
        <f t="shared" si="42"/>
        <v>REFUNDED</v>
      </c>
      <c r="K1358" s="1" t="str">
        <f>_xlfn.XLOOKUP(C1358, 'Product Catalog'!$A:$A, 'Product Catalog'!$B:$B, "Unknown Product")</f>
        <v>Cloud Storage Basic Model L63</v>
      </c>
      <c r="L1358" s="1" t="str">
        <f>_xlfn.XLOOKUP(C1358, 'Product Catalog'!$A:$A, 'Product Catalog'!$C:$C, "Unknown Category")</f>
        <v>Digital Services</v>
      </c>
      <c r="M1358" s="1">
        <f>_xlfn.XLOOKUP(C1358, 'Product Catalog'!$A:$A, 'Product Catalog'!$D:$D, 0)</f>
        <v>20.48</v>
      </c>
      <c r="N1358" s="1">
        <f t="shared" si="43"/>
        <v>20.48</v>
      </c>
    </row>
    <row r="1359" spans="1:14" x14ac:dyDescent="0.3">
      <c r="A1359" s="1" t="s">
        <v>1839</v>
      </c>
      <c r="B1359" s="1" t="s">
        <v>484</v>
      </c>
      <c r="C1359" s="1" t="s">
        <v>192</v>
      </c>
      <c r="D1359" s="1">
        <v>5</v>
      </c>
      <c r="E1359" s="12">
        <v>45922.532638888886</v>
      </c>
      <c r="F1359" s="1" t="s">
        <v>12</v>
      </c>
      <c r="G1359" s="1" t="s">
        <v>50</v>
      </c>
      <c r="H1359" s="1" t="s">
        <v>41</v>
      </c>
      <c r="I1359" s="1" t="s">
        <v>42</v>
      </c>
      <c r="J1359" s="1" t="str">
        <f t="shared" si="42"/>
        <v>PENDING_REVIEW</v>
      </c>
      <c r="K1359" s="1" t="str">
        <f>_xlfn.XLOOKUP(C1359, 'Product Catalog'!$A:$A, 'Product Catalog'!$B:$B, "Unknown Product")</f>
        <v>Leather Handbag Model R69</v>
      </c>
      <c r="L1359" s="1" t="str">
        <f>_xlfn.XLOOKUP(C1359, 'Product Catalog'!$A:$A, 'Product Catalog'!$C:$C, "Unknown Category")</f>
        <v>Luxury Goods</v>
      </c>
      <c r="M1359" s="1">
        <f>_xlfn.XLOOKUP(C1359, 'Product Catalog'!$A:$A, 'Product Catalog'!$D:$D, 0)</f>
        <v>425.14</v>
      </c>
      <c r="N1359" s="1">
        <f t="shared" si="43"/>
        <v>2125.6999999999998</v>
      </c>
    </row>
    <row r="1360" spans="1:14" x14ac:dyDescent="0.3">
      <c r="A1360" s="1" t="s">
        <v>1840</v>
      </c>
      <c r="B1360" s="1" t="s">
        <v>911</v>
      </c>
      <c r="C1360" s="1" t="s">
        <v>268</v>
      </c>
      <c r="D1360" s="1">
        <v>1</v>
      </c>
      <c r="E1360" s="12">
        <v>45921.722916666666</v>
      </c>
      <c r="F1360" s="1" t="s">
        <v>12</v>
      </c>
      <c r="G1360" s="1" t="s">
        <v>46</v>
      </c>
      <c r="H1360" s="1" t="s">
        <v>41</v>
      </c>
      <c r="I1360" s="1" t="s">
        <v>15</v>
      </c>
      <c r="J1360" s="1" t="str">
        <f t="shared" si="42"/>
        <v>delivered</v>
      </c>
      <c r="K1360" s="1" t="str">
        <f>_xlfn.XLOOKUP(C1360, 'Product Catalog'!$A:$A, 'Product Catalog'!$B:$B, "Unknown Product")</f>
        <v>Sneakers Model P119</v>
      </c>
      <c r="L1360" s="1" t="str">
        <f>_xlfn.XLOOKUP(C1360, 'Product Catalog'!$A:$A, 'Product Catalog'!$C:$C, "Unknown Category")</f>
        <v>Apparel</v>
      </c>
      <c r="M1360" s="1">
        <f>_xlfn.XLOOKUP(C1360, 'Product Catalog'!$A:$A, 'Product Catalog'!$D:$D, 0)</f>
        <v>19.329999999999998</v>
      </c>
      <c r="N1360" s="1">
        <f t="shared" si="43"/>
        <v>19.329999999999998</v>
      </c>
    </row>
    <row r="1361" spans="1:14" x14ac:dyDescent="0.3">
      <c r="A1361" s="1" t="s">
        <v>1841</v>
      </c>
      <c r="B1361" s="1" t="s">
        <v>551</v>
      </c>
      <c r="C1361" s="1" t="s">
        <v>45</v>
      </c>
      <c r="D1361" s="1">
        <v>1</v>
      </c>
      <c r="E1361" s="12">
        <v>45886.691666666666</v>
      </c>
      <c r="F1361" s="1" t="s">
        <v>19</v>
      </c>
      <c r="G1361" s="1" t="s">
        <v>13</v>
      </c>
      <c r="H1361" s="1" t="s">
        <v>14</v>
      </c>
      <c r="I1361" s="1" t="s">
        <v>15</v>
      </c>
      <c r="J1361" s="1" t="str">
        <f t="shared" si="42"/>
        <v>delivered</v>
      </c>
      <c r="K1361" s="1" t="str">
        <f>_xlfn.XLOOKUP(C1361, 'Product Catalog'!$A:$A, 'Product Catalog'!$B:$B, "Unknown Product")</f>
        <v>Jacket Model N91</v>
      </c>
      <c r="L1361" s="1" t="str">
        <f>_xlfn.XLOOKUP(C1361, 'Product Catalog'!$A:$A, 'Product Catalog'!$C:$C, "Unknown Category")</f>
        <v>Apparel</v>
      </c>
      <c r="M1361" s="1">
        <f>_xlfn.XLOOKUP(C1361, 'Product Catalog'!$A:$A, 'Product Catalog'!$D:$D, 0)</f>
        <v>13.96</v>
      </c>
      <c r="N1361" s="1">
        <f t="shared" si="43"/>
        <v>13.96</v>
      </c>
    </row>
    <row r="1362" spans="1:14" x14ac:dyDescent="0.3">
      <c r="A1362" s="1" t="s">
        <v>1842</v>
      </c>
      <c r="B1362" s="1" t="s">
        <v>911</v>
      </c>
      <c r="C1362" s="1" t="s">
        <v>329</v>
      </c>
      <c r="D1362" s="1">
        <v>2</v>
      </c>
      <c r="E1362" s="12">
        <v>45680.421527777777</v>
      </c>
      <c r="F1362" s="1" t="s">
        <v>185</v>
      </c>
      <c r="G1362" s="1" t="s">
        <v>109</v>
      </c>
      <c r="H1362" s="1" t="s">
        <v>41</v>
      </c>
      <c r="I1362" s="1" t="s">
        <v>15</v>
      </c>
      <c r="J1362" s="1" t="str">
        <f t="shared" si="42"/>
        <v>delivered</v>
      </c>
      <c r="K1362" s="1" t="str">
        <f>_xlfn.XLOOKUP(C1362, 'Product Catalog'!$A:$A, 'Product Catalog'!$B:$B, "Unknown Product")</f>
        <v>E-Book Access Model M64</v>
      </c>
      <c r="L1362" s="1" t="str">
        <f>_xlfn.XLOOKUP(C1362, 'Product Catalog'!$A:$A, 'Product Catalog'!$C:$C, "Unknown Category")</f>
        <v>Digital Services</v>
      </c>
      <c r="M1362" s="1">
        <f>_xlfn.XLOOKUP(C1362, 'Product Catalog'!$A:$A, 'Product Catalog'!$D:$D, 0)</f>
        <v>92.09</v>
      </c>
      <c r="N1362" s="1">
        <f t="shared" si="43"/>
        <v>184.18</v>
      </c>
    </row>
    <row r="1363" spans="1:14" x14ac:dyDescent="0.3">
      <c r="A1363" s="1" t="s">
        <v>1843</v>
      </c>
      <c r="B1363" s="1" t="s">
        <v>398</v>
      </c>
      <c r="C1363" s="1" t="s">
        <v>619</v>
      </c>
      <c r="D1363" s="1">
        <v>2</v>
      </c>
      <c r="E1363" s="12">
        <v>45991.273611111108</v>
      </c>
      <c r="F1363" s="1" t="s">
        <v>19</v>
      </c>
      <c r="G1363" s="1" t="s">
        <v>13</v>
      </c>
      <c r="H1363" s="1" t="s">
        <v>14</v>
      </c>
      <c r="I1363" s="1" t="s">
        <v>15</v>
      </c>
      <c r="J1363" s="1" t="str">
        <f t="shared" si="42"/>
        <v>delivered</v>
      </c>
      <c r="K1363" s="1" t="str">
        <f>_xlfn.XLOOKUP(C1363, 'Product Catalog'!$A:$A, 'Product Catalog'!$B:$B, "Unknown Product")</f>
        <v>Jacket Model B27</v>
      </c>
      <c r="L1363" s="1" t="str">
        <f>_xlfn.XLOOKUP(C1363, 'Product Catalog'!$A:$A, 'Product Catalog'!$C:$C, "Unknown Category")</f>
        <v>Apparel</v>
      </c>
      <c r="M1363" s="1">
        <f>_xlfn.XLOOKUP(C1363, 'Product Catalog'!$A:$A, 'Product Catalog'!$D:$D, 0)</f>
        <v>64.290000000000006</v>
      </c>
      <c r="N1363" s="1">
        <f t="shared" si="43"/>
        <v>128.58000000000001</v>
      </c>
    </row>
    <row r="1364" spans="1:14" x14ac:dyDescent="0.3">
      <c r="A1364" s="1" t="s">
        <v>1844</v>
      </c>
      <c r="B1364" s="1" t="s">
        <v>434</v>
      </c>
      <c r="C1364" s="1" t="s">
        <v>1454</v>
      </c>
      <c r="D1364" s="1">
        <v>1</v>
      </c>
      <c r="E1364" s="12">
        <v>45822.730555555558</v>
      </c>
      <c r="F1364" s="1" t="s">
        <v>19</v>
      </c>
      <c r="G1364" s="1" t="s">
        <v>13</v>
      </c>
      <c r="H1364" s="1" t="s">
        <v>14</v>
      </c>
      <c r="I1364" s="1" t="s">
        <v>15</v>
      </c>
      <c r="J1364" s="1" t="str">
        <f t="shared" si="42"/>
        <v>delivered</v>
      </c>
      <c r="K1364" s="1" t="str">
        <f>_xlfn.XLOOKUP(C1364, 'Product Catalog'!$A:$A, 'Product Catalog'!$B:$B, "Unknown Product")</f>
        <v>Charger Model Z77</v>
      </c>
      <c r="L1364" s="1" t="str">
        <f>_xlfn.XLOOKUP(C1364, 'Product Catalog'!$A:$A, 'Product Catalog'!$C:$C, "Unknown Category")</f>
        <v>Electronics</v>
      </c>
      <c r="M1364" s="1">
        <f>_xlfn.XLOOKUP(C1364, 'Product Catalog'!$A:$A, 'Product Catalog'!$D:$D, 0)</f>
        <v>160.97</v>
      </c>
      <c r="N1364" s="1">
        <f t="shared" si="43"/>
        <v>160.97</v>
      </c>
    </row>
    <row r="1365" spans="1:14" x14ac:dyDescent="0.3">
      <c r="A1365" s="1" t="s">
        <v>1845</v>
      </c>
      <c r="B1365" s="1" t="s">
        <v>34</v>
      </c>
      <c r="C1365" s="1" t="s">
        <v>383</v>
      </c>
      <c r="D1365" s="1">
        <v>1</v>
      </c>
      <c r="E1365" s="12">
        <v>45700.136111111111</v>
      </c>
      <c r="F1365" s="1" t="s">
        <v>12</v>
      </c>
      <c r="G1365" s="1" t="s">
        <v>46</v>
      </c>
      <c r="H1365" s="1" t="s">
        <v>41</v>
      </c>
      <c r="I1365" s="1" t="s">
        <v>15</v>
      </c>
      <c r="J1365" s="1" t="str">
        <f t="shared" si="42"/>
        <v>delivered</v>
      </c>
      <c r="K1365" s="1" t="str">
        <f>_xlfn.XLOOKUP(C1365, 'Product Catalog'!$A:$A, 'Product Catalog'!$B:$B, "Unknown Product")</f>
        <v>Keyboard Model F83</v>
      </c>
      <c r="L1365" s="1" t="str">
        <f>_xlfn.XLOOKUP(C1365, 'Product Catalog'!$A:$A, 'Product Catalog'!$C:$C, "Unknown Category")</f>
        <v>Electronics</v>
      </c>
      <c r="M1365" s="1">
        <f>_xlfn.XLOOKUP(C1365, 'Product Catalog'!$A:$A, 'Product Catalog'!$D:$D, 0)</f>
        <v>77.150000000000006</v>
      </c>
      <c r="N1365" s="1">
        <f t="shared" si="43"/>
        <v>77.150000000000006</v>
      </c>
    </row>
    <row r="1366" spans="1:14" x14ac:dyDescent="0.3">
      <c r="A1366" s="1" t="s">
        <v>1846</v>
      </c>
      <c r="B1366" s="1" t="s">
        <v>234</v>
      </c>
      <c r="C1366" s="1" t="s">
        <v>157</v>
      </c>
      <c r="D1366" s="1">
        <v>2</v>
      </c>
      <c r="E1366" s="12">
        <v>45743.76458333333</v>
      </c>
      <c r="F1366" s="1" t="s">
        <v>19</v>
      </c>
      <c r="G1366" s="1" t="s">
        <v>46</v>
      </c>
      <c r="H1366" s="1" t="s">
        <v>14</v>
      </c>
      <c r="I1366" s="1" t="s">
        <v>15</v>
      </c>
      <c r="J1366" s="1" t="str">
        <f t="shared" si="42"/>
        <v>delivered</v>
      </c>
      <c r="K1366" s="1" t="str">
        <f>_xlfn.XLOOKUP(C1366, 'Product Catalog'!$A:$A, 'Product Catalog'!$B:$B, "Unknown Product")</f>
        <v>Coffee Maker Model Q68</v>
      </c>
      <c r="L1366" s="1" t="str">
        <f>_xlfn.XLOOKUP(C1366, 'Product Catalog'!$A:$A, 'Product Catalog'!$C:$C, "Unknown Category")</f>
        <v>Home Goods</v>
      </c>
      <c r="M1366" s="1">
        <f>_xlfn.XLOOKUP(C1366, 'Product Catalog'!$A:$A, 'Product Catalog'!$D:$D, 0)</f>
        <v>28.02</v>
      </c>
      <c r="N1366" s="1">
        <f t="shared" si="43"/>
        <v>56.04</v>
      </c>
    </row>
    <row r="1367" spans="1:14" x14ac:dyDescent="0.3">
      <c r="A1367" s="1" t="s">
        <v>1847</v>
      </c>
      <c r="B1367" s="1" t="s">
        <v>950</v>
      </c>
      <c r="C1367" s="1" t="s">
        <v>556</v>
      </c>
      <c r="D1367" s="1">
        <v>2</v>
      </c>
      <c r="E1367" s="12">
        <v>45931.010416666664</v>
      </c>
      <c r="F1367" s="1" t="s">
        <v>185</v>
      </c>
      <c r="G1367" s="1" t="s">
        <v>46</v>
      </c>
      <c r="H1367" s="1" t="s">
        <v>14</v>
      </c>
      <c r="I1367" s="1" t="s">
        <v>15</v>
      </c>
      <c r="J1367" s="1" t="str">
        <f t="shared" si="42"/>
        <v>delivered</v>
      </c>
      <c r="K1367" s="1" t="str">
        <f>_xlfn.XLOOKUP(C1367, 'Product Catalog'!$A:$A, 'Product Catalog'!$B:$B, "Unknown Product")</f>
        <v>Mug Model C54</v>
      </c>
      <c r="L1367" s="1" t="str">
        <f>_xlfn.XLOOKUP(C1367, 'Product Catalog'!$A:$A, 'Product Catalog'!$C:$C, "Unknown Category")</f>
        <v>Home Goods</v>
      </c>
      <c r="M1367" s="1">
        <f>_xlfn.XLOOKUP(C1367, 'Product Catalog'!$A:$A, 'Product Catalog'!$D:$D, 0)</f>
        <v>85.78</v>
      </c>
      <c r="N1367" s="1">
        <f t="shared" si="43"/>
        <v>171.56</v>
      </c>
    </row>
    <row r="1368" spans="1:14" x14ac:dyDescent="0.3">
      <c r="A1368" s="1" t="s">
        <v>1848</v>
      </c>
      <c r="B1368" s="1" t="s">
        <v>373</v>
      </c>
      <c r="C1368" s="1" t="s">
        <v>131</v>
      </c>
      <c r="D1368" s="1">
        <v>1</v>
      </c>
      <c r="E1368" s="12">
        <v>45978.093055555553</v>
      </c>
      <c r="F1368" s="1" t="s">
        <v>19</v>
      </c>
      <c r="G1368" s="1" t="s">
        <v>50</v>
      </c>
      <c r="H1368" s="1" t="s">
        <v>55</v>
      </c>
      <c r="I1368" s="1" t="s">
        <v>81</v>
      </c>
      <c r="J1368" s="1" t="str">
        <f t="shared" si="42"/>
        <v>REFUNDED</v>
      </c>
      <c r="K1368" s="1" t="str">
        <f>_xlfn.XLOOKUP(C1368, 'Product Catalog'!$A:$A, 'Product Catalog'!$B:$B, "Unknown Product")</f>
        <v>Keyboard Model C28</v>
      </c>
      <c r="L1368" s="1" t="str">
        <f>_xlfn.XLOOKUP(C1368, 'Product Catalog'!$A:$A, 'Product Catalog'!$C:$C, "Unknown Category")</f>
        <v>Electronics</v>
      </c>
      <c r="M1368" s="1">
        <f>_xlfn.XLOOKUP(C1368, 'Product Catalog'!$A:$A, 'Product Catalog'!$D:$D, 0)</f>
        <v>162.44999999999999</v>
      </c>
      <c r="N1368" s="1">
        <f t="shared" si="43"/>
        <v>162.44999999999999</v>
      </c>
    </row>
    <row r="1369" spans="1:14" x14ac:dyDescent="0.3">
      <c r="A1369" s="1" t="s">
        <v>1849</v>
      </c>
      <c r="B1369" s="1" t="s">
        <v>187</v>
      </c>
      <c r="C1369" s="1" t="s">
        <v>45</v>
      </c>
      <c r="D1369" s="1">
        <v>2</v>
      </c>
      <c r="E1369" s="12">
        <v>45765.952777777777</v>
      </c>
      <c r="F1369" s="1" t="s">
        <v>12</v>
      </c>
      <c r="G1369" s="1" t="s">
        <v>13</v>
      </c>
      <c r="H1369" s="1" t="s">
        <v>41</v>
      </c>
      <c r="I1369" s="1" t="s">
        <v>15</v>
      </c>
      <c r="J1369" s="1" t="str">
        <f t="shared" si="42"/>
        <v>delivered</v>
      </c>
      <c r="K1369" s="1" t="str">
        <f>_xlfn.XLOOKUP(C1369, 'Product Catalog'!$A:$A, 'Product Catalog'!$B:$B, "Unknown Product")</f>
        <v>Jacket Model N91</v>
      </c>
      <c r="L1369" s="1" t="str">
        <f>_xlfn.XLOOKUP(C1369, 'Product Catalog'!$A:$A, 'Product Catalog'!$C:$C, "Unknown Category")</f>
        <v>Apparel</v>
      </c>
      <c r="M1369" s="1">
        <f>_xlfn.XLOOKUP(C1369, 'Product Catalog'!$A:$A, 'Product Catalog'!$D:$D, 0)</f>
        <v>13.96</v>
      </c>
      <c r="N1369" s="1">
        <f t="shared" si="43"/>
        <v>27.92</v>
      </c>
    </row>
    <row r="1370" spans="1:14" x14ac:dyDescent="0.3">
      <c r="A1370" s="1" t="s">
        <v>1850</v>
      </c>
      <c r="B1370" s="1" t="s">
        <v>319</v>
      </c>
      <c r="C1370" s="1" t="s">
        <v>112</v>
      </c>
      <c r="D1370" s="1">
        <v>4</v>
      </c>
      <c r="E1370" s="12">
        <v>45980.302777777775</v>
      </c>
      <c r="F1370" s="1" t="s">
        <v>12</v>
      </c>
      <c r="G1370" s="1" t="s">
        <v>50</v>
      </c>
      <c r="H1370" s="1" t="s">
        <v>55</v>
      </c>
      <c r="I1370" s="1" t="s">
        <v>42</v>
      </c>
      <c r="J1370" s="1" t="str">
        <f t="shared" si="42"/>
        <v>PENDING_REVIEW</v>
      </c>
      <c r="K1370" s="1" t="str">
        <f>_xlfn.XLOOKUP(C1370, 'Product Catalog'!$A:$A, 'Product Catalog'!$B:$B, "Unknown Product")</f>
        <v>Mouse Model J87</v>
      </c>
      <c r="L1370" s="1" t="str">
        <f>_xlfn.XLOOKUP(C1370, 'Product Catalog'!$A:$A, 'Product Catalog'!$C:$C, "Unknown Category")</f>
        <v>Electronics</v>
      </c>
      <c r="M1370" s="1">
        <f>_xlfn.XLOOKUP(C1370, 'Product Catalog'!$A:$A, 'Product Catalog'!$D:$D, 0)</f>
        <v>164.06</v>
      </c>
      <c r="N1370" s="1">
        <f t="shared" si="43"/>
        <v>656.24</v>
      </c>
    </row>
    <row r="1371" spans="1:14" x14ac:dyDescent="0.3">
      <c r="A1371" s="1" t="s">
        <v>1851</v>
      </c>
      <c r="B1371" s="1" t="s">
        <v>510</v>
      </c>
      <c r="C1371" s="1" t="s">
        <v>677</v>
      </c>
      <c r="D1371" s="1">
        <v>2</v>
      </c>
      <c r="E1371" s="12">
        <v>46008.602777777778</v>
      </c>
      <c r="F1371" s="1" t="s">
        <v>12</v>
      </c>
      <c r="G1371" s="1" t="s">
        <v>13</v>
      </c>
      <c r="H1371" s="1" t="s">
        <v>14</v>
      </c>
      <c r="I1371" s="1" t="s">
        <v>32</v>
      </c>
      <c r="J1371" s="1" t="str">
        <f t="shared" si="42"/>
        <v>SHIPPED</v>
      </c>
      <c r="K1371" s="1" t="str">
        <f>_xlfn.XLOOKUP(C1371, 'Product Catalog'!$A:$A, 'Product Catalog'!$B:$B, "Unknown Product")</f>
        <v>Charger Model Y128</v>
      </c>
      <c r="L1371" s="1" t="str">
        <f>_xlfn.XLOOKUP(C1371, 'Product Catalog'!$A:$A, 'Product Catalog'!$C:$C, "Unknown Category")</f>
        <v>Electronics</v>
      </c>
      <c r="M1371" s="1">
        <f>_xlfn.XLOOKUP(C1371, 'Product Catalog'!$A:$A, 'Product Catalog'!$D:$D, 0)</f>
        <v>46.33</v>
      </c>
      <c r="N1371" s="1">
        <f t="shared" si="43"/>
        <v>92.66</v>
      </c>
    </row>
    <row r="1372" spans="1:14" x14ac:dyDescent="0.3">
      <c r="A1372" s="1" t="s">
        <v>1852</v>
      </c>
      <c r="B1372" s="1" t="s">
        <v>437</v>
      </c>
      <c r="C1372" s="1" t="s">
        <v>446</v>
      </c>
      <c r="D1372" s="1">
        <v>5</v>
      </c>
      <c r="E1372" s="12">
        <v>45711.292361111111</v>
      </c>
      <c r="F1372" s="1" t="s">
        <v>170</v>
      </c>
      <c r="G1372" s="1" t="s">
        <v>109</v>
      </c>
      <c r="H1372" s="1" t="s">
        <v>51</v>
      </c>
      <c r="I1372" s="1" t="s">
        <v>102</v>
      </c>
      <c r="J1372" s="1" t="str">
        <f t="shared" si="42"/>
        <v>disputed</v>
      </c>
      <c r="K1372" s="1" t="str">
        <f>_xlfn.XLOOKUP(C1372, 'Product Catalog'!$A:$A, 'Product Catalog'!$B:$B, "Unknown Product")</f>
        <v>Silk Scarf Model K36</v>
      </c>
      <c r="L1372" s="1" t="str">
        <f>_xlfn.XLOOKUP(C1372, 'Product Catalog'!$A:$A, 'Product Catalog'!$C:$C, "Unknown Category")</f>
        <v>Luxury Goods</v>
      </c>
      <c r="M1372" s="1">
        <f>_xlfn.XLOOKUP(C1372, 'Product Catalog'!$A:$A, 'Product Catalog'!$D:$D, 0)</f>
        <v>737.6</v>
      </c>
      <c r="N1372" s="1">
        <f t="shared" si="43"/>
        <v>3688</v>
      </c>
    </row>
    <row r="1373" spans="1:14" x14ac:dyDescent="0.3">
      <c r="A1373" s="1" t="s">
        <v>1853</v>
      </c>
      <c r="B1373" s="1" t="s">
        <v>747</v>
      </c>
      <c r="C1373" s="1" t="s">
        <v>49</v>
      </c>
      <c r="D1373" s="1">
        <v>1</v>
      </c>
      <c r="E1373" s="12">
        <v>45933.999305555553</v>
      </c>
      <c r="F1373" s="1" t="s">
        <v>12</v>
      </c>
      <c r="G1373" s="1" t="s">
        <v>109</v>
      </c>
      <c r="H1373" s="1" t="s">
        <v>41</v>
      </c>
      <c r="I1373" s="1" t="s">
        <v>42</v>
      </c>
      <c r="J1373" s="1" t="str">
        <f t="shared" si="42"/>
        <v>PENDING_REVIEW</v>
      </c>
      <c r="K1373" s="1" t="str">
        <f>_xlfn.XLOOKUP(C1373, 'Product Catalog'!$A:$A, 'Product Catalog'!$B:$B, "Unknown Product")</f>
        <v>E-Book Access Model Y76</v>
      </c>
      <c r="L1373" s="1" t="str">
        <f>_xlfn.XLOOKUP(C1373, 'Product Catalog'!$A:$A, 'Product Catalog'!$C:$C, "Unknown Category")</f>
        <v>Digital Services</v>
      </c>
      <c r="M1373" s="1">
        <f>_xlfn.XLOOKUP(C1373, 'Product Catalog'!$A:$A, 'Product Catalog'!$D:$D, 0)</f>
        <v>92.33</v>
      </c>
      <c r="N1373" s="1">
        <f t="shared" si="43"/>
        <v>92.33</v>
      </c>
    </row>
    <row r="1374" spans="1:14" x14ac:dyDescent="0.3">
      <c r="A1374" s="1" t="s">
        <v>1854</v>
      </c>
      <c r="B1374" s="1" t="s">
        <v>1088</v>
      </c>
      <c r="C1374" s="1" t="s">
        <v>296</v>
      </c>
      <c r="D1374" s="1">
        <v>2</v>
      </c>
      <c r="E1374" s="12">
        <v>45880.919444444444</v>
      </c>
      <c r="F1374" s="1" t="s">
        <v>12</v>
      </c>
      <c r="G1374" s="1" t="s">
        <v>31</v>
      </c>
      <c r="H1374" s="1" t="s">
        <v>14</v>
      </c>
      <c r="I1374" s="1" t="s">
        <v>15</v>
      </c>
      <c r="J1374" s="1" t="str">
        <f t="shared" si="42"/>
        <v>delivered</v>
      </c>
      <c r="K1374" s="1" t="str">
        <f>_xlfn.XLOOKUP(C1374, 'Product Catalog'!$A:$A, 'Product Catalog'!$B:$B, "Unknown Product")</f>
        <v>Socks Model K62</v>
      </c>
      <c r="L1374" s="1" t="str">
        <f>_xlfn.XLOOKUP(C1374, 'Product Catalog'!$A:$A, 'Product Catalog'!$C:$C, "Unknown Category")</f>
        <v>Apparel</v>
      </c>
      <c r="M1374" s="1">
        <f>_xlfn.XLOOKUP(C1374, 'Product Catalog'!$A:$A, 'Product Catalog'!$D:$D, 0)</f>
        <v>63.42</v>
      </c>
      <c r="N1374" s="1">
        <f t="shared" si="43"/>
        <v>126.84</v>
      </c>
    </row>
    <row r="1375" spans="1:14" x14ac:dyDescent="0.3">
      <c r="A1375" s="1" t="s">
        <v>1855</v>
      </c>
      <c r="B1375" s="1" t="s">
        <v>228</v>
      </c>
      <c r="C1375" s="1" t="s">
        <v>586</v>
      </c>
      <c r="D1375" s="1">
        <v>5</v>
      </c>
      <c r="E1375" s="12">
        <v>45694.975694444445</v>
      </c>
      <c r="F1375" s="1" t="s">
        <v>19</v>
      </c>
      <c r="G1375" s="1" t="s">
        <v>40</v>
      </c>
      <c r="H1375" s="1" t="s">
        <v>41</v>
      </c>
      <c r="I1375" s="1" t="s">
        <v>102</v>
      </c>
      <c r="J1375" s="1" t="str">
        <f t="shared" si="42"/>
        <v>disputed</v>
      </c>
      <c r="K1375" s="1" t="str">
        <f>_xlfn.XLOOKUP(C1375, 'Product Catalog'!$A:$A, 'Product Catalog'!$B:$B, "Unknown Product")</f>
        <v>Designer Watch Model E82</v>
      </c>
      <c r="L1375" s="1" t="str">
        <f>_xlfn.XLOOKUP(C1375, 'Product Catalog'!$A:$A, 'Product Catalog'!$C:$C, "Unknown Category")</f>
        <v>Luxury Goods</v>
      </c>
      <c r="M1375" s="1">
        <f>_xlfn.XLOOKUP(C1375, 'Product Catalog'!$A:$A, 'Product Catalog'!$D:$D, 0)</f>
        <v>1769.3</v>
      </c>
      <c r="N1375" s="1">
        <f t="shared" si="43"/>
        <v>8846.5</v>
      </c>
    </row>
    <row r="1376" spans="1:14" x14ac:dyDescent="0.3">
      <c r="A1376" s="1" t="s">
        <v>1856</v>
      </c>
      <c r="B1376" s="1" t="s">
        <v>328</v>
      </c>
      <c r="C1376" s="1" t="s">
        <v>256</v>
      </c>
      <c r="D1376" s="1">
        <v>1</v>
      </c>
      <c r="E1376" s="12">
        <v>45736.033333333333</v>
      </c>
      <c r="F1376" s="1" t="s">
        <v>12</v>
      </c>
      <c r="G1376" s="1" t="s">
        <v>109</v>
      </c>
      <c r="H1376" s="1" t="s">
        <v>41</v>
      </c>
      <c r="I1376" s="1" t="s">
        <v>15</v>
      </c>
      <c r="J1376" s="1" t="str">
        <f t="shared" si="42"/>
        <v>delivered</v>
      </c>
      <c r="K1376" s="1" t="str">
        <f>_xlfn.XLOOKUP(C1376, 'Product Catalog'!$A:$A, 'Product Catalog'!$B:$B, "Unknown Product")</f>
        <v>Charger Model E56</v>
      </c>
      <c r="L1376" s="1" t="str">
        <f>_xlfn.XLOOKUP(C1376, 'Product Catalog'!$A:$A, 'Product Catalog'!$C:$C, "Unknown Category")</f>
        <v>Electronics</v>
      </c>
      <c r="M1376" s="1">
        <f>_xlfn.XLOOKUP(C1376, 'Product Catalog'!$A:$A, 'Product Catalog'!$D:$D, 0)</f>
        <v>186.13</v>
      </c>
      <c r="N1376" s="1">
        <f t="shared" si="43"/>
        <v>186.13</v>
      </c>
    </row>
    <row r="1377" spans="1:14" x14ac:dyDescent="0.3">
      <c r="A1377" s="1" t="s">
        <v>1857</v>
      </c>
      <c r="B1377" s="1" t="s">
        <v>264</v>
      </c>
      <c r="C1377" s="1" t="s">
        <v>622</v>
      </c>
      <c r="D1377" s="1">
        <v>5</v>
      </c>
      <c r="E1377" s="12">
        <v>45893.47152777778</v>
      </c>
      <c r="F1377" s="1" t="s">
        <v>19</v>
      </c>
      <c r="G1377" s="1" t="s">
        <v>13</v>
      </c>
      <c r="H1377" s="1" t="s">
        <v>51</v>
      </c>
      <c r="I1377" s="1" t="s">
        <v>102</v>
      </c>
      <c r="J1377" s="1" t="str">
        <f t="shared" si="42"/>
        <v>disputed</v>
      </c>
      <c r="K1377" s="1" t="str">
        <f>_xlfn.XLOOKUP(C1377, 'Product Catalog'!$A:$A, 'Product Catalog'!$B:$B, "Unknown Product")</f>
        <v>Designer Watch Model R147</v>
      </c>
      <c r="L1377" s="1" t="str">
        <f>_xlfn.XLOOKUP(C1377, 'Product Catalog'!$A:$A, 'Product Catalog'!$C:$C, "Unknown Category")</f>
        <v>Luxury Goods</v>
      </c>
      <c r="M1377" s="1">
        <f>_xlfn.XLOOKUP(C1377, 'Product Catalog'!$A:$A, 'Product Catalog'!$D:$D, 0)</f>
        <v>484.68</v>
      </c>
      <c r="N1377" s="1">
        <f t="shared" si="43"/>
        <v>2423.4</v>
      </c>
    </row>
    <row r="1378" spans="1:14" x14ac:dyDescent="0.3">
      <c r="A1378" s="1" t="s">
        <v>1858</v>
      </c>
      <c r="B1378" s="1" t="s">
        <v>454</v>
      </c>
      <c r="C1378" s="1" t="s">
        <v>122</v>
      </c>
      <c r="D1378" s="1">
        <v>5</v>
      </c>
      <c r="E1378" s="12">
        <v>45677.124305555553</v>
      </c>
      <c r="F1378" s="1" t="s">
        <v>19</v>
      </c>
      <c r="G1378" s="1" t="s">
        <v>13</v>
      </c>
      <c r="H1378" s="1" t="s">
        <v>55</v>
      </c>
      <c r="I1378" s="1" t="s">
        <v>81</v>
      </c>
      <c r="J1378" s="1" t="str">
        <f t="shared" si="42"/>
        <v>REFUNDED</v>
      </c>
      <c r="K1378" s="1" t="str">
        <f>_xlfn.XLOOKUP(C1378, 'Product Catalog'!$A:$A, 'Product Catalog'!$B:$B, "Unknown Product")</f>
        <v>Gold Bracelet Model I86</v>
      </c>
      <c r="L1378" s="1" t="str">
        <f>_xlfn.XLOOKUP(C1378, 'Product Catalog'!$A:$A, 'Product Catalog'!$C:$C, "Unknown Category")</f>
        <v>Luxury Goods</v>
      </c>
      <c r="M1378" s="1">
        <f>_xlfn.XLOOKUP(C1378, 'Product Catalog'!$A:$A, 'Product Catalog'!$D:$D, 0)</f>
        <v>852.47</v>
      </c>
      <c r="N1378" s="1">
        <f t="shared" si="43"/>
        <v>4262.3500000000004</v>
      </c>
    </row>
    <row r="1379" spans="1:14" x14ac:dyDescent="0.3">
      <c r="A1379" s="1" t="s">
        <v>1859</v>
      </c>
      <c r="B1379" s="1" t="s">
        <v>1380</v>
      </c>
      <c r="C1379" s="1" t="s">
        <v>357</v>
      </c>
      <c r="D1379" s="1">
        <v>4</v>
      </c>
      <c r="E1379" s="12">
        <v>45695.07708333333</v>
      </c>
      <c r="F1379" s="1" t="s">
        <v>39</v>
      </c>
      <c r="G1379" s="1" t="s">
        <v>40</v>
      </c>
      <c r="H1379" s="1" t="s">
        <v>41</v>
      </c>
      <c r="I1379" s="1" t="s">
        <v>42</v>
      </c>
      <c r="J1379" s="1" t="str">
        <f t="shared" si="42"/>
        <v>PENDING_REVIEW</v>
      </c>
      <c r="K1379" s="1" t="str">
        <f>_xlfn.XLOOKUP(C1379, 'Product Catalog'!$A:$A, 'Product Catalog'!$B:$B, "Unknown Product")</f>
        <v>Blender Model C106</v>
      </c>
      <c r="L1379" s="1" t="str">
        <f>_xlfn.XLOOKUP(C1379, 'Product Catalog'!$A:$A, 'Product Catalog'!$C:$C, "Unknown Category")</f>
        <v>Home Goods</v>
      </c>
      <c r="M1379" s="1">
        <f>_xlfn.XLOOKUP(C1379, 'Product Catalog'!$A:$A, 'Product Catalog'!$D:$D, 0)</f>
        <v>112.89</v>
      </c>
      <c r="N1379" s="1">
        <f t="shared" si="43"/>
        <v>451.56</v>
      </c>
    </row>
    <row r="1380" spans="1:14" x14ac:dyDescent="0.3">
      <c r="A1380" s="1" t="s">
        <v>1860</v>
      </c>
      <c r="B1380" s="1" t="s">
        <v>888</v>
      </c>
      <c r="C1380" s="1" t="s">
        <v>203</v>
      </c>
      <c r="D1380" s="1">
        <v>1</v>
      </c>
      <c r="E1380" s="12">
        <v>45749.357638888891</v>
      </c>
      <c r="F1380" s="1" t="s">
        <v>12</v>
      </c>
      <c r="G1380" s="1" t="s">
        <v>109</v>
      </c>
      <c r="H1380" s="1" t="s">
        <v>14</v>
      </c>
      <c r="I1380" s="1" t="s">
        <v>32</v>
      </c>
      <c r="J1380" s="1" t="str">
        <f t="shared" si="42"/>
        <v>SHIPPED</v>
      </c>
      <c r="K1380" s="1" t="str">
        <f>_xlfn.XLOOKUP(C1380, 'Product Catalog'!$A:$A, 'Product Catalog'!$B:$B, "Unknown Product")</f>
        <v>Pillow Model R17</v>
      </c>
      <c r="L1380" s="1" t="str">
        <f>_xlfn.XLOOKUP(C1380, 'Product Catalog'!$A:$A, 'Product Catalog'!$C:$C, "Unknown Category")</f>
        <v>Home Goods</v>
      </c>
      <c r="M1380" s="1">
        <f>_xlfn.XLOOKUP(C1380, 'Product Catalog'!$A:$A, 'Product Catalog'!$D:$D, 0)</f>
        <v>169.86</v>
      </c>
      <c r="N1380" s="1">
        <f t="shared" si="43"/>
        <v>169.86</v>
      </c>
    </row>
    <row r="1381" spans="1:14" x14ac:dyDescent="0.3">
      <c r="A1381" s="1" t="s">
        <v>1861</v>
      </c>
      <c r="B1381" s="1" t="s">
        <v>1821</v>
      </c>
      <c r="C1381" s="1" t="s">
        <v>38</v>
      </c>
      <c r="D1381" s="1">
        <v>1</v>
      </c>
      <c r="E1381" s="12">
        <v>45943.1</v>
      </c>
      <c r="F1381" s="1" t="s">
        <v>12</v>
      </c>
      <c r="G1381" s="1" t="s">
        <v>46</v>
      </c>
      <c r="H1381" s="1" t="s">
        <v>41</v>
      </c>
      <c r="I1381" s="1" t="s">
        <v>15</v>
      </c>
      <c r="J1381" s="1" t="str">
        <f t="shared" si="42"/>
        <v>delivered</v>
      </c>
      <c r="K1381" s="1" t="str">
        <f>_xlfn.XLOOKUP(C1381, 'Product Catalog'!$A:$A, 'Product Catalog'!$B:$B, "Unknown Product")</f>
        <v>VPN 6-Month Pass Model V73</v>
      </c>
      <c r="L1381" s="1" t="str">
        <f>_xlfn.XLOOKUP(C1381, 'Product Catalog'!$A:$A, 'Product Catalog'!$C:$C, "Unknown Category")</f>
        <v>Digital Services</v>
      </c>
      <c r="M1381" s="1">
        <f>_xlfn.XLOOKUP(C1381, 'Product Catalog'!$A:$A, 'Product Catalog'!$D:$D, 0)</f>
        <v>58.13</v>
      </c>
      <c r="N1381" s="1">
        <f t="shared" si="43"/>
        <v>58.13</v>
      </c>
    </row>
    <row r="1382" spans="1:14" x14ac:dyDescent="0.3">
      <c r="A1382" s="1" t="s">
        <v>1862</v>
      </c>
      <c r="B1382" s="1" t="s">
        <v>809</v>
      </c>
      <c r="C1382" s="1" t="s">
        <v>314</v>
      </c>
      <c r="D1382" s="1">
        <v>1</v>
      </c>
      <c r="E1382" s="12">
        <v>45952.323611111111</v>
      </c>
      <c r="F1382" s="1" t="s">
        <v>19</v>
      </c>
      <c r="G1382" s="1" t="s">
        <v>31</v>
      </c>
      <c r="H1382" s="1" t="s">
        <v>14</v>
      </c>
      <c r="I1382" s="1" t="s">
        <v>15</v>
      </c>
      <c r="J1382" s="1" t="str">
        <f t="shared" si="42"/>
        <v>delivered</v>
      </c>
      <c r="K1382" s="1" t="str">
        <f>_xlfn.XLOOKUP(C1382, 'Product Catalog'!$A:$A, 'Product Catalog'!$B:$B, "Unknown Product")</f>
        <v>Smartwatch Model A104</v>
      </c>
      <c r="L1382" s="1" t="str">
        <f>_xlfn.XLOOKUP(C1382, 'Product Catalog'!$A:$A, 'Product Catalog'!$C:$C, "Unknown Category")</f>
        <v>Electronics</v>
      </c>
      <c r="M1382" s="1">
        <f>_xlfn.XLOOKUP(C1382, 'Product Catalog'!$A:$A, 'Product Catalog'!$D:$D, 0)</f>
        <v>80.59</v>
      </c>
      <c r="N1382" s="1">
        <f t="shared" si="43"/>
        <v>80.59</v>
      </c>
    </row>
    <row r="1383" spans="1:14" x14ac:dyDescent="0.3">
      <c r="A1383" s="1" t="s">
        <v>1863</v>
      </c>
      <c r="B1383" s="1" t="s">
        <v>773</v>
      </c>
      <c r="C1383" s="1" t="s">
        <v>399</v>
      </c>
      <c r="D1383" s="1">
        <v>1</v>
      </c>
      <c r="E1383" s="12">
        <v>45790.57916666667</v>
      </c>
      <c r="F1383" s="1" t="s">
        <v>19</v>
      </c>
      <c r="G1383" s="1" t="s">
        <v>109</v>
      </c>
      <c r="H1383" s="1" t="s">
        <v>14</v>
      </c>
      <c r="I1383" s="1" t="s">
        <v>15</v>
      </c>
      <c r="J1383" s="1" t="str">
        <f t="shared" si="42"/>
        <v>delivered</v>
      </c>
      <c r="K1383" s="1" t="str">
        <f>_xlfn.XLOOKUP(C1383, 'Product Catalog'!$A:$A, 'Product Catalog'!$B:$B, "Unknown Product")</f>
        <v>E-Book Access Model W22</v>
      </c>
      <c r="L1383" s="1" t="str">
        <f>_xlfn.XLOOKUP(C1383, 'Product Catalog'!$A:$A, 'Product Catalog'!$C:$C, "Unknown Category")</f>
        <v>Digital Services</v>
      </c>
      <c r="M1383" s="1">
        <f>_xlfn.XLOOKUP(C1383, 'Product Catalog'!$A:$A, 'Product Catalog'!$D:$D, 0)</f>
        <v>11.22</v>
      </c>
      <c r="N1383" s="1">
        <f t="shared" si="43"/>
        <v>11.22</v>
      </c>
    </row>
    <row r="1384" spans="1:14" x14ac:dyDescent="0.3">
      <c r="A1384" s="1" t="s">
        <v>1864</v>
      </c>
      <c r="B1384" s="1" t="s">
        <v>456</v>
      </c>
      <c r="C1384" s="1" t="s">
        <v>758</v>
      </c>
      <c r="D1384" s="1">
        <v>2</v>
      </c>
      <c r="E1384" s="12">
        <v>45856.640972222223</v>
      </c>
      <c r="F1384" s="1" t="s">
        <v>12</v>
      </c>
      <c r="G1384" s="1" t="s">
        <v>20</v>
      </c>
      <c r="H1384" s="1" t="s">
        <v>14</v>
      </c>
      <c r="I1384" s="1" t="s">
        <v>81</v>
      </c>
      <c r="J1384" s="1" t="str">
        <f t="shared" si="42"/>
        <v>REFUNDED</v>
      </c>
      <c r="K1384" s="1" t="str">
        <f>_xlfn.XLOOKUP(C1384, 'Product Catalog'!$A:$A, 'Product Catalog'!$B:$B, "Unknown Product")</f>
        <v>Cloud Storage Basic Model G110</v>
      </c>
      <c r="L1384" s="1" t="str">
        <f>_xlfn.XLOOKUP(C1384, 'Product Catalog'!$A:$A, 'Product Catalog'!$C:$C, "Unknown Category")</f>
        <v>Digital Services</v>
      </c>
      <c r="M1384" s="1">
        <f>_xlfn.XLOOKUP(C1384, 'Product Catalog'!$A:$A, 'Product Catalog'!$D:$D, 0)</f>
        <v>53.87</v>
      </c>
      <c r="N1384" s="1">
        <f t="shared" si="43"/>
        <v>107.74</v>
      </c>
    </row>
    <row r="1385" spans="1:14" x14ac:dyDescent="0.3">
      <c r="A1385" s="1" t="s">
        <v>1865</v>
      </c>
      <c r="B1385" s="1" t="s">
        <v>911</v>
      </c>
      <c r="C1385" s="1" t="s">
        <v>415</v>
      </c>
      <c r="D1385" s="1">
        <v>1</v>
      </c>
      <c r="E1385" s="12">
        <v>45980.574999999997</v>
      </c>
      <c r="F1385" s="1" t="s">
        <v>19</v>
      </c>
      <c r="G1385" s="1" t="s">
        <v>109</v>
      </c>
      <c r="H1385" s="1" t="s">
        <v>14</v>
      </c>
      <c r="I1385" s="1" t="s">
        <v>56</v>
      </c>
      <c r="J1385" s="1" t="str">
        <f t="shared" si="42"/>
        <v>cancelled</v>
      </c>
      <c r="K1385" s="1" t="str">
        <f>_xlfn.XLOOKUP(C1385, 'Product Catalog'!$A:$A, 'Product Catalog'!$B:$B, "Unknown Product")</f>
        <v>Premium Stream 1M Model S148</v>
      </c>
      <c r="L1385" s="1" t="str">
        <f>_xlfn.XLOOKUP(C1385, 'Product Catalog'!$A:$A, 'Product Catalog'!$C:$C, "Unknown Category")</f>
        <v>Digital Services</v>
      </c>
      <c r="M1385" s="1">
        <f>_xlfn.XLOOKUP(C1385, 'Product Catalog'!$A:$A, 'Product Catalog'!$D:$D, 0)</f>
        <v>9.73</v>
      </c>
      <c r="N1385" s="1">
        <f t="shared" si="43"/>
        <v>9.73</v>
      </c>
    </row>
    <row r="1386" spans="1:14" x14ac:dyDescent="0.3">
      <c r="A1386" s="1" t="s">
        <v>1866</v>
      </c>
      <c r="B1386" s="1" t="s">
        <v>765</v>
      </c>
      <c r="C1386" s="1" t="s">
        <v>415</v>
      </c>
      <c r="D1386" s="1">
        <v>1</v>
      </c>
      <c r="E1386" s="12">
        <v>45879.449305555558</v>
      </c>
      <c r="F1386" s="1" t="s">
        <v>19</v>
      </c>
      <c r="G1386" s="1" t="s">
        <v>20</v>
      </c>
      <c r="H1386" s="1" t="s">
        <v>14</v>
      </c>
      <c r="I1386" s="1" t="s">
        <v>15</v>
      </c>
      <c r="J1386" s="1" t="str">
        <f t="shared" si="42"/>
        <v>delivered</v>
      </c>
      <c r="K1386" s="1" t="str">
        <f>_xlfn.XLOOKUP(C1386, 'Product Catalog'!$A:$A, 'Product Catalog'!$B:$B, "Unknown Product")</f>
        <v>Premium Stream 1M Model S148</v>
      </c>
      <c r="L1386" s="1" t="str">
        <f>_xlfn.XLOOKUP(C1386, 'Product Catalog'!$A:$A, 'Product Catalog'!$C:$C, "Unknown Category")</f>
        <v>Digital Services</v>
      </c>
      <c r="M1386" s="1">
        <f>_xlfn.XLOOKUP(C1386, 'Product Catalog'!$A:$A, 'Product Catalog'!$D:$D, 0)</f>
        <v>9.73</v>
      </c>
      <c r="N1386" s="1">
        <f t="shared" si="43"/>
        <v>9.73</v>
      </c>
    </row>
    <row r="1387" spans="1:14" x14ac:dyDescent="0.3">
      <c r="A1387" s="1" t="s">
        <v>1867</v>
      </c>
      <c r="B1387" s="1" t="s">
        <v>130</v>
      </c>
      <c r="C1387" s="1" t="s">
        <v>247</v>
      </c>
      <c r="D1387" s="1">
        <v>4</v>
      </c>
      <c r="E1387" s="12">
        <v>45666.553472222222</v>
      </c>
      <c r="F1387" s="1" t="s">
        <v>170</v>
      </c>
      <c r="G1387" s="1" t="s">
        <v>20</v>
      </c>
      <c r="H1387" s="1" t="s">
        <v>51</v>
      </c>
      <c r="I1387" s="1" t="s">
        <v>42</v>
      </c>
      <c r="J1387" s="1" t="str">
        <f t="shared" si="42"/>
        <v>PENDING_REVIEW</v>
      </c>
      <c r="K1387" s="1" t="str">
        <f>_xlfn.XLOOKUP(C1387, 'Product Catalog'!$A:$A, 'Product Catalog'!$B:$B, "Unknown Product")</f>
        <v>Silk Scarf Model N117</v>
      </c>
      <c r="L1387" s="1" t="str">
        <f>_xlfn.XLOOKUP(C1387, 'Product Catalog'!$A:$A, 'Product Catalog'!$C:$C, "Unknown Category")</f>
        <v>Luxury Goods</v>
      </c>
      <c r="M1387" s="1">
        <f>_xlfn.XLOOKUP(C1387, 'Product Catalog'!$A:$A, 'Product Catalog'!$D:$D, 0)</f>
        <v>1740.35</v>
      </c>
      <c r="N1387" s="1">
        <f t="shared" si="43"/>
        <v>6961.4</v>
      </c>
    </row>
    <row r="1388" spans="1:14" x14ac:dyDescent="0.3">
      <c r="A1388" s="1" t="s">
        <v>1868</v>
      </c>
      <c r="B1388" s="1" t="s">
        <v>683</v>
      </c>
      <c r="C1388" s="1" t="s">
        <v>519</v>
      </c>
      <c r="D1388" s="1">
        <v>1</v>
      </c>
      <c r="E1388" s="12">
        <v>46002.168055555558</v>
      </c>
      <c r="F1388" s="1" t="s">
        <v>12</v>
      </c>
      <c r="G1388" s="1" t="s">
        <v>40</v>
      </c>
      <c r="H1388" s="1" t="s">
        <v>41</v>
      </c>
      <c r="I1388" s="1" t="s">
        <v>102</v>
      </c>
      <c r="J1388" s="1" t="str">
        <f t="shared" si="42"/>
        <v>disputed</v>
      </c>
      <c r="K1388" s="1" t="str">
        <f>_xlfn.XLOOKUP(C1388, 'Product Catalog'!$A:$A, 'Product Catalog'!$B:$B, "Unknown Product")</f>
        <v>T-Shirt Model S70</v>
      </c>
      <c r="L1388" s="1" t="str">
        <f>_xlfn.XLOOKUP(C1388, 'Product Catalog'!$A:$A, 'Product Catalog'!$C:$C, "Unknown Category")</f>
        <v>Apparel</v>
      </c>
      <c r="M1388" s="1">
        <f>_xlfn.XLOOKUP(C1388, 'Product Catalog'!$A:$A, 'Product Catalog'!$D:$D, 0)</f>
        <v>75.45</v>
      </c>
      <c r="N1388" s="1">
        <f t="shared" si="43"/>
        <v>75.45</v>
      </c>
    </row>
    <row r="1389" spans="1:14" x14ac:dyDescent="0.3">
      <c r="A1389" s="1" t="s">
        <v>1869</v>
      </c>
      <c r="B1389" s="1" t="s">
        <v>434</v>
      </c>
      <c r="C1389" s="1" t="s">
        <v>62</v>
      </c>
      <c r="D1389" s="1">
        <v>1</v>
      </c>
      <c r="E1389" s="12">
        <v>45931.008333333331</v>
      </c>
      <c r="F1389" s="1" t="s">
        <v>19</v>
      </c>
      <c r="G1389" s="1" t="s">
        <v>109</v>
      </c>
      <c r="H1389" s="1" t="s">
        <v>41</v>
      </c>
      <c r="I1389" s="1" t="s">
        <v>42</v>
      </c>
      <c r="J1389" s="1" t="str">
        <f t="shared" si="42"/>
        <v>PENDING_REVIEW</v>
      </c>
      <c r="K1389" s="1" t="str">
        <f>_xlfn.XLOOKUP(C1389, 'Product Catalog'!$A:$A, 'Product Catalog'!$B:$B, "Unknown Product")</f>
        <v>Cable Model M12</v>
      </c>
      <c r="L1389" s="1" t="str">
        <f>_xlfn.XLOOKUP(C1389, 'Product Catalog'!$A:$A, 'Product Catalog'!$C:$C, "Unknown Category")</f>
        <v>Electronics</v>
      </c>
      <c r="M1389" s="1">
        <f>_xlfn.XLOOKUP(C1389, 'Product Catalog'!$A:$A, 'Product Catalog'!$D:$D, 0)</f>
        <v>83.9</v>
      </c>
      <c r="N1389" s="1">
        <f t="shared" si="43"/>
        <v>83.9</v>
      </c>
    </row>
    <row r="1390" spans="1:14" x14ac:dyDescent="0.3">
      <c r="A1390" s="1" t="s">
        <v>1870</v>
      </c>
      <c r="B1390" s="1" t="s">
        <v>555</v>
      </c>
      <c r="C1390" s="1" t="s">
        <v>721</v>
      </c>
      <c r="D1390" s="1">
        <v>1</v>
      </c>
      <c r="E1390" s="12">
        <v>45986.879166666666</v>
      </c>
      <c r="F1390" s="1" t="s">
        <v>185</v>
      </c>
      <c r="G1390" s="1" t="s">
        <v>46</v>
      </c>
      <c r="H1390" s="1" t="s">
        <v>14</v>
      </c>
      <c r="I1390" s="1" t="s">
        <v>56</v>
      </c>
      <c r="J1390" s="1" t="str">
        <f t="shared" si="42"/>
        <v>cancelled</v>
      </c>
      <c r="K1390" s="1" t="str">
        <f>_xlfn.XLOOKUP(C1390, 'Product Catalog'!$A:$A, 'Product Catalog'!$B:$B, "Unknown Product")</f>
        <v>Hoodie Model E134</v>
      </c>
      <c r="L1390" s="1" t="str">
        <f>_xlfn.XLOOKUP(C1390, 'Product Catalog'!$A:$A, 'Product Catalog'!$C:$C, "Unknown Category")</f>
        <v>Apparel</v>
      </c>
      <c r="M1390" s="1">
        <f>_xlfn.XLOOKUP(C1390, 'Product Catalog'!$A:$A, 'Product Catalog'!$D:$D, 0)</f>
        <v>58.39</v>
      </c>
      <c r="N1390" s="1">
        <f t="shared" si="43"/>
        <v>58.39</v>
      </c>
    </row>
    <row r="1391" spans="1:14" x14ac:dyDescent="0.3">
      <c r="A1391" s="1" t="s">
        <v>1871</v>
      </c>
      <c r="B1391" s="1" t="s">
        <v>53</v>
      </c>
      <c r="C1391" s="1" t="s">
        <v>396</v>
      </c>
      <c r="D1391" s="1">
        <v>4</v>
      </c>
      <c r="E1391" s="12">
        <v>45690.832638888889</v>
      </c>
      <c r="F1391" s="1" t="s">
        <v>170</v>
      </c>
      <c r="G1391" s="1" t="s">
        <v>50</v>
      </c>
      <c r="H1391" s="1" t="s">
        <v>41</v>
      </c>
      <c r="I1391" s="1" t="s">
        <v>102</v>
      </c>
      <c r="J1391" s="1" t="str">
        <f t="shared" si="42"/>
        <v>disputed</v>
      </c>
      <c r="K1391" s="1" t="str">
        <f>_xlfn.XLOOKUP(C1391, 'Product Catalog'!$A:$A, 'Product Catalog'!$B:$B, "Unknown Product")</f>
        <v>Cap Model O14</v>
      </c>
      <c r="L1391" s="1" t="str">
        <f>_xlfn.XLOOKUP(C1391, 'Product Catalog'!$A:$A, 'Product Catalog'!$C:$C, "Unknown Category")</f>
        <v>Apparel</v>
      </c>
      <c r="M1391" s="1">
        <f>_xlfn.XLOOKUP(C1391, 'Product Catalog'!$A:$A, 'Product Catalog'!$D:$D, 0)</f>
        <v>41.83</v>
      </c>
      <c r="N1391" s="1">
        <f t="shared" si="43"/>
        <v>167.32</v>
      </c>
    </row>
    <row r="1392" spans="1:14" x14ac:dyDescent="0.3">
      <c r="A1392" s="1" t="s">
        <v>1872</v>
      </c>
      <c r="B1392" s="1" t="s">
        <v>398</v>
      </c>
      <c r="C1392" s="1" t="s">
        <v>644</v>
      </c>
      <c r="D1392" s="1">
        <v>1</v>
      </c>
      <c r="E1392" s="12">
        <v>45681.996527777781</v>
      </c>
      <c r="F1392" s="1" t="s">
        <v>19</v>
      </c>
      <c r="G1392" s="1" t="s">
        <v>46</v>
      </c>
      <c r="H1392" s="1" t="s">
        <v>14</v>
      </c>
      <c r="I1392" s="1" t="s">
        <v>15</v>
      </c>
      <c r="J1392" s="1" t="str">
        <f t="shared" si="42"/>
        <v>delivered</v>
      </c>
      <c r="K1392" s="1" t="str">
        <f>_xlfn.XLOOKUP(C1392, 'Product Catalog'!$A:$A, 'Product Catalog'!$B:$B, "Unknown Product")</f>
        <v>Socks Model T71</v>
      </c>
      <c r="L1392" s="1" t="str">
        <f>_xlfn.XLOOKUP(C1392, 'Product Catalog'!$A:$A, 'Product Catalog'!$C:$C, "Unknown Category")</f>
        <v>Apparel</v>
      </c>
      <c r="M1392" s="1">
        <f>_xlfn.XLOOKUP(C1392, 'Product Catalog'!$A:$A, 'Product Catalog'!$D:$D, 0)</f>
        <v>23.19</v>
      </c>
      <c r="N1392" s="1">
        <f t="shared" si="43"/>
        <v>23.19</v>
      </c>
    </row>
    <row r="1393" spans="1:14" x14ac:dyDescent="0.3">
      <c r="A1393" s="1" t="s">
        <v>1873</v>
      </c>
      <c r="B1393" s="1" t="s">
        <v>963</v>
      </c>
      <c r="C1393" s="1" t="s">
        <v>275</v>
      </c>
      <c r="D1393" s="1">
        <v>1</v>
      </c>
      <c r="E1393" s="12">
        <v>45695.508333333331</v>
      </c>
      <c r="F1393" s="1" t="s">
        <v>19</v>
      </c>
      <c r="G1393" s="1" t="s">
        <v>31</v>
      </c>
      <c r="H1393" s="1" t="s">
        <v>14</v>
      </c>
      <c r="I1393" s="1" t="s">
        <v>102</v>
      </c>
      <c r="J1393" s="1" t="str">
        <f t="shared" si="42"/>
        <v>disputed</v>
      </c>
      <c r="K1393" s="1" t="str">
        <f>_xlfn.XLOOKUP(C1393, 'Product Catalog'!$A:$A, 'Product Catalog'!$B:$B, "Unknown Product")</f>
        <v>Desk Lamp Model I112</v>
      </c>
      <c r="L1393" s="1" t="str">
        <f>_xlfn.XLOOKUP(C1393, 'Product Catalog'!$A:$A, 'Product Catalog'!$C:$C, "Unknown Category")</f>
        <v>Home Goods</v>
      </c>
      <c r="M1393" s="1">
        <f>_xlfn.XLOOKUP(C1393, 'Product Catalog'!$A:$A, 'Product Catalog'!$D:$D, 0)</f>
        <v>70.23</v>
      </c>
      <c r="N1393" s="1">
        <f t="shared" si="43"/>
        <v>70.23</v>
      </c>
    </row>
    <row r="1394" spans="1:14" x14ac:dyDescent="0.3">
      <c r="A1394" s="1" t="s">
        <v>1874</v>
      </c>
      <c r="B1394" s="1" t="s">
        <v>886</v>
      </c>
      <c r="C1394" s="1" t="s">
        <v>391</v>
      </c>
      <c r="D1394" s="1">
        <v>1</v>
      </c>
      <c r="E1394" s="12">
        <v>45915.150694444441</v>
      </c>
      <c r="F1394" s="1" t="s">
        <v>19</v>
      </c>
      <c r="G1394" s="1" t="s">
        <v>109</v>
      </c>
      <c r="H1394" s="1" t="s">
        <v>14</v>
      </c>
      <c r="I1394" s="1" t="s">
        <v>15</v>
      </c>
      <c r="J1394" s="1" t="str">
        <f t="shared" si="42"/>
        <v>delivered</v>
      </c>
      <c r="K1394" s="1" t="str">
        <f>_xlfn.XLOOKUP(C1394, 'Product Catalog'!$A:$A, 'Product Catalog'!$B:$B, "Unknown Product")</f>
        <v>Premium Stream 1M Model P145</v>
      </c>
      <c r="L1394" s="1" t="str">
        <f>_xlfn.XLOOKUP(C1394, 'Product Catalog'!$A:$A, 'Product Catalog'!$C:$C, "Unknown Category")</f>
        <v>Digital Services</v>
      </c>
      <c r="M1394" s="1">
        <f>_xlfn.XLOOKUP(C1394, 'Product Catalog'!$A:$A, 'Product Catalog'!$D:$D, 0)</f>
        <v>84.01</v>
      </c>
      <c r="N1394" s="1">
        <f t="shared" si="43"/>
        <v>84.01</v>
      </c>
    </row>
    <row r="1395" spans="1:14" x14ac:dyDescent="0.3">
      <c r="A1395" s="1" t="s">
        <v>1875</v>
      </c>
      <c r="B1395" s="1" t="s">
        <v>601</v>
      </c>
      <c r="C1395" s="1" t="s">
        <v>62</v>
      </c>
      <c r="D1395" s="1">
        <v>1</v>
      </c>
      <c r="E1395" s="12">
        <v>45806.974999999999</v>
      </c>
      <c r="F1395" s="1" t="s">
        <v>19</v>
      </c>
      <c r="G1395" s="1" t="s">
        <v>46</v>
      </c>
      <c r="H1395" s="1" t="s">
        <v>41</v>
      </c>
      <c r="I1395" s="1" t="s">
        <v>15</v>
      </c>
      <c r="J1395" s="1" t="str">
        <f t="shared" si="42"/>
        <v>delivered</v>
      </c>
      <c r="K1395" s="1" t="str">
        <f>_xlfn.XLOOKUP(C1395, 'Product Catalog'!$A:$A, 'Product Catalog'!$B:$B, "Unknown Product")</f>
        <v>Cable Model M12</v>
      </c>
      <c r="L1395" s="1" t="str">
        <f>_xlfn.XLOOKUP(C1395, 'Product Catalog'!$A:$A, 'Product Catalog'!$C:$C, "Unknown Category")</f>
        <v>Electronics</v>
      </c>
      <c r="M1395" s="1">
        <f>_xlfn.XLOOKUP(C1395, 'Product Catalog'!$A:$A, 'Product Catalog'!$D:$D, 0)</f>
        <v>83.9</v>
      </c>
      <c r="N1395" s="1">
        <f t="shared" si="43"/>
        <v>83.9</v>
      </c>
    </row>
    <row r="1396" spans="1:14" x14ac:dyDescent="0.3">
      <c r="A1396" s="1" t="s">
        <v>1876</v>
      </c>
      <c r="B1396" s="1" t="s">
        <v>79</v>
      </c>
      <c r="C1396" s="1" t="s">
        <v>527</v>
      </c>
      <c r="D1396" s="1">
        <v>4</v>
      </c>
      <c r="E1396" s="12">
        <v>45812.862500000003</v>
      </c>
      <c r="F1396" s="1" t="s">
        <v>12</v>
      </c>
      <c r="G1396" s="1" t="s">
        <v>40</v>
      </c>
      <c r="H1396" s="1" t="s">
        <v>55</v>
      </c>
      <c r="I1396" s="1" t="s">
        <v>102</v>
      </c>
      <c r="J1396" s="1" t="str">
        <f t="shared" si="42"/>
        <v>disputed</v>
      </c>
      <c r="K1396" s="1" t="str">
        <f>_xlfn.XLOOKUP(C1396, 'Product Catalog'!$A:$A, 'Product Catalog'!$B:$B, "Unknown Product")</f>
        <v>Leather Handbag Model S96</v>
      </c>
      <c r="L1396" s="1" t="str">
        <f>_xlfn.XLOOKUP(C1396, 'Product Catalog'!$A:$A, 'Product Catalog'!$C:$C, "Unknown Category")</f>
        <v>Luxury Goods</v>
      </c>
      <c r="M1396" s="1">
        <f>_xlfn.XLOOKUP(C1396, 'Product Catalog'!$A:$A, 'Product Catalog'!$D:$D, 0)</f>
        <v>2336.6799999999998</v>
      </c>
      <c r="N1396" s="1">
        <f t="shared" si="43"/>
        <v>9346.7199999999993</v>
      </c>
    </row>
    <row r="1397" spans="1:14" x14ac:dyDescent="0.3">
      <c r="A1397" s="1" t="s">
        <v>1877</v>
      </c>
      <c r="B1397" s="1" t="s">
        <v>584</v>
      </c>
      <c r="C1397" s="1" t="s">
        <v>173</v>
      </c>
      <c r="D1397" s="1">
        <v>4</v>
      </c>
      <c r="E1397" s="12">
        <v>45702.400000000001</v>
      </c>
      <c r="F1397" s="1" t="s">
        <v>39</v>
      </c>
      <c r="G1397" s="1" t="s">
        <v>50</v>
      </c>
      <c r="H1397" s="1" t="s">
        <v>55</v>
      </c>
      <c r="I1397" s="1" t="s">
        <v>81</v>
      </c>
      <c r="J1397" s="1" t="str">
        <f t="shared" si="42"/>
        <v>REFUNDED</v>
      </c>
      <c r="K1397" s="1" t="str">
        <f>_xlfn.XLOOKUP(C1397, 'Product Catalog'!$A:$A, 'Product Catalog'!$B:$B, "Unknown Product")</f>
        <v>Premium Perfume Model Q120</v>
      </c>
      <c r="L1397" s="1" t="str">
        <f>_xlfn.XLOOKUP(C1397, 'Product Catalog'!$A:$A, 'Product Catalog'!$C:$C, "Unknown Category")</f>
        <v>Luxury Goods</v>
      </c>
      <c r="M1397" s="1">
        <f>_xlfn.XLOOKUP(C1397, 'Product Catalog'!$A:$A, 'Product Catalog'!$D:$D, 0)</f>
        <v>505.45</v>
      </c>
      <c r="N1397" s="1">
        <f t="shared" si="43"/>
        <v>2021.8</v>
      </c>
    </row>
    <row r="1398" spans="1:14" x14ac:dyDescent="0.3">
      <c r="A1398" s="1" t="s">
        <v>1878</v>
      </c>
      <c r="B1398" s="1" t="s">
        <v>693</v>
      </c>
      <c r="C1398" s="1" t="s">
        <v>782</v>
      </c>
      <c r="D1398" s="1">
        <v>1</v>
      </c>
      <c r="E1398" s="12">
        <v>45882.542361111111</v>
      </c>
      <c r="F1398" s="1" t="s">
        <v>12</v>
      </c>
      <c r="G1398" s="1" t="s">
        <v>46</v>
      </c>
      <c r="H1398" s="1" t="s">
        <v>24</v>
      </c>
      <c r="I1398" s="1" t="s">
        <v>15</v>
      </c>
      <c r="J1398" s="1" t="str">
        <f t="shared" si="42"/>
        <v>delivered</v>
      </c>
      <c r="K1398" s="1" t="str">
        <f>_xlfn.XLOOKUP(C1398, 'Product Catalog'!$A:$A, 'Product Catalog'!$B:$B, "Unknown Product")</f>
        <v>Headphones Model V47</v>
      </c>
      <c r="L1398" s="1" t="str">
        <f>_xlfn.XLOOKUP(C1398, 'Product Catalog'!$A:$A, 'Product Catalog'!$C:$C, "Unknown Category")</f>
        <v>Electronics</v>
      </c>
      <c r="M1398" s="1">
        <f>_xlfn.XLOOKUP(C1398, 'Product Catalog'!$A:$A, 'Product Catalog'!$D:$D, 0)</f>
        <v>19.940000000000001</v>
      </c>
      <c r="N1398" s="1">
        <f t="shared" si="43"/>
        <v>19.940000000000001</v>
      </c>
    </row>
    <row r="1399" spans="1:14" x14ac:dyDescent="0.3">
      <c r="A1399" s="1" t="s">
        <v>1879</v>
      </c>
      <c r="B1399" s="1" t="s">
        <v>444</v>
      </c>
      <c r="C1399" s="1" t="s">
        <v>879</v>
      </c>
      <c r="D1399" s="1">
        <v>5</v>
      </c>
      <c r="E1399" s="12">
        <v>45860.939583333333</v>
      </c>
      <c r="F1399" s="1" t="s">
        <v>19</v>
      </c>
      <c r="G1399" s="1" t="s">
        <v>50</v>
      </c>
      <c r="H1399" s="1" t="s">
        <v>41</v>
      </c>
      <c r="I1399" s="1" t="s">
        <v>81</v>
      </c>
      <c r="J1399" s="1" t="str">
        <f t="shared" si="42"/>
        <v>REFUNDED</v>
      </c>
      <c r="K1399" s="1" t="str">
        <f>_xlfn.XLOOKUP(C1399, 'Product Catalog'!$A:$A, 'Product Catalog'!$B:$B, "Unknown Product")</f>
        <v>Toaster Model I8</v>
      </c>
      <c r="L1399" s="1" t="str">
        <f>_xlfn.XLOOKUP(C1399, 'Product Catalog'!$A:$A, 'Product Catalog'!$C:$C, "Unknown Category")</f>
        <v>Home Goods</v>
      </c>
      <c r="M1399" s="1">
        <f>_xlfn.XLOOKUP(C1399, 'Product Catalog'!$A:$A, 'Product Catalog'!$D:$D, 0)</f>
        <v>44.88</v>
      </c>
      <c r="N1399" s="1">
        <f t="shared" si="43"/>
        <v>224.4</v>
      </c>
    </row>
    <row r="1400" spans="1:14" x14ac:dyDescent="0.3">
      <c r="A1400" s="1" t="s">
        <v>1880</v>
      </c>
      <c r="B1400" s="1" t="s">
        <v>630</v>
      </c>
      <c r="C1400" s="1" t="s">
        <v>190</v>
      </c>
      <c r="D1400" s="1">
        <v>4</v>
      </c>
      <c r="E1400" s="12">
        <v>45673.673611111109</v>
      </c>
      <c r="F1400" s="1" t="s">
        <v>19</v>
      </c>
      <c r="G1400" s="1" t="s">
        <v>50</v>
      </c>
      <c r="H1400" s="1" t="s">
        <v>51</v>
      </c>
      <c r="I1400" s="1" t="s">
        <v>56</v>
      </c>
      <c r="J1400" s="1" t="str">
        <f t="shared" si="42"/>
        <v>cancelled</v>
      </c>
      <c r="K1400" s="1" t="str">
        <f>_xlfn.XLOOKUP(C1400, 'Product Catalog'!$A:$A, 'Product Catalog'!$B:$B, "Unknown Product")</f>
        <v>Silk Scarf Model A52</v>
      </c>
      <c r="L1400" s="1" t="str">
        <f>_xlfn.XLOOKUP(C1400, 'Product Catalog'!$A:$A, 'Product Catalog'!$C:$C, "Unknown Category")</f>
        <v>Luxury Goods</v>
      </c>
      <c r="M1400" s="1">
        <f>_xlfn.XLOOKUP(C1400, 'Product Catalog'!$A:$A, 'Product Catalog'!$D:$D, 0)</f>
        <v>1339.88</v>
      </c>
      <c r="N1400" s="1">
        <f t="shared" si="43"/>
        <v>5359.52</v>
      </c>
    </row>
    <row r="1401" spans="1:14" x14ac:dyDescent="0.3">
      <c r="A1401" s="1" t="s">
        <v>1881</v>
      </c>
      <c r="B1401" s="1" t="s">
        <v>960</v>
      </c>
      <c r="C1401" s="1" t="s">
        <v>247</v>
      </c>
      <c r="D1401" s="1">
        <v>5</v>
      </c>
      <c r="E1401" s="12">
        <v>45738.758333333331</v>
      </c>
      <c r="F1401" s="1" t="s">
        <v>19</v>
      </c>
      <c r="G1401" s="1" t="s">
        <v>50</v>
      </c>
      <c r="H1401" s="1" t="s">
        <v>51</v>
      </c>
      <c r="I1401" s="1" t="s">
        <v>102</v>
      </c>
      <c r="J1401" s="1" t="str">
        <f t="shared" si="42"/>
        <v>disputed</v>
      </c>
      <c r="K1401" s="1" t="str">
        <f>_xlfn.XLOOKUP(C1401, 'Product Catalog'!$A:$A, 'Product Catalog'!$B:$B, "Unknown Product")</f>
        <v>Silk Scarf Model N117</v>
      </c>
      <c r="L1401" s="1" t="str">
        <f>_xlfn.XLOOKUP(C1401, 'Product Catalog'!$A:$A, 'Product Catalog'!$C:$C, "Unknown Category")</f>
        <v>Luxury Goods</v>
      </c>
      <c r="M1401" s="1">
        <f>_xlfn.XLOOKUP(C1401, 'Product Catalog'!$A:$A, 'Product Catalog'!$D:$D, 0)</f>
        <v>1740.35</v>
      </c>
      <c r="N1401" s="1">
        <f t="shared" si="43"/>
        <v>8701.75</v>
      </c>
    </row>
    <row r="1402" spans="1:14" x14ac:dyDescent="0.3">
      <c r="A1402" s="1" t="s">
        <v>1882</v>
      </c>
      <c r="B1402" s="1" t="s">
        <v>902</v>
      </c>
      <c r="C1402" s="1" t="s">
        <v>644</v>
      </c>
      <c r="D1402" s="1">
        <v>4</v>
      </c>
      <c r="E1402" s="12">
        <v>45770.193749999999</v>
      </c>
      <c r="F1402" s="1" t="s">
        <v>39</v>
      </c>
      <c r="G1402" s="1" t="s">
        <v>50</v>
      </c>
      <c r="H1402" s="1" t="s">
        <v>55</v>
      </c>
      <c r="I1402" s="1" t="s">
        <v>102</v>
      </c>
      <c r="J1402" s="1" t="str">
        <f t="shared" si="42"/>
        <v>disputed</v>
      </c>
      <c r="K1402" s="1" t="str">
        <f>_xlfn.XLOOKUP(C1402, 'Product Catalog'!$A:$A, 'Product Catalog'!$B:$B, "Unknown Product")</f>
        <v>Socks Model T71</v>
      </c>
      <c r="L1402" s="1" t="str">
        <f>_xlfn.XLOOKUP(C1402, 'Product Catalog'!$A:$A, 'Product Catalog'!$C:$C, "Unknown Category")</f>
        <v>Apparel</v>
      </c>
      <c r="M1402" s="1">
        <f>_xlfn.XLOOKUP(C1402, 'Product Catalog'!$A:$A, 'Product Catalog'!$D:$D, 0)</f>
        <v>23.19</v>
      </c>
      <c r="N1402" s="1">
        <f t="shared" si="43"/>
        <v>92.76</v>
      </c>
    </row>
    <row r="1403" spans="1:14" x14ac:dyDescent="0.3">
      <c r="A1403" s="1" t="s">
        <v>1883</v>
      </c>
      <c r="B1403" s="1" t="s">
        <v>1474</v>
      </c>
      <c r="C1403" s="1" t="s">
        <v>1454</v>
      </c>
      <c r="D1403" s="1">
        <v>1</v>
      </c>
      <c r="E1403" s="12">
        <v>45858.775694444441</v>
      </c>
      <c r="F1403" s="1" t="s">
        <v>12</v>
      </c>
      <c r="G1403" s="1" t="s">
        <v>46</v>
      </c>
      <c r="H1403" s="1" t="s">
        <v>24</v>
      </c>
      <c r="I1403" s="1" t="s">
        <v>15</v>
      </c>
      <c r="J1403" s="1" t="str">
        <f t="shared" si="42"/>
        <v>delivered</v>
      </c>
      <c r="K1403" s="1" t="str">
        <f>_xlfn.XLOOKUP(C1403, 'Product Catalog'!$A:$A, 'Product Catalog'!$B:$B, "Unknown Product")</f>
        <v>Charger Model Z77</v>
      </c>
      <c r="L1403" s="1" t="str">
        <f>_xlfn.XLOOKUP(C1403, 'Product Catalog'!$A:$A, 'Product Catalog'!$C:$C, "Unknown Category")</f>
        <v>Electronics</v>
      </c>
      <c r="M1403" s="1">
        <f>_xlfn.XLOOKUP(C1403, 'Product Catalog'!$A:$A, 'Product Catalog'!$D:$D, 0)</f>
        <v>160.97</v>
      </c>
      <c r="N1403" s="1">
        <f t="shared" si="43"/>
        <v>160.97</v>
      </c>
    </row>
    <row r="1404" spans="1:14" x14ac:dyDescent="0.3">
      <c r="A1404" s="1" t="s">
        <v>1884</v>
      </c>
      <c r="B1404" s="1" t="s">
        <v>104</v>
      </c>
      <c r="C1404" s="1" t="s">
        <v>644</v>
      </c>
      <c r="D1404" s="1">
        <v>1</v>
      </c>
      <c r="E1404" s="12">
        <v>45809.901388888888</v>
      </c>
      <c r="F1404" s="1" t="s">
        <v>19</v>
      </c>
      <c r="G1404" s="1" t="s">
        <v>20</v>
      </c>
      <c r="H1404" s="1" t="s">
        <v>14</v>
      </c>
      <c r="I1404" s="1" t="s">
        <v>15</v>
      </c>
      <c r="J1404" s="1" t="str">
        <f t="shared" si="42"/>
        <v>delivered</v>
      </c>
      <c r="K1404" s="1" t="str">
        <f>_xlfn.XLOOKUP(C1404, 'Product Catalog'!$A:$A, 'Product Catalog'!$B:$B, "Unknown Product")</f>
        <v>Socks Model T71</v>
      </c>
      <c r="L1404" s="1" t="str">
        <f>_xlfn.XLOOKUP(C1404, 'Product Catalog'!$A:$A, 'Product Catalog'!$C:$C, "Unknown Category")</f>
        <v>Apparel</v>
      </c>
      <c r="M1404" s="1">
        <f>_xlfn.XLOOKUP(C1404, 'Product Catalog'!$A:$A, 'Product Catalog'!$D:$D, 0)</f>
        <v>23.19</v>
      </c>
      <c r="N1404" s="1">
        <f t="shared" si="43"/>
        <v>23.19</v>
      </c>
    </row>
    <row r="1405" spans="1:14" x14ac:dyDescent="0.3">
      <c r="A1405" s="1" t="s">
        <v>1885</v>
      </c>
      <c r="B1405" s="1" t="s">
        <v>1821</v>
      </c>
      <c r="C1405" s="1" t="s">
        <v>359</v>
      </c>
      <c r="D1405" s="1">
        <v>4</v>
      </c>
      <c r="E1405" s="12">
        <v>45731.423611111109</v>
      </c>
      <c r="F1405" s="1" t="s">
        <v>39</v>
      </c>
      <c r="G1405" s="1" t="s">
        <v>50</v>
      </c>
      <c r="H1405" s="1" t="s">
        <v>41</v>
      </c>
      <c r="I1405" s="1" t="s">
        <v>56</v>
      </c>
      <c r="J1405" s="1" t="str">
        <f t="shared" si="42"/>
        <v>cancelled</v>
      </c>
      <c r="K1405" s="1" t="str">
        <f>_xlfn.XLOOKUP(C1405, 'Product Catalog'!$A:$A, 'Product Catalog'!$B:$B, "Unknown Product")</f>
        <v>Hoodie Model H111</v>
      </c>
      <c r="L1405" s="1" t="str">
        <f>_xlfn.XLOOKUP(C1405, 'Product Catalog'!$A:$A, 'Product Catalog'!$C:$C, "Unknown Category")</f>
        <v>Apparel</v>
      </c>
      <c r="M1405" s="1">
        <f>_xlfn.XLOOKUP(C1405, 'Product Catalog'!$A:$A, 'Product Catalog'!$D:$D, 0)</f>
        <v>57.44</v>
      </c>
      <c r="N1405" s="1">
        <f t="shared" si="43"/>
        <v>229.76</v>
      </c>
    </row>
    <row r="1406" spans="1:14" x14ac:dyDescent="0.3">
      <c r="A1406" s="1" t="s">
        <v>1886</v>
      </c>
      <c r="B1406" s="1" t="s">
        <v>798</v>
      </c>
      <c r="C1406" s="1" t="s">
        <v>329</v>
      </c>
      <c r="D1406" s="1">
        <v>1</v>
      </c>
      <c r="E1406" s="12">
        <v>46004.92083333333</v>
      </c>
      <c r="F1406" s="1" t="s">
        <v>19</v>
      </c>
      <c r="G1406" s="1" t="s">
        <v>46</v>
      </c>
      <c r="H1406" s="1" t="s">
        <v>14</v>
      </c>
      <c r="I1406" s="1" t="s">
        <v>15</v>
      </c>
      <c r="J1406" s="1" t="str">
        <f t="shared" si="42"/>
        <v>delivered</v>
      </c>
      <c r="K1406" s="1" t="str">
        <f>_xlfn.XLOOKUP(C1406, 'Product Catalog'!$A:$A, 'Product Catalog'!$B:$B, "Unknown Product")</f>
        <v>E-Book Access Model M64</v>
      </c>
      <c r="L1406" s="1" t="str">
        <f>_xlfn.XLOOKUP(C1406, 'Product Catalog'!$A:$A, 'Product Catalog'!$C:$C, "Unknown Category")</f>
        <v>Digital Services</v>
      </c>
      <c r="M1406" s="1">
        <f>_xlfn.XLOOKUP(C1406, 'Product Catalog'!$A:$A, 'Product Catalog'!$D:$D, 0)</f>
        <v>92.09</v>
      </c>
      <c r="N1406" s="1">
        <f t="shared" si="43"/>
        <v>92.09</v>
      </c>
    </row>
    <row r="1407" spans="1:14" x14ac:dyDescent="0.3">
      <c r="A1407" s="1" t="s">
        <v>1887</v>
      </c>
      <c r="B1407" s="1" t="s">
        <v>239</v>
      </c>
      <c r="C1407" s="1" t="s">
        <v>391</v>
      </c>
      <c r="D1407" s="1">
        <v>1</v>
      </c>
      <c r="E1407" s="12">
        <v>45849.015277777777</v>
      </c>
      <c r="F1407" s="1" t="s">
        <v>185</v>
      </c>
      <c r="G1407" s="1" t="s">
        <v>31</v>
      </c>
      <c r="H1407" s="1" t="s">
        <v>41</v>
      </c>
      <c r="I1407" s="1" t="s">
        <v>15</v>
      </c>
      <c r="J1407" s="1" t="str">
        <f t="shared" si="42"/>
        <v>delivered</v>
      </c>
      <c r="K1407" s="1" t="str">
        <f>_xlfn.XLOOKUP(C1407, 'Product Catalog'!$A:$A, 'Product Catalog'!$B:$B, "Unknown Product")</f>
        <v>Premium Stream 1M Model P145</v>
      </c>
      <c r="L1407" s="1" t="str">
        <f>_xlfn.XLOOKUP(C1407, 'Product Catalog'!$A:$A, 'Product Catalog'!$C:$C, "Unknown Category")</f>
        <v>Digital Services</v>
      </c>
      <c r="M1407" s="1">
        <f>_xlfn.XLOOKUP(C1407, 'Product Catalog'!$A:$A, 'Product Catalog'!$D:$D, 0)</f>
        <v>84.01</v>
      </c>
      <c r="N1407" s="1">
        <f t="shared" si="43"/>
        <v>84.01</v>
      </c>
    </row>
    <row r="1408" spans="1:14" x14ac:dyDescent="0.3">
      <c r="A1408" s="1" t="s">
        <v>1888</v>
      </c>
      <c r="B1408" s="1" t="s">
        <v>166</v>
      </c>
      <c r="C1408" s="1" t="s">
        <v>173</v>
      </c>
      <c r="D1408" s="1">
        <v>5</v>
      </c>
      <c r="E1408" s="12">
        <v>45941.788888888892</v>
      </c>
      <c r="F1408" s="1" t="s">
        <v>170</v>
      </c>
      <c r="G1408" s="1" t="s">
        <v>20</v>
      </c>
      <c r="H1408" s="1" t="s">
        <v>41</v>
      </c>
      <c r="I1408" s="1" t="s">
        <v>81</v>
      </c>
      <c r="J1408" s="1" t="str">
        <f t="shared" si="42"/>
        <v>REFUNDED</v>
      </c>
      <c r="K1408" s="1" t="str">
        <f>_xlfn.XLOOKUP(C1408, 'Product Catalog'!$A:$A, 'Product Catalog'!$B:$B, "Unknown Product")</f>
        <v>Premium Perfume Model Q120</v>
      </c>
      <c r="L1408" s="1" t="str">
        <f>_xlfn.XLOOKUP(C1408, 'Product Catalog'!$A:$A, 'Product Catalog'!$C:$C, "Unknown Category")</f>
        <v>Luxury Goods</v>
      </c>
      <c r="M1408" s="1">
        <f>_xlfn.XLOOKUP(C1408, 'Product Catalog'!$A:$A, 'Product Catalog'!$D:$D, 0)</f>
        <v>505.45</v>
      </c>
      <c r="N1408" s="1">
        <f t="shared" si="43"/>
        <v>2527.25</v>
      </c>
    </row>
    <row r="1409" spans="1:14" x14ac:dyDescent="0.3">
      <c r="A1409" s="1" t="s">
        <v>1889</v>
      </c>
      <c r="B1409" s="1" t="s">
        <v>683</v>
      </c>
      <c r="C1409" s="1" t="s">
        <v>740</v>
      </c>
      <c r="D1409" s="1">
        <v>2</v>
      </c>
      <c r="E1409" s="12">
        <v>45730.175000000003</v>
      </c>
      <c r="F1409" s="1" t="s">
        <v>19</v>
      </c>
      <c r="G1409" s="1" t="s">
        <v>46</v>
      </c>
      <c r="H1409" s="1" t="s">
        <v>14</v>
      </c>
      <c r="I1409" s="1" t="s">
        <v>15</v>
      </c>
      <c r="J1409" s="1" t="str">
        <f t="shared" si="42"/>
        <v>delivered</v>
      </c>
      <c r="K1409" s="1" t="str">
        <f>_xlfn.XLOOKUP(C1409, 'Product Catalog'!$A:$A, 'Product Catalog'!$B:$B, "Unknown Product")</f>
        <v>Jacket Model S44</v>
      </c>
      <c r="L1409" s="1" t="str">
        <f>_xlfn.XLOOKUP(C1409, 'Product Catalog'!$A:$A, 'Product Catalog'!$C:$C, "Unknown Category")</f>
        <v>Apparel</v>
      </c>
      <c r="M1409" s="1">
        <f>_xlfn.XLOOKUP(C1409, 'Product Catalog'!$A:$A, 'Product Catalog'!$D:$D, 0)</f>
        <v>93.08</v>
      </c>
      <c r="N1409" s="1">
        <f t="shared" si="43"/>
        <v>186.16</v>
      </c>
    </row>
    <row r="1410" spans="1:14" x14ac:dyDescent="0.3">
      <c r="A1410" s="1" t="s">
        <v>1890</v>
      </c>
      <c r="B1410" s="1" t="s">
        <v>156</v>
      </c>
      <c r="C1410" s="1" t="s">
        <v>119</v>
      </c>
      <c r="D1410" s="1">
        <v>1</v>
      </c>
      <c r="E1410" s="12">
        <v>45679.006944444445</v>
      </c>
      <c r="F1410" s="1" t="s">
        <v>19</v>
      </c>
      <c r="G1410" s="1" t="s">
        <v>31</v>
      </c>
      <c r="H1410" s="1" t="s">
        <v>24</v>
      </c>
      <c r="I1410" s="1" t="s">
        <v>15</v>
      </c>
      <c r="J1410" s="1" t="str">
        <f t="shared" ref="J1410:J1473" si="44">TRIM(I1410)</f>
        <v>delivered</v>
      </c>
      <c r="K1410" s="1" t="str">
        <f>_xlfn.XLOOKUP(C1410, 'Product Catalog'!$A:$A, 'Product Catalog'!$B:$B, "Unknown Product")</f>
        <v>Premium Stream 1M Model G6</v>
      </c>
      <c r="L1410" s="1" t="str">
        <f>_xlfn.XLOOKUP(C1410, 'Product Catalog'!$A:$A, 'Product Catalog'!$C:$C, "Unknown Category")</f>
        <v>Digital Services</v>
      </c>
      <c r="M1410" s="1">
        <f>_xlfn.XLOOKUP(C1410, 'Product Catalog'!$A:$A, 'Product Catalog'!$D:$D, 0)</f>
        <v>47.23</v>
      </c>
      <c r="N1410" s="1">
        <f t="shared" ref="N1410:N1473" si="45">D1410 * M1410</f>
        <v>47.23</v>
      </c>
    </row>
    <row r="1411" spans="1:14" x14ac:dyDescent="0.3">
      <c r="A1411" s="1" t="s">
        <v>1891</v>
      </c>
      <c r="B1411" s="1" t="s">
        <v>178</v>
      </c>
      <c r="C1411" s="1" t="s">
        <v>402</v>
      </c>
      <c r="D1411" s="1">
        <v>1</v>
      </c>
      <c r="E1411" s="12">
        <v>45951.847916666666</v>
      </c>
      <c r="F1411" s="1" t="s">
        <v>19</v>
      </c>
      <c r="G1411" s="1" t="s">
        <v>109</v>
      </c>
      <c r="H1411" s="1" t="s">
        <v>14</v>
      </c>
      <c r="I1411" s="1" t="s">
        <v>81</v>
      </c>
      <c r="J1411" s="1" t="str">
        <f t="shared" si="44"/>
        <v>REFUNDED</v>
      </c>
      <c r="K1411" s="1" t="str">
        <f>_xlfn.XLOOKUP(C1411, 'Product Catalog'!$A:$A, 'Product Catalog'!$B:$B, "Unknown Product")</f>
        <v>Software License Tier A Model J139</v>
      </c>
      <c r="L1411" s="1" t="str">
        <f>_xlfn.XLOOKUP(C1411, 'Product Catalog'!$A:$A, 'Product Catalog'!$C:$C, "Unknown Category")</f>
        <v>Digital Services</v>
      </c>
      <c r="M1411" s="1">
        <f>_xlfn.XLOOKUP(C1411, 'Product Catalog'!$A:$A, 'Product Catalog'!$D:$D, 0)</f>
        <v>90.05</v>
      </c>
      <c r="N1411" s="1">
        <f t="shared" si="45"/>
        <v>90.05</v>
      </c>
    </row>
    <row r="1412" spans="1:14" x14ac:dyDescent="0.3">
      <c r="A1412" s="1" t="s">
        <v>1892</v>
      </c>
      <c r="B1412" s="1" t="s">
        <v>86</v>
      </c>
      <c r="C1412" s="1" t="s">
        <v>364</v>
      </c>
      <c r="D1412" s="1">
        <v>4</v>
      </c>
      <c r="E1412" s="12">
        <v>45859.763888888891</v>
      </c>
      <c r="F1412" s="1" t="s">
        <v>39</v>
      </c>
      <c r="G1412" s="1" t="s">
        <v>40</v>
      </c>
      <c r="H1412" s="1" t="s">
        <v>55</v>
      </c>
      <c r="I1412" s="1" t="s">
        <v>81</v>
      </c>
      <c r="J1412" s="1" t="str">
        <f t="shared" si="44"/>
        <v>REFUNDED</v>
      </c>
      <c r="K1412" s="1" t="str">
        <f>_xlfn.XLOOKUP(C1412, 'Product Catalog'!$A:$A, 'Product Catalog'!$B:$B, "Unknown Product")</f>
        <v>Desk Lamp Model J113</v>
      </c>
      <c r="L1412" s="1" t="str">
        <f>_xlfn.XLOOKUP(C1412, 'Product Catalog'!$A:$A, 'Product Catalog'!$C:$C, "Unknown Category")</f>
        <v>Home Goods</v>
      </c>
      <c r="M1412" s="1">
        <f>_xlfn.XLOOKUP(C1412, 'Product Catalog'!$A:$A, 'Product Catalog'!$D:$D, 0)</f>
        <v>69.489999999999995</v>
      </c>
      <c r="N1412" s="1">
        <f t="shared" si="45"/>
        <v>277.95999999999998</v>
      </c>
    </row>
    <row r="1413" spans="1:14" x14ac:dyDescent="0.3">
      <c r="A1413" s="1" t="s">
        <v>1893</v>
      </c>
      <c r="B1413" s="1" t="s">
        <v>798</v>
      </c>
      <c r="C1413" s="1" t="s">
        <v>758</v>
      </c>
      <c r="D1413" s="1">
        <v>1</v>
      </c>
      <c r="E1413" s="12">
        <v>45938.120833333334</v>
      </c>
      <c r="F1413" s="1" t="s">
        <v>12</v>
      </c>
      <c r="G1413" s="1" t="s">
        <v>109</v>
      </c>
      <c r="H1413" s="1" t="s">
        <v>41</v>
      </c>
      <c r="I1413" s="1" t="s">
        <v>15</v>
      </c>
      <c r="J1413" s="1" t="str">
        <f t="shared" si="44"/>
        <v>delivered</v>
      </c>
      <c r="K1413" s="1" t="str">
        <f>_xlfn.XLOOKUP(C1413, 'Product Catalog'!$A:$A, 'Product Catalog'!$B:$B, "Unknown Product")</f>
        <v>Cloud Storage Basic Model G110</v>
      </c>
      <c r="L1413" s="1" t="str">
        <f>_xlfn.XLOOKUP(C1413, 'Product Catalog'!$A:$A, 'Product Catalog'!$C:$C, "Unknown Category")</f>
        <v>Digital Services</v>
      </c>
      <c r="M1413" s="1">
        <f>_xlfn.XLOOKUP(C1413, 'Product Catalog'!$A:$A, 'Product Catalog'!$D:$D, 0)</f>
        <v>53.87</v>
      </c>
      <c r="N1413" s="1">
        <f t="shared" si="45"/>
        <v>53.87</v>
      </c>
    </row>
    <row r="1414" spans="1:14" x14ac:dyDescent="0.3">
      <c r="A1414" s="1" t="s">
        <v>1894</v>
      </c>
      <c r="B1414" s="1" t="s">
        <v>290</v>
      </c>
      <c r="C1414" s="1" t="s">
        <v>140</v>
      </c>
      <c r="D1414" s="1">
        <v>2</v>
      </c>
      <c r="E1414" s="12">
        <v>45814.298611111109</v>
      </c>
      <c r="F1414" s="1" t="s">
        <v>19</v>
      </c>
      <c r="G1414" s="1" t="s">
        <v>20</v>
      </c>
      <c r="H1414" s="1" t="s">
        <v>14</v>
      </c>
      <c r="I1414" s="1" t="s">
        <v>32</v>
      </c>
      <c r="J1414" s="1" t="str">
        <f t="shared" si="44"/>
        <v>SHIPPED</v>
      </c>
      <c r="K1414" s="1" t="str">
        <f>_xlfn.XLOOKUP(C1414, 'Product Catalog'!$A:$A, 'Product Catalog'!$B:$B, "Unknown Product")</f>
        <v>Blender Model H85</v>
      </c>
      <c r="L1414" s="1" t="str">
        <f>_xlfn.XLOOKUP(C1414, 'Product Catalog'!$A:$A, 'Product Catalog'!$C:$C, "Unknown Category")</f>
        <v>Home Goods</v>
      </c>
      <c r="M1414" s="1">
        <f>_xlfn.XLOOKUP(C1414, 'Product Catalog'!$A:$A, 'Product Catalog'!$D:$D, 0)</f>
        <v>130</v>
      </c>
      <c r="N1414" s="1">
        <f t="shared" si="45"/>
        <v>260</v>
      </c>
    </row>
    <row r="1415" spans="1:14" x14ac:dyDescent="0.3">
      <c r="A1415" s="1" t="s">
        <v>1895</v>
      </c>
      <c r="B1415" s="1" t="s">
        <v>298</v>
      </c>
      <c r="C1415" s="1" t="s">
        <v>407</v>
      </c>
      <c r="D1415" s="1">
        <v>3</v>
      </c>
      <c r="E1415" s="12">
        <v>45834.300694444442</v>
      </c>
      <c r="F1415" s="1" t="s">
        <v>19</v>
      </c>
      <c r="G1415" s="1" t="s">
        <v>31</v>
      </c>
      <c r="H1415" s="1" t="s">
        <v>24</v>
      </c>
      <c r="I1415" s="1" t="s">
        <v>81</v>
      </c>
      <c r="J1415" s="1" t="str">
        <f t="shared" si="44"/>
        <v>REFUNDED</v>
      </c>
      <c r="K1415" s="1" t="str">
        <f>_xlfn.XLOOKUP(C1415, 'Product Catalog'!$A:$A, 'Product Catalog'!$B:$B, "Unknown Product")</f>
        <v>Desk Lamp Model K10</v>
      </c>
      <c r="L1415" s="1" t="str">
        <f>_xlfn.XLOOKUP(C1415, 'Product Catalog'!$A:$A, 'Product Catalog'!$C:$C, "Unknown Category")</f>
        <v>Home Goods</v>
      </c>
      <c r="M1415" s="1">
        <f>_xlfn.XLOOKUP(C1415, 'Product Catalog'!$A:$A, 'Product Catalog'!$D:$D, 0)</f>
        <v>62.32</v>
      </c>
      <c r="N1415" s="1">
        <f t="shared" si="45"/>
        <v>186.96</v>
      </c>
    </row>
    <row r="1416" spans="1:14" x14ac:dyDescent="0.3">
      <c r="A1416" s="1" t="s">
        <v>1896</v>
      </c>
      <c r="B1416" s="1" t="s">
        <v>97</v>
      </c>
      <c r="C1416" s="1" t="s">
        <v>644</v>
      </c>
      <c r="D1416" s="1">
        <v>1</v>
      </c>
      <c r="E1416" s="12">
        <v>45869.918055555558</v>
      </c>
      <c r="F1416" s="1" t="s">
        <v>12</v>
      </c>
      <c r="G1416" s="1" t="s">
        <v>31</v>
      </c>
      <c r="H1416" s="1" t="s">
        <v>14</v>
      </c>
      <c r="I1416" s="1" t="s">
        <v>32</v>
      </c>
      <c r="J1416" s="1" t="str">
        <f t="shared" si="44"/>
        <v>SHIPPED</v>
      </c>
      <c r="K1416" s="1" t="str">
        <f>_xlfn.XLOOKUP(C1416, 'Product Catalog'!$A:$A, 'Product Catalog'!$B:$B, "Unknown Product")</f>
        <v>Socks Model T71</v>
      </c>
      <c r="L1416" s="1" t="str">
        <f>_xlfn.XLOOKUP(C1416, 'Product Catalog'!$A:$A, 'Product Catalog'!$C:$C, "Unknown Category")</f>
        <v>Apparel</v>
      </c>
      <c r="M1416" s="1">
        <f>_xlfn.XLOOKUP(C1416, 'Product Catalog'!$A:$A, 'Product Catalog'!$D:$D, 0)</f>
        <v>23.19</v>
      </c>
      <c r="N1416" s="1">
        <f t="shared" si="45"/>
        <v>23.19</v>
      </c>
    </row>
    <row r="1417" spans="1:14" x14ac:dyDescent="0.3">
      <c r="A1417" s="1" t="s">
        <v>1897</v>
      </c>
      <c r="B1417" s="1" t="s">
        <v>331</v>
      </c>
      <c r="C1417" s="1" t="s">
        <v>164</v>
      </c>
      <c r="D1417" s="1">
        <v>1</v>
      </c>
      <c r="E1417" s="12">
        <v>45920.20208333333</v>
      </c>
      <c r="F1417" s="1" t="s">
        <v>170</v>
      </c>
      <c r="G1417" s="1" t="s">
        <v>40</v>
      </c>
      <c r="H1417" s="1" t="s">
        <v>55</v>
      </c>
      <c r="I1417" s="1" t="s">
        <v>81</v>
      </c>
      <c r="J1417" s="1" t="str">
        <f t="shared" si="44"/>
        <v>REFUNDED</v>
      </c>
      <c r="K1417" s="1" t="str">
        <f>_xlfn.XLOOKUP(C1417, 'Product Catalog'!$A:$A, 'Product Catalog'!$B:$B, "Unknown Product")</f>
        <v>Gold Bracelet Model A26</v>
      </c>
      <c r="L1417" s="1" t="str">
        <f>_xlfn.XLOOKUP(C1417, 'Product Catalog'!$A:$A, 'Product Catalog'!$C:$C, "Unknown Category")</f>
        <v>Luxury Goods</v>
      </c>
      <c r="M1417" s="1">
        <f>_xlfn.XLOOKUP(C1417, 'Product Catalog'!$A:$A, 'Product Catalog'!$D:$D, 0)</f>
        <v>1096.3900000000001</v>
      </c>
      <c r="N1417" s="1">
        <f t="shared" si="45"/>
        <v>1096.3900000000001</v>
      </c>
    </row>
    <row r="1418" spans="1:14" x14ac:dyDescent="0.3">
      <c r="A1418" s="1" t="s">
        <v>1898</v>
      </c>
      <c r="B1418" s="1" t="s">
        <v>1031</v>
      </c>
      <c r="C1418" s="1" t="s">
        <v>879</v>
      </c>
      <c r="D1418" s="1">
        <v>1</v>
      </c>
      <c r="E1418" s="12">
        <v>45740.261111111111</v>
      </c>
      <c r="F1418" s="1" t="s">
        <v>12</v>
      </c>
      <c r="G1418" s="1" t="s">
        <v>109</v>
      </c>
      <c r="H1418" s="1" t="s">
        <v>41</v>
      </c>
      <c r="I1418" s="1" t="s">
        <v>15</v>
      </c>
      <c r="J1418" s="1" t="str">
        <f t="shared" si="44"/>
        <v>delivered</v>
      </c>
      <c r="K1418" s="1" t="str">
        <f>_xlfn.XLOOKUP(C1418, 'Product Catalog'!$A:$A, 'Product Catalog'!$B:$B, "Unknown Product")</f>
        <v>Toaster Model I8</v>
      </c>
      <c r="L1418" s="1" t="str">
        <f>_xlfn.XLOOKUP(C1418, 'Product Catalog'!$A:$A, 'Product Catalog'!$C:$C, "Unknown Category")</f>
        <v>Home Goods</v>
      </c>
      <c r="M1418" s="1">
        <f>_xlfn.XLOOKUP(C1418, 'Product Catalog'!$A:$A, 'Product Catalog'!$D:$D, 0)</f>
        <v>44.88</v>
      </c>
      <c r="N1418" s="1">
        <f t="shared" si="45"/>
        <v>44.88</v>
      </c>
    </row>
    <row r="1419" spans="1:14" x14ac:dyDescent="0.3">
      <c r="A1419" s="1" t="s">
        <v>1899</v>
      </c>
      <c r="B1419" s="1" t="s">
        <v>458</v>
      </c>
      <c r="C1419" s="1" t="s">
        <v>160</v>
      </c>
      <c r="D1419" s="1">
        <v>2</v>
      </c>
      <c r="E1419" s="12">
        <v>45771.877083333333</v>
      </c>
      <c r="F1419" s="1" t="s">
        <v>19</v>
      </c>
      <c r="G1419" s="1" t="s">
        <v>20</v>
      </c>
      <c r="H1419" s="1" t="s">
        <v>41</v>
      </c>
      <c r="I1419" s="1" t="s">
        <v>15</v>
      </c>
      <c r="J1419" s="1" t="str">
        <f t="shared" si="44"/>
        <v>delivered</v>
      </c>
      <c r="K1419" s="1" t="str">
        <f>_xlfn.XLOOKUP(C1419, 'Product Catalog'!$A:$A, 'Product Catalog'!$B:$B, "Unknown Product")</f>
        <v>Socks Model T149</v>
      </c>
      <c r="L1419" s="1" t="str">
        <f>_xlfn.XLOOKUP(C1419, 'Product Catalog'!$A:$A, 'Product Catalog'!$C:$C, "Unknown Category")</f>
        <v>Apparel</v>
      </c>
      <c r="M1419" s="1">
        <f>_xlfn.XLOOKUP(C1419, 'Product Catalog'!$A:$A, 'Product Catalog'!$D:$D, 0)</f>
        <v>45.95</v>
      </c>
      <c r="N1419" s="1">
        <f t="shared" si="45"/>
        <v>91.9</v>
      </c>
    </row>
    <row r="1420" spans="1:14" x14ac:dyDescent="0.3">
      <c r="A1420" s="1" t="s">
        <v>1900</v>
      </c>
      <c r="B1420" s="1" t="s">
        <v>829</v>
      </c>
      <c r="C1420" s="1" t="s">
        <v>87</v>
      </c>
      <c r="D1420" s="1">
        <v>4</v>
      </c>
      <c r="E1420" s="12">
        <v>45787.275694444441</v>
      </c>
      <c r="F1420" s="1" t="s">
        <v>170</v>
      </c>
      <c r="G1420" s="1" t="s">
        <v>50</v>
      </c>
      <c r="H1420" s="1" t="s">
        <v>41</v>
      </c>
      <c r="I1420" s="1" t="s">
        <v>42</v>
      </c>
      <c r="J1420" s="1" t="str">
        <f t="shared" si="44"/>
        <v>PENDING_REVIEW</v>
      </c>
      <c r="K1420" s="1" t="str">
        <f>_xlfn.XLOOKUP(C1420, 'Product Catalog'!$A:$A, 'Product Catalog'!$B:$B, "Unknown Product")</f>
        <v>T-Shirt Model S122</v>
      </c>
      <c r="L1420" s="1" t="str">
        <f>_xlfn.XLOOKUP(C1420, 'Product Catalog'!$A:$A, 'Product Catalog'!$C:$C, "Unknown Category")</f>
        <v>Apparel</v>
      </c>
      <c r="M1420" s="1">
        <f>_xlfn.XLOOKUP(C1420, 'Product Catalog'!$A:$A, 'Product Catalog'!$D:$D, 0)</f>
        <v>15.08</v>
      </c>
      <c r="N1420" s="1">
        <f t="shared" si="45"/>
        <v>60.32</v>
      </c>
    </row>
    <row r="1421" spans="1:14" x14ac:dyDescent="0.3">
      <c r="A1421" s="1" t="s">
        <v>1901</v>
      </c>
      <c r="B1421" s="1" t="s">
        <v>539</v>
      </c>
      <c r="C1421" s="1" t="s">
        <v>592</v>
      </c>
      <c r="D1421" s="1">
        <v>1</v>
      </c>
      <c r="E1421" s="12">
        <v>45716.257638888892</v>
      </c>
      <c r="F1421" s="1" t="s">
        <v>12</v>
      </c>
      <c r="G1421" s="1" t="s">
        <v>40</v>
      </c>
      <c r="H1421" s="1" t="s">
        <v>55</v>
      </c>
      <c r="I1421" s="1" t="s">
        <v>81</v>
      </c>
      <c r="J1421" s="1" t="str">
        <f t="shared" si="44"/>
        <v>REFUNDED</v>
      </c>
      <c r="K1421" s="1" t="str">
        <f>_xlfn.XLOOKUP(C1421, 'Product Catalog'!$A:$A, 'Product Catalog'!$B:$B, "Unknown Product")</f>
        <v>Blender Model Q94</v>
      </c>
      <c r="L1421" s="1" t="str">
        <f>_xlfn.XLOOKUP(C1421, 'Product Catalog'!$A:$A, 'Product Catalog'!$C:$C, "Unknown Category")</f>
        <v>Home Goods</v>
      </c>
      <c r="M1421" s="1">
        <f>_xlfn.XLOOKUP(C1421, 'Product Catalog'!$A:$A, 'Product Catalog'!$D:$D, 0)</f>
        <v>129.13</v>
      </c>
      <c r="N1421" s="1">
        <f t="shared" si="45"/>
        <v>129.13</v>
      </c>
    </row>
    <row r="1422" spans="1:14" x14ac:dyDescent="0.3">
      <c r="A1422" s="1" t="s">
        <v>1902</v>
      </c>
      <c r="B1422" s="1" t="s">
        <v>116</v>
      </c>
      <c r="C1422" s="1" t="s">
        <v>740</v>
      </c>
      <c r="D1422" s="1">
        <v>2</v>
      </c>
      <c r="E1422" s="12">
        <v>46001.806250000001</v>
      </c>
      <c r="F1422" s="1" t="s">
        <v>19</v>
      </c>
      <c r="G1422" s="1" t="s">
        <v>31</v>
      </c>
      <c r="H1422" s="1" t="s">
        <v>14</v>
      </c>
      <c r="I1422" s="1" t="s">
        <v>32</v>
      </c>
      <c r="J1422" s="1" t="str">
        <f t="shared" si="44"/>
        <v>SHIPPED</v>
      </c>
      <c r="K1422" s="1" t="str">
        <f>_xlfn.XLOOKUP(C1422, 'Product Catalog'!$A:$A, 'Product Catalog'!$B:$B, "Unknown Product")</f>
        <v>Jacket Model S44</v>
      </c>
      <c r="L1422" s="1" t="str">
        <f>_xlfn.XLOOKUP(C1422, 'Product Catalog'!$A:$A, 'Product Catalog'!$C:$C, "Unknown Category")</f>
        <v>Apparel</v>
      </c>
      <c r="M1422" s="1">
        <f>_xlfn.XLOOKUP(C1422, 'Product Catalog'!$A:$A, 'Product Catalog'!$D:$D, 0)</f>
        <v>93.08</v>
      </c>
      <c r="N1422" s="1">
        <f t="shared" si="45"/>
        <v>186.16</v>
      </c>
    </row>
    <row r="1423" spans="1:14" x14ac:dyDescent="0.3">
      <c r="A1423" s="1" t="s">
        <v>1903</v>
      </c>
      <c r="B1423" s="1" t="s">
        <v>79</v>
      </c>
      <c r="C1423" s="1" t="s">
        <v>154</v>
      </c>
      <c r="D1423" s="1">
        <v>1</v>
      </c>
      <c r="E1423" s="12">
        <v>45685.780555555553</v>
      </c>
      <c r="F1423" s="1" t="s">
        <v>19</v>
      </c>
      <c r="G1423" s="1" t="s">
        <v>31</v>
      </c>
      <c r="H1423" s="1" t="s">
        <v>41</v>
      </c>
      <c r="I1423" s="1" t="s">
        <v>15</v>
      </c>
      <c r="J1423" s="1" t="str">
        <f t="shared" si="44"/>
        <v>delivered</v>
      </c>
      <c r="K1423" s="1" t="str">
        <f>_xlfn.XLOOKUP(C1423, 'Product Catalog'!$A:$A, 'Product Catalog'!$B:$B, "Unknown Product")</f>
        <v>Desk Lamp Model N13</v>
      </c>
      <c r="L1423" s="1" t="str">
        <f>_xlfn.XLOOKUP(C1423, 'Product Catalog'!$A:$A, 'Product Catalog'!$C:$C, "Unknown Category")</f>
        <v>Home Goods</v>
      </c>
      <c r="M1423" s="1">
        <f>_xlfn.XLOOKUP(C1423, 'Product Catalog'!$A:$A, 'Product Catalog'!$D:$D, 0)</f>
        <v>50.77</v>
      </c>
      <c r="N1423" s="1">
        <f t="shared" si="45"/>
        <v>50.77</v>
      </c>
    </row>
    <row r="1424" spans="1:14" x14ac:dyDescent="0.3">
      <c r="A1424" s="1" t="s">
        <v>1904</v>
      </c>
      <c r="B1424" s="1" t="s">
        <v>484</v>
      </c>
      <c r="C1424" s="1" t="s">
        <v>49</v>
      </c>
      <c r="D1424" s="1">
        <v>1</v>
      </c>
      <c r="E1424" s="12">
        <v>45894.916666666664</v>
      </c>
      <c r="F1424" s="1" t="s">
        <v>19</v>
      </c>
      <c r="G1424" s="1" t="s">
        <v>13</v>
      </c>
      <c r="H1424" s="1" t="s">
        <v>41</v>
      </c>
      <c r="I1424" s="1" t="s">
        <v>15</v>
      </c>
      <c r="J1424" s="1" t="str">
        <f t="shared" si="44"/>
        <v>delivered</v>
      </c>
      <c r="K1424" s="1" t="str">
        <f>_xlfn.XLOOKUP(C1424, 'Product Catalog'!$A:$A, 'Product Catalog'!$B:$B, "Unknown Product")</f>
        <v>E-Book Access Model Y76</v>
      </c>
      <c r="L1424" s="1" t="str">
        <f>_xlfn.XLOOKUP(C1424, 'Product Catalog'!$A:$A, 'Product Catalog'!$C:$C, "Unknown Category")</f>
        <v>Digital Services</v>
      </c>
      <c r="M1424" s="1">
        <f>_xlfn.XLOOKUP(C1424, 'Product Catalog'!$A:$A, 'Product Catalog'!$D:$D, 0)</f>
        <v>92.33</v>
      </c>
      <c r="N1424" s="1">
        <f t="shared" si="45"/>
        <v>92.33</v>
      </c>
    </row>
    <row r="1425" spans="1:14" x14ac:dyDescent="0.3">
      <c r="A1425" s="1" t="s">
        <v>1905</v>
      </c>
      <c r="B1425" s="1" t="s">
        <v>114</v>
      </c>
      <c r="C1425" s="1" t="s">
        <v>677</v>
      </c>
      <c r="D1425" s="1">
        <v>1</v>
      </c>
      <c r="E1425" s="12">
        <v>45939.103472222225</v>
      </c>
      <c r="F1425" s="1" t="s">
        <v>12</v>
      </c>
      <c r="G1425" s="1" t="s">
        <v>46</v>
      </c>
      <c r="H1425" s="1" t="s">
        <v>41</v>
      </c>
      <c r="I1425" s="1" t="s">
        <v>15</v>
      </c>
      <c r="J1425" s="1" t="str">
        <f t="shared" si="44"/>
        <v>delivered</v>
      </c>
      <c r="K1425" s="1" t="str">
        <f>_xlfn.XLOOKUP(C1425, 'Product Catalog'!$A:$A, 'Product Catalog'!$B:$B, "Unknown Product")</f>
        <v>Charger Model Y128</v>
      </c>
      <c r="L1425" s="1" t="str">
        <f>_xlfn.XLOOKUP(C1425, 'Product Catalog'!$A:$A, 'Product Catalog'!$C:$C, "Unknown Category")</f>
        <v>Electronics</v>
      </c>
      <c r="M1425" s="1">
        <f>_xlfn.XLOOKUP(C1425, 'Product Catalog'!$A:$A, 'Product Catalog'!$D:$D, 0)</f>
        <v>46.33</v>
      </c>
      <c r="N1425" s="1">
        <f t="shared" si="45"/>
        <v>46.33</v>
      </c>
    </row>
    <row r="1426" spans="1:14" x14ac:dyDescent="0.3">
      <c r="A1426" s="1" t="s">
        <v>1906</v>
      </c>
      <c r="B1426" s="1" t="s">
        <v>439</v>
      </c>
      <c r="C1426" s="1" t="s">
        <v>334</v>
      </c>
      <c r="D1426" s="1">
        <v>1</v>
      </c>
      <c r="E1426" s="12">
        <v>45806.954861111109</v>
      </c>
      <c r="F1426" s="1" t="s">
        <v>19</v>
      </c>
      <c r="G1426" s="1" t="s">
        <v>31</v>
      </c>
      <c r="H1426" s="1" t="s">
        <v>24</v>
      </c>
      <c r="I1426" s="1" t="s">
        <v>15</v>
      </c>
      <c r="J1426" s="1" t="str">
        <f t="shared" si="44"/>
        <v>delivered</v>
      </c>
      <c r="K1426" s="1" t="str">
        <f>_xlfn.XLOOKUP(C1426, 'Product Catalog'!$A:$A, 'Product Catalog'!$B:$B, "Unknown Product")</f>
        <v>Jeans Model Q42</v>
      </c>
      <c r="L1426" s="1" t="str">
        <f>_xlfn.XLOOKUP(C1426, 'Product Catalog'!$A:$A, 'Product Catalog'!$C:$C, "Unknown Category")</f>
        <v>Apparel</v>
      </c>
      <c r="M1426" s="1">
        <f>_xlfn.XLOOKUP(C1426, 'Product Catalog'!$A:$A, 'Product Catalog'!$D:$D, 0)</f>
        <v>82.57</v>
      </c>
      <c r="N1426" s="1">
        <f t="shared" si="45"/>
        <v>82.57</v>
      </c>
    </row>
    <row r="1427" spans="1:14" x14ac:dyDescent="0.3">
      <c r="A1427" s="1" t="s">
        <v>1907</v>
      </c>
      <c r="B1427" s="1" t="s">
        <v>379</v>
      </c>
      <c r="C1427" s="1" t="s">
        <v>237</v>
      </c>
      <c r="D1427" s="1">
        <v>5</v>
      </c>
      <c r="E1427" s="12">
        <v>45692.356249999997</v>
      </c>
      <c r="F1427" s="1" t="s">
        <v>170</v>
      </c>
      <c r="G1427" s="1" t="s">
        <v>20</v>
      </c>
      <c r="H1427" s="1" t="s">
        <v>55</v>
      </c>
      <c r="I1427" s="1" t="s">
        <v>56</v>
      </c>
      <c r="J1427" s="1" t="str">
        <f t="shared" si="44"/>
        <v>cancelled</v>
      </c>
      <c r="K1427" s="1" t="str">
        <f>_xlfn.XLOOKUP(C1427, 'Product Catalog'!$A:$A, 'Product Catalog'!$B:$B, "Unknown Product")</f>
        <v>Leather Handbag Model U20</v>
      </c>
      <c r="L1427" s="1" t="str">
        <f>_xlfn.XLOOKUP(C1427, 'Product Catalog'!$A:$A, 'Product Catalog'!$C:$C, "Unknown Category")</f>
        <v>Luxury Goods</v>
      </c>
      <c r="M1427" s="1">
        <f>_xlfn.XLOOKUP(C1427, 'Product Catalog'!$A:$A, 'Product Catalog'!$D:$D, 0)</f>
        <v>1806.15</v>
      </c>
      <c r="N1427" s="1">
        <f t="shared" si="45"/>
        <v>9030.75</v>
      </c>
    </row>
    <row r="1428" spans="1:14" x14ac:dyDescent="0.3">
      <c r="A1428" s="1" t="s">
        <v>1908</v>
      </c>
      <c r="B1428" s="1" t="s">
        <v>34</v>
      </c>
      <c r="C1428" s="1" t="s">
        <v>151</v>
      </c>
      <c r="D1428" s="1">
        <v>1</v>
      </c>
      <c r="E1428" s="12">
        <v>45708.280555555553</v>
      </c>
      <c r="F1428" s="1" t="s">
        <v>19</v>
      </c>
      <c r="G1428" s="1" t="s">
        <v>20</v>
      </c>
      <c r="H1428" s="1" t="s">
        <v>24</v>
      </c>
      <c r="I1428" s="1" t="s">
        <v>15</v>
      </c>
      <c r="J1428" s="1" t="str">
        <f t="shared" si="44"/>
        <v>delivered</v>
      </c>
      <c r="K1428" s="1" t="str">
        <f>_xlfn.XLOOKUP(C1428, 'Product Catalog'!$A:$A, 'Product Catalog'!$B:$B, "Unknown Product")</f>
        <v>Hoodie Model R43</v>
      </c>
      <c r="L1428" s="1" t="str">
        <f>_xlfn.XLOOKUP(C1428, 'Product Catalog'!$A:$A, 'Product Catalog'!$C:$C, "Unknown Category")</f>
        <v>Apparel</v>
      </c>
      <c r="M1428" s="1">
        <f>_xlfn.XLOOKUP(C1428, 'Product Catalog'!$A:$A, 'Product Catalog'!$D:$D, 0)</f>
        <v>68.040000000000006</v>
      </c>
      <c r="N1428" s="1">
        <f t="shared" si="45"/>
        <v>68.040000000000006</v>
      </c>
    </row>
    <row r="1429" spans="1:14" x14ac:dyDescent="0.3">
      <c r="A1429" s="1" t="s">
        <v>1909</v>
      </c>
      <c r="B1429" s="1" t="s">
        <v>829</v>
      </c>
      <c r="C1429" s="1" t="s">
        <v>209</v>
      </c>
      <c r="D1429" s="1">
        <v>4</v>
      </c>
      <c r="E1429" s="12">
        <v>45955.692361111112</v>
      </c>
      <c r="F1429" s="1" t="s">
        <v>12</v>
      </c>
      <c r="G1429" s="1" t="s">
        <v>109</v>
      </c>
      <c r="H1429" s="1" t="s">
        <v>41</v>
      </c>
      <c r="I1429" s="1" t="s">
        <v>42</v>
      </c>
      <c r="J1429" s="1" t="str">
        <f t="shared" si="44"/>
        <v>PENDING_REVIEW</v>
      </c>
      <c r="K1429" s="1" t="str">
        <f>_xlfn.XLOOKUP(C1429, 'Product Catalog'!$A:$A, 'Product Catalog'!$B:$B, "Unknown Product")</f>
        <v>Silk Scarf Model Z129</v>
      </c>
      <c r="L1429" s="1" t="str">
        <f>_xlfn.XLOOKUP(C1429, 'Product Catalog'!$A:$A, 'Product Catalog'!$C:$C, "Unknown Category")</f>
        <v>Luxury Goods</v>
      </c>
      <c r="M1429" s="1">
        <f>_xlfn.XLOOKUP(C1429, 'Product Catalog'!$A:$A, 'Product Catalog'!$D:$D, 0)</f>
        <v>1610</v>
      </c>
      <c r="N1429" s="1">
        <f t="shared" si="45"/>
        <v>6440</v>
      </c>
    </row>
    <row r="1430" spans="1:14" x14ac:dyDescent="0.3">
      <c r="A1430" s="1" t="s">
        <v>1910</v>
      </c>
      <c r="B1430" s="1" t="s">
        <v>420</v>
      </c>
      <c r="C1430" s="1" t="s">
        <v>143</v>
      </c>
      <c r="D1430" s="1">
        <v>5</v>
      </c>
      <c r="E1430" s="12">
        <v>45827.507638888892</v>
      </c>
      <c r="F1430" s="1" t="s">
        <v>19</v>
      </c>
      <c r="G1430" s="1" t="s">
        <v>109</v>
      </c>
      <c r="H1430" s="1" t="s">
        <v>51</v>
      </c>
      <c r="I1430" s="1" t="s">
        <v>102</v>
      </c>
      <c r="J1430" s="1" t="str">
        <f t="shared" si="44"/>
        <v>disputed</v>
      </c>
      <c r="K1430" s="1" t="str">
        <f>_xlfn.XLOOKUP(C1430, 'Product Catalog'!$A:$A, 'Product Catalog'!$B:$B, "Unknown Product")</f>
        <v>Designer Watch Model D3</v>
      </c>
      <c r="L1430" s="1" t="str">
        <f>_xlfn.XLOOKUP(C1430, 'Product Catalog'!$A:$A, 'Product Catalog'!$C:$C, "Unknown Category")</f>
        <v>Luxury Goods</v>
      </c>
      <c r="M1430" s="1">
        <f>_xlfn.XLOOKUP(C1430, 'Product Catalog'!$A:$A, 'Product Catalog'!$D:$D, 0)</f>
        <v>1599.08</v>
      </c>
      <c r="N1430" s="1">
        <f t="shared" si="45"/>
        <v>7995.4</v>
      </c>
    </row>
    <row r="1431" spans="1:14" x14ac:dyDescent="0.3">
      <c r="A1431" s="1" t="s">
        <v>1911</v>
      </c>
      <c r="B1431" s="1" t="s">
        <v>820</v>
      </c>
      <c r="C1431" s="1" t="s">
        <v>203</v>
      </c>
      <c r="D1431" s="1">
        <v>1</v>
      </c>
      <c r="E1431" s="12">
        <v>45723.95416666667</v>
      </c>
      <c r="F1431" s="1" t="s">
        <v>12</v>
      </c>
      <c r="G1431" s="1" t="s">
        <v>31</v>
      </c>
      <c r="H1431" s="1" t="s">
        <v>41</v>
      </c>
      <c r="I1431" s="1" t="s">
        <v>15</v>
      </c>
      <c r="J1431" s="1" t="str">
        <f t="shared" si="44"/>
        <v>delivered</v>
      </c>
      <c r="K1431" s="1" t="str">
        <f>_xlfn.XLOOKUP(C1431, 'Product Catalog'!$A:$A, 'Product Catalog'!$B:$B, "Unknown Product")</f>
        <v>Pillow Model R17</v>
      </c>
      <c r="L1431" s="1" t="str">
        <f>_xlfn.XLOOKUP(C1431, 'Product Catalog'!$A:$A, 'Product Catalog'!$C:$C, "Unknown Category")</f>
        <v>Home Goods</v>
      </c>
      <c r="M1431" s="1">
        <f>_xlfn.XLOOKUP(C1431, 'Product Catalog'!$A:$A, 'Product Catalog'!$D:$D, 0)</f>
        <v>169.86</v>
      </c>
      <c r="N1431" s="1">
        <f t="shared" si="45"/>
        <v>169.86</v>
      </c>
    </row>
    <row r="1432" spans="1:14" x14ac:dyDescent="0.3">
      <c r="A1432" s="1" t="s">
        <v>1912</v>
      </c>
      <c r="B1432" s="1" t="s">
        <v>366</v>
      </c>
      <c r="C1432" s="1" t="s">
        <v>619</v>
      </c>
      <c r="D1432" s="1">
        <v>4</v>
      </c>
      <c r="E1432" s="12">
        <v>45993.333333333336</v>
      </c>
      <c r="F1432" s="1" t="s">
        <v>170</v>
      </c>
      <c r="G1432" s="1" t="s">
        <v>40</v>
      </c>
      <c r="H1432" s="1" t="s">
        <v>55</v>
      </c>
      <c r="I1432" s="1" t="s">
        <v>102</v>
      </c>
      <c r="J1432" s="1" t="str">
        <f t="shared" si="44"/>
        <v>disputed</v>
      </c>
      <c r="K1432" s="1" t="str">
        <f>_xlfn.XLOOKUP(C1432, 'Product Catalog'!$A:$A, 'Product Catalog'!$B:$B, "Unknown Product")</f>
        <v>Jacket Model B27</v>
      </c>
      <c r="L1432" s="1" t="str">
        <f>_xlfn.XLOOKUP(C1432, 'Product Catalog'!$A:$A, 'Product Catalog'!$C:$C, "Unknown Category")</f>
        <v>Apparel</v>
      </c>
      <c r="M1432" s="1">
        <f>_xlfn.XLOOKUP(C1432, 'Product Catalog'!$A:$A, 'Product Catalog'!$D:$D, 0)</f>
        <v>64.290000000000006</v>
      </c>
      <c r="N1432" s="1">
        <f t="shared" si="45"/>
        <v>257.16000000000003</v>
      </c>
    </row>
    <row r="1433" spans="1:14" x14ac:dyDescent="0.3">
      <c r="A1433" s="1" t="s">
        <v>1913</v>
      </c>
      <c r="B1433" s="1" t="s">
        <v>236</v>
      </c>
      <c r="C1433" s="1" t="s">
        <v>195</v>
      </c>
      <c r="D1433" s="1">
        <v>1</v>
      </c>
      <c r="E1433" s="12">
        <v>45709.404861111114</v>
      </c>
      <c r="F1433" s="1" t="s">
        <v>19</v>
      </c>
      <c r="G1433" s="1" t="s">
        <v>20</v>
      </c>
      <c r="H1433" s="1" t="s">
        <v>24</v>
      </c>
      <c r="I1433" s="1" t="s">
        <v>15</v>
      </c>
      <c r="J1433" s="1" t="str">
        <f t="shared" si="44"/>
        <v>delivered</v>
      </c>
      <c r="K1433" s="1" t="str">
        <f>_xlfn.XLOOKUP(C1433, 'Product Catalog'!$A:$A, 'Product Catalog'!$B:$B, "Unknown Product")</f>
        <v>Blender Model L89</v>
      </c>
      <c r="L1433" s="1" t="str">
        <f>_xlfn.XLOOKUP(C1433, 'Product Catalog'!$A:$A, 'Product Catalog'!$C:$C, "Unknown Category")</f>
        <v>Home Goods</v>
      </c>
      <c r="M1433" s="1">
        <f>_xlfn.XLOOKUP(C1433, 'Product Catalog'!$A:$A, 'Product Catalog'!$D:$D, 0)</f>
        <v>138.6</v>
      </c>
      <c r="N1433" s="1">
        <f t="shared" si="45"/>
        <v>138.6</v>
      </c>
    </row>
    <row r="1434" spans="1:14" x14ac:dyDescent="0.3">
      <c r="A1434" s="1" t="s">
        <v>1914</v>
      </c>
      <c r="B1434" s="1" t="s">
        <v>1021</v>
      </c>
      <c r="C1434" s="1" t="s">
        <v>216</v>
      </c>
      <c r="D1434" s="1">
        <v>1</v>
      </c>
      <c r="E1434" s="12">
        <v>45975.098611111112</v>
      </c>
      <c r="F1434" s="1" t="s">
        <v>39</v>
      </c>
      <c r="G1434" s="1" t="s">
        <v>20</v>
      </c>
      <c r="H1434" s="1" t="s">
        <v>41</v>
      </c>
      <c r="I1434" s="1" t="s">
        <v>42</v>
      </c>
      <c r="J1434" s="1" t="str">
        <f t="shared" si="44"/>
        <v>PENDING_REVIEW</v>
      </c>
      <c r="K1434" s="1" t="str">
        <f>_xlfn.XLOOKUP(C1434, 'Product Catalog'!$A:$A, 'Product Catalog'!$B:$B, "Unknown Product")</f>
        <v>Premium Perfume Model X23</v>
      </c>
      <c r="L1434" s="1" t="str">
        <f>_xlfn.XLOOKUP(C1434, 'Product Catalog'!$A:$A, 'Product Catalog'!$C:$C, "Unknown Category")</f>
        <v>Luxury Goods</v>
      </c>
      <c r="M1434" s="1">
        <f>_xlfn.XLOOKUP(C1434, 'Product Catalog'!$A:$A, 'Product Catalog'!$D:$D, 0)</f>
        <v>767.78</v>
      </c>
      <c r="N1434" s="1">
        <f t="shared" si="45"/>
        <v>767.78</v>
      </c>
    </row>
    <row r="1435" spans="1:14" x14ac:dyDescent="0.3">
      <c r="A1435" s="1" t="s">
        <v>1915</v>
      </c>
      <c r="B1435" s="1" t="s">
        <v>136</v>
      </c>
      <c r="C1435" s="1" t="s">
        <v>367</v>
      </c>
      <c r="D1435" s="1">
        <v>1</v>
      </c>
      <c r="E1435" s="12">
        <v>45757.451388888891</v>
      </c>
      <c r="F1435" s="1" t="s">
        <v>12</v>
      </c>
      <c r="G1435" s="1" t="s">
        <v>46</v>
      </c>
      <c r="H1435" s="1" t="s">
        <v>24</v>
      </c>
      <c r="I1435" s="1" t="s">
        <v>32</v>
      </c>
      <c r="J1435" s="1" t="str">
        <f t="shared" si="44"/>
        <v>SHIPPED</v>
      </c>
      <c r="K1435" s="1" t="str">
        <f>_xlfn.XLOOKUP(C1435, 'Product Catalog'!$A:$A, 'Product Catalog'!$B:$B, "Unknown Product")</f>
        <v>Cable Model P67</v>
      </c>
      <c r="L1435" s="1" t="str">
        <f>_xlfn.XLOOKUP(C1435, 'Product Catalog'!$A:$A, 'Product Catalog'!$C:$C, "Unknown Category")</f>
        <v>Electronics</v>
      </c>
      <c r="M1435" s="1">
        <f>_xlfn.XLOOKUP(C1435, 'Product Catalog'!$A:$A, 'Product Catalog'!$D:$D, 0)</f>
        <v>187.9</v>
      </c>
      <c r="N1435" s="1">
        <f t="shared" si="45"/>
        <v>187.9</v>
      </c>
    </row>
    <row r="1436" spans="1:14" x14ac:dyDescent="0.3">
      <c r="A1436" s="1" t="s">
        <v>1916</v>
      </c>
      <c r="B1436" s="1" t="s">
        <v>507</v>
      </c>
      <c r="C1436" s="1" t="s">
        <v>87</v>
      </c>
      <c r="D1436" s="1">
        <v>1</v>
      </c>
      <c r="E1436" s="12">
        <v>45906.640277777777</v>
      </c>
      <c r="F1436" s="1" t="s">
        <v>12</v>
      </c>
      <c r="G1436" s="1" t="s">
        <v>13</v>
      </c>
      <c r="H1436" s="1" t="s">
        <v>24</v>
      </c>
      <c r="I1436" s="1" t="s">
        <v>15</v>
      </c>
      <c r="J1436" s="1" t="str">
        <f t="shared" si="44"/>
        <v>delivered</v>
      </c>
      <c r="K1436" s="1" t="str">
        <f>_xlfn.XLOOKUP(C1436, 'Product Catalog'!$A:$A, 'Product Catalog'!$B:$B, "Unknown Product")</f>
        <v>T-Shirt Model S122</v>
      </c>
      <c r="L1436" s="1" t="str">
        <f>_xlfn.XLOOKUP(C1436, 'Product Catalog'!$A:$A, 'Product Catalog'!$C:$C, "Unknown Category")</f>
        <v>Apparel</v>
      </c>
      <c r="M1436" s="1">
        <f>_xlfn.XLOOKUP(C1436, 'Product Catalog'!$A:$A, 'Product Catalog'!$D:$D, 0)</f>
        <v>15.08</v>
      </c>
      <c r="N1436" s="1">
        <f t="shared" si="45"/>
        <v>15.08</v>
      </c>
    </row>
    <row r="1437" spans="1:14" x14ac:dyDescent="0.3">
      <c r="A1437" s="1" t="s">
        <v>1917</v>
      </c>
      <c r="B1437" s="1" t="s">
        <v>414</v>
      </c>
      <c r="C1437" s="1" t="s">
        <v>184</v>
      </c>
      <c r="D1437" s="1">
        <v>1</v>
      </c>
      <c r="E1437" s="12">
        <v>45826.876388888886</v>
      </c>
      <c r="F1437" s="1" t="s">
        <v>19</v>
      </c>
      <c r="G1437" s="1" t="s">
        <v>46</v>
      </c>
      <c r="H1437" s="1" t="s">
        <v>41</v>
      </c>
      <c r="I1437" s="1" t="s">
        <v>15</v>
      </c>
      <c r="J1437" s="1" t="str">
        <f t="shared" si="44"/>
        <v>delivered</v>
      </c>
      <c r="K1437" s="1" t="str">
        <f>_xlfn.XLOOKUP(C1437, 'Product Catalog'!$A:$A, 'Product Catalog'!$B:$B, "Unknown Product")</f>
        <v>Jacket Model O40</v>
      </c>
      <c r="L1437" s="1" t="str">
        <f>_xlfn.XLOOKUP(C1437, 'Product Catalog'!$A:$A, 'Product Catalog'!$C:$C, "Unknown Category")</f>
        <v>Apparel</v>
      </c>
      <c r="M1437" s="1">
        <f>_xlfn.XLOOKUP(C1437, 'Product Catalog'!$A:$A, 'Product Catalog'!$D:$D, 0)</f>
        <v>114.16</v>
      </c>
      <c r="N1437" s="1">
        <f t="shared" si="45"/>
        <v>114.16</v>
      </c>
    </row>
    <row r="1438" spans="1:14" x14ac:dyDescent="0.3">
      <c r="A1438" s="1" t="s">
        <v>1918</v>
      </c>
      <c r="B1438" s="1" t="s">
        <v>1031</v>
      </c>
      <c r="C1438" s="1" t="s">
        <v>357</v>
      </c>
      <c r="D1438" s="1">
        <v>1</v>
      </c>
      <c r="E1438" s="12">
        <v>45995.43472222222</v>
      </c>
      <c r="F1438" s="1" t="s">
        <v>19</v>
      </c>
      <c r="G1438" s="1" t="s">
        <v>46</v>
      </c>
      <c r="H1438" s="1" t="s">
        <v>14</v>
      </c>
      <c r="I1438" s="1" t="s">
        <v>15</v>
      </c>
      <c r="J1438" s="1" t="str">
        <f t="shared" si="44"/>
        <v>delivered</v>
      </c>
      <c r="K1438" s="1" t="str">
        <f>_xlfn.XLOOKUP(C1438, 'Product Catalog'!$A:$A, 'Product Catalog'!$B:$B, "Unknown Product")</f>
        <v>Blender Model C106</v>
      </c>
      <c r="L1438" s="1" t="str">
        <f>_xlfn.XLOOKUP(C1438, 'Product Catalog'!$A:$A, 'Product Catalog'!$C:$C, "Unknown Category")</f>
        <v>Home Goods</v>
      </c>
      <c r="M1438" s="1">
        <f>_xlfn.XLOOKUP(C1438, 'Product Catalog'!$A:$A, 'Product Catalog'!$D:$D, 0)</f>
        <v>112.89</v>
      </c>
      <c r="N1438" s="1">
        <f t="shared" si="45"/>
        <v>112.89</v>
      </c>
    </row>
    <row r="1439" spans="1:14" x14ac:dyDescent="0.3">
      <c r="A1439" s="1" t="s">
        <v>1919</v>
      </c>
      <c r="B1439" s="1" t="s">
        <v>277</v>
      </c>
      <c r="C1439" s="1" t="s">
        <v>38</v>
      </c>
      <c r="D1439" s="1">
        <v>4</v>
      </c>
      <c r="E1439" s="12">
        <v>46013.830555555556</v>
      </c>
      <c r="F1439" s="1" t="s">
        <v>12</v>
      </c>
      <c r="G1439" s="1" t="s">
        <v>40</v>
      </c>
      <c r="H1439" s="1" t="s">
        <v>41</v>
      </c>
      <c r="I1439" s="1" t="s">
        <v>42</v>
      </c>
      <c r="J1439" s="1" t="str">
        <f t="shared" si="44"/>
        <v>PENDING_REVIEW</v>
      </c>
      <c r="K1439" s="1" t="str">
        <f>_xlfn.XLOOKUP(C1439, 'Product Catalog'!$A:$A, 'Product Catalog'!$B:$B, "Unknown Product")</f>
        <v>VPN 6-Month Pass Model V73</v>
      </c>
      <c r="L1439" s="1" t="str">
        <f>_xlfn.XLOOKUP(C1439, 'Product Catalog'!$A:$A, 'Product Catalog'!$C:$C, "Unknown Category")</f>
        <v>Digital Services</v>
      </c>
      <c r="M1439" s="1">
        <f>_xlfn.XLOOKUP(C1439, 'Product Catalog'!$A:$A, 'Product Catalog'!$D:$D, 0)</f>
        <v>58.13</v>
      </c>
      <c r="N1439" s="1">
        <f t="shared" si="45"/>
        <v>232.52</v>
      </c>
    </row>
    <row r="1440" spans="1:14" x14ac:dyDescent="0.3">
      <c r="A1440" s="1" t="s">
        <v>1920</v>
      </c>
      <c r="B1440" s="1" t="s">
        <v>26</v>
      </c>
      <c r="C1440" s="1" t="s">
        <v>173</v>
      </c>
      <c r="D1440" s="1">
        <v>5</v>
      </c>
      <c r="E1440" s="12">
        <v>45736.804166666669</v>
      </c>
      <c r="F1440" s="1" t="s">
        <v>170</v>
      </c>
      <c r="G1440" s="1" t="s">
        <v>13</v>
      </c>
      <c r="H1440" s="1" t="s">
        <v>41</v>
      </c>
      <c r="I1440" s="1" t="s">
        <v>102</v>
      </c>
      <c r="J1440" s="1" t="str">
        <f t="shared" si="44"/>
        <v>disputed</v>
      </c>
      <c r="K1440" s="1" t="str">
        <f>_xlfn.XLOOKUP(C1440, 'Product Catalog'!$A:$A, 'Product Catalog'!$B:$B, "Unknown Product")</f>
        <v>Premium Perfume Model Q120</v>
      </c>
      <c r="L1440" s="1" t="str">
        <f>_xlfn.XLOOKUP(C1440, 'Product Catalog'!$A:$A, 'Product Catalog'!$C:$C, "Unknown Category")</f>
        <v>Luxury Goods</v>
      </c>
      <c r="M1440" s="1">
        <f>_xlfn.XLOOKUP(C1440, 'Product Catalog'!$A:$A, 'Product Catalog'!$D:$D, 0)</f>
        <v>505.45</v>
      </c>
      <c r="N1440" s="1">
        <f t="shared" si="45"/>
        <v>2527.25</v>
      </c>
    </row>
    <row r="1441" spans="1:14" x14ac:dyDescent="0.3">
      <c r="A1441" s="1" t="s">
        <v>1921</v>
      </c>
      <c r="B1441" s="1" t="s">
        <v>422</v>
      </c>
      <c r="C1441" s="1" t="s">
        <v>749</v>
      </c>
      <c r="D1441" s="1">
        <v>1</v>
      </c>
      <c r="E1441" s="12">
        <v>45948.518055555556</v>
      </c>
      <c r="F1441" s="1" t="s">
        <v>19</v>
      </c>
      <c r="G1441" s="1" t="s">
        <v>13</v>
      </c>
      <c r="H1441" s="1" t="s">
        <v>14</v>
      </c>
      <c r="I1441" s="1" t="s">
        <v>15</v>
      </c>
      <c r="J1441" s="1" t="str">
        <f t="shared" si="44"/>
        <v>delivered</v>
      </c>
      <c r="K1441" s="1" t="str">
        <f>_xlfn.XLOOKUP(C1441, 'Product Catalog'!$A:$A, 'Product Catalog'!$B:$B, "Unknown Product")</f>
        <v>VPN 6-Month Pass Model A130</v>
      </c>
      <c r="L1441" s="1" t="str">
        <f>_xlfn.XLOOKUP(C1441, 'Product Catalog'!$A:$A, 'Product Catalog'!$C:$C, "Unknown Category")</f>
        <v>Digital Services</v>
      </c>
      <c r="M1441" s="1">
        <f>_xlfn.XLOOKUP(C1441, 'Product Catalog'!$A:$A, 'Product Catalog'!$D:$D, 0)</f>
        <v>81.61</v>
      </c>
      <c r="N1441" s="1">
        <f t="shared" si="45"/>
        <v>81.61</v>
      </c>
    </row>
    <row r="1442" spans="1:14" x14ac:dyDescent="0.3">
      <c r="A1442" s="1" t="s">
        <v>1922</v>
      </c>
      <c r="B1442" s="1" t="s">
        <v>1106</v>
      </c>
      <c r="C1442" s="1" t="s">
        <v>190</v>
      </c>
      <c r="D1442" s="1">
        <v>4</v>
      </c>
      <c r="E1442" s="12">
        <v>45819.609027777777</v>
      </c>
      <c r="F1442" s="1" t="s">
        <v>170</v>
      </c>
      <c r="G1442" s="1" t="s">
        <v>50</v>
      </c>
      <c r="H1442" s="1" t="s">
        <v>41</v>
      </c>
      <c r="I1442" s="1" t="s">
        <v>42</v>
      </c>
      <c r="J1442" s="1" t="str">
        <f t="shared" si="44"/>
        <v>PENDING_REVIEW</v>
      </c>
      <c r="K1442" s="1" t="str">
        <f>_xlfn.XLOOKUP(C1442, 'Product Catalog'!$A:$A, 'Product Catalog'!$B:$B, "Unknown Product")</f>
        <v>Silk Scarf Model A52</v>
      </c>
      <c r="L1442" s="1" t="str">
        <f>_xlfn.XLOOKUP(C1442, 'Product Catalog'!$A:$A, 'Product Catalog'!$C:$C, "Unknown Category")</f>
        <v>Luxury Goods</v>
      </c>
      <c r="M1442" s="1">
        <f>_xlfn.XLOOKUP(C1442, 'Product Catalog'!$A:$A, 'Product Catalog'!$D:$D, 0)</f>
        <v>1339.88</v>
      </c>
      <c r="N1442" s="1">
        <f t="shared" si="45"/>
        <v>5359.52</v>
      </c>
    </row>
    <row r="1443" spans="1:14" x14ac:dyDescent="0.3">
      <c r="A1443" s="1" t="s">
        <v>1923</v>
      </c>
      <c r="B1443" s="1" t="s">
        <v>977</v>
      </c>
      <c r="C1443" s="1" t="s">
        <v>154</v>
      </c>
      <c r="D1443" s="1">
        <v>2</v>
      </c>
      <c r="E1443" s="12">
        <v>45744.006249999999</v>
      </c>
      <c r="F1443" s="1" t="s">
        <v>12</v>
      </c>
      <c r="G1443" s="1" t="s">
        <v>31</v>
      </c>
      <c r="H1443" s="1" t="s">
        <v>14</v>
      </c>
      <c r="I1443" s="1" t="s">
        <v>56</v>
      </c>
      <c r="J1443" s="1" t="str">
        <f t="shared" si="44"/>
        <v>cancelled</v>
      </c>
      <c r="K1443" s="1" t="str">
        <f>_xlfn.XLOOKUP(C1443, 'Product Catalog'!$A:$A, 'Product Catalog'!$B:$B, "Unknown Product")</f>
        <v>Desk Lamp Model N13</v>
      </c>
      <c r="L1443" s="1" t="str">
        <f>_xlfn.XLOOKUP(C1443, 'Product Catalog'!$A:$A, 'Product Catalog'!$C:$C, "Unknown Category")</f>
        <v>Home Goods</v>
      </c>
      <c r="M1443" s="1">
        <f>_xlfn.XLOOKUP(C1443, 'Product Catalog'!$A:$A, 'Product Catalog'!$D:$D, 0)</f>
        <v>50.77</v>
      </c>
      <c r="N1443" s="1">
        <f t="shared" si="45"/>
        <v>101.54</v>
      </c>
    </row>
    <row r="1444" spans="1:14" x14ac:dyDescent="0.3">
      <c r="A1444" s="1" t="s">
        <v>1924</v>
      </c>
      <c r="B1444" s="1" t="s">
        <v>442</v>
      </c>
      <c r="C1444" s="1" t="s">
        <v>399</v>
      </c>
      <c r="D1444" s="1">
        <v>1</v>
      </c>
      <c r="E1444" s="12">
        <v>45818.35</v>
      </c>
      <c r="F1444" s="1" t="s">
        <v>12</v>
      </c>
      <c r="G1444" s="1" t="s">
        <v>31</v>
      </c>
      <c r="H1444" s="1" t="s">
        <v>41</v>
      </c>
      <c r="I1444" s="1" t="s">
        <v>15</v>
      </c>
      <c r="J1444" s="1" t="str">
        <f t="shared" si="44"/>
        <v>delivered</v>
      </c>
      <c r="K1444" s="1" t="str">
        <f>_xlfn.XLOOKUP(C1444, 'Product Catalog'!$A:$A, 'Product Catalog'!$B:$B, "Unknown Product")</f>
        <v>E-Book Access Model W22</v>
      </c>
      <c r="L1444" s="1" t="str">
        <f>_xlfn.XLOOKUP(C1444, 'Product Catalog'!$A:$A, 'Product Catalog'!$C:$C, "Unknown Category")</f>
        <v>Digital Services</v>
      </c>
      <c r="M1444" s="1">
        <f>_xlfn.XLOOKUP(C1444, 'Product Catalog'!$A:$A, 'Product Catalog'!$D:$D, 0)</f>
        <v>11.22</v>
      </c>
      <c r="N1444" s="1">
        <f t="shared" si="45"/>
        <v>11.22</v>
      </c>
    </row>
    <row r="1445" spans="1:14" x14ac:dyDescent="0.3">
      <c r="A1445" s="1" t="s">
        <v>1925</v>
      </c>
      <c r="B1445" s="1" t="s">
        <v>640</v>
      </c>
      <c r="C1445" s="1" t="s">
        <v>935</v>
      </c>
      <c r="D1445" s="1">
        <v>1</v>
      </c>
      <c r="E1445" s="12">
        <v>45771.911111111112</v>
      </c>
      <c r="F1445" s="1" t="s">
        <v>19</v>
      </c>
      <c r="G1445" s="1" t="s">
        <v>46</v>
      </c>
      <c r="H1445" s="1" t="s">
        <v>14</v>
      </c>
      <c r="I1445" s="1" t="s">
        <v>15</v>
      </c>
      <c r="J1445" s="1" t="str">
        <f t="shared" si="44"/>
        <v>delivered</v>
      </c>
      <c r="K1445" s="1" t="str">
        <f>_xlfn.XLOOKUP(C1445, 'Product Catalog'!$A:$A, 'Product Catalog'!$B:$B, "Unknown Product")</f>
        <v>Cloud Storage Basic Model L141</v>
      </c>
      <c r="L1445" s="1" t="str">
        <f>_xlfn.XLOOKUP(C1445, 'Product Catalog'!$A:$A, 'Product Catalog'!$C:$C, "Unknown Category")</f>
        <v>Digital Services</v>
      </c>
      <c r="M1445" s="1">
        <f>_xlfn.XLOOKUP(C1445, 'Product Catalog'!$A:$A, 'Product Catalog'!$D:$D, 0)</f>
        <v>93.62</v>
      </c>
      <c r="N1445" s="1">
        <f t="shared" si="45"/>
        <v>93.62</v>
      </c>
    </row>
    <row r="1446" spans="1:14" x14ac:dyDescent="0.3">
      <c r="A1446" s="1" t="s">
        <v>1926</v>
      </c>
      <c r="B1446" s="1" t="s">
        <v>652</v>
      </c>
      <c r="C1446" s="1" t="s">
        <v>320</v>
      </c>
      <c r="D1446" s="1">
        <v>5</v>
      </c>
      <c r="E1446" s="12">
        <v>45881.393055555556</v>
      </c>
      <c r="F1446" s="1" t="s">
        <v>12</v>
      </c>
      <c r="G1446" s="1" t="s">
        <v>50</v>
      </c>
      <c r="H1446" s="1" t="s">
        <v>55</v>
      </c>
      <c r="I1446" s="1" t="s">
        <v>102</v>
      </c>
      <c r="J1446" s="1" t="str">
        <f t="shared" si="44"/>
        <v>disputed</v>
      </c>
      <c r="K1446" s="1" t="str">
        <f>_xlfn.XLOOKUP(C1446, 'Product Catalog'!$A:$A, 'Product Catalog'!$B:$B, "Unknown Product")</f>
        <v>Premium Stream 1M Model Y24</v>
      </c>
      <c r="L1446" s="1" t="str">
        <f>_xlfn.XLOOKUP(C1446, 'Product Catalog'!$A:$A, 'Product Catalog'!$C:$C, "Unknown Category")</f>
        <v>Digital Services</v>
      </c>
      <c r="M1446" s="1">
        <f>_xlfn.XLOOKUP(C1446, 'Product Catalog'!$A:$A, 'Product Catalog'!$D:$D, 0)</f>
        <v>29.9</v>
      </c>
      <c r="N1446" s="1">
        <f t="shared" si="45"/>
        <v>149.5</v>
      </c>
    </row>
    <row r="1447" spans="1:14" x14ac:dyDescent="0.3">
      <c r="A1447" s="1" t="s">
        <v>1927</v>
      </c>
      <c r="B1447" s="1" t="s">
        <v>611</v>
      </c>
      <c r="C1447" s="1" t="s">
        <v>565</v>
      </c>
      <c r="D1447" s="1">
        <v>4</v>
      </c>
      <c r="E1447" s="12">
        <v>45842.190972222219</v>
      </c>
      <c r="F1447" s="1" t="s">
        <v>19</v>
      </c>
      <c r="G1447" s="1" t="s">
        <v>40</v>
      </c>
      <c r="H1447" s="1" t="s">
        <v>51</v>
      </c>
      <c r="I1447" s="1" t="s">
        <v>81</v>
      </c>
      <c r="J1447" s="1" t="str">
        <f t="shared" si="44"/>
        <v>REFUNDED</v>
      </c>
      <c r="K1447" s="1" t="str">
        <f>_xlfn.XLOOKUP(C1447, 'Product Catalog'!$A:$A, 'Product Catalog'!$B:$B, "Unknown Product")</f>
        <v>Mug Model X75</v>
      </c>
      <c r="L1447" s="1" t="str">
        <f>_xlfn.XLOOKUP(C1447, 'Product Catalog'!$A:$A, 'Product Catalog'!$C:$C, "Unknown Category")</f>
        <v>Home Goods</v>
      </c>
      <c r="M1447" s="1">
        <f>_xlfn.XLOOKUP(C1447, 'Product Catalog'!$A:$A, 'Product Catalog'!$D:$D, 0)</f>
        <v>40.94</v>
      </c>
      <c r="N1447" s="1">
        <f t="shared" si="45"/>
        <v>163.76</v>
      </c>
    </row>
    <row r="1448" spans="1:14" x14ac:dyDescent="0.3">
      <c r="A1448" s="1" t="s">
        <v>1928</v>
      </c>
      <c r="B1448" s="1" t="s">
        <v>555</v>
      </c>
      <c r="C1448" s="1" t="s">
        <v>452</v>
      </c>
      <c r="D1448" s="1">
        <v>1</v>
      </c>
      <c r="E1448" s="12">
        <v>46005.47152777778</v>
      </c>
      <c r="F1448" s="1" t="s">
        <v>19</v>
      </c>
      <c r="G1448" s="1" t="s">
        <v>50</v>
      </c>
      <c r="H1448" s="1" t="s">
        <v>55</v>
      </c>
      <c r="I1448" s="1" t="s">
        <v>81</v>
      </c>
      <c r="J1448" s="1" t="str">
        <f t="shared" si="44"/>
        <v>REFUNDED</v>
      </c>
      <c r="K1448" s="1" t="str">
        <f>_xlfn.XLOOKUP(C1448, 'Product Catalog'!$A:$A, 'Product Catalog'!$B:$B, "Unknown Product")</f>
        <v>E-Book Access Model U150</v>
      </c>
      <c r="L1448" s="1" t="str">
        <f>_xlfn.XLOOKUP(C1448, 'Product Catalog'!$A:$A, 'Product Catalog'!$C:$C, "Unknown Category")</f>
        <v>Digital Services</v>
      </c>
      <c r="M1448" s="1">
        <f>_xlfn.XLOOKUP(C1448, 'Product Catalog'!$A:$A, 'Product Catalog'!$D:$D, 0)</f>
        <v>75.69</v>
      </c>
      <c r="N1448" s="1">
        <f t="shared" si="45"/>
        <v>75.69</v>
      </c>
    </row>
    <row r="1449" spans="1:14" x14ac:dyDescent="0.3">
      <c r="A1449" s="1" t="s">
        <v>1929</v>
      </c>
      <c r="B1449" s="1" t="s">
        <v>689</v>
      </c>
      <c r="C1449" s="1" t="s">
        <v>512</v>
      </c>
      <c r="D1449" s="1">
        <v>4</v>
      </c>
      <c r="E1449" s="12">
        <v>45903.657638888886</v>
      </c>
      <c r="F1449" s="1" t="s">
        <v>12</v>
      </c>
      <c r="G1449" s="1" t="s">
        <v>31</v>
      </c>
      <c r="H1449" s="1" t="s">
        <v>41</v>
      </c>
      <c r="I1449" s="1" t="s">
        <v>42</v>
      </c>
      <c r="J1449" s="1" t="str">
        <f t="shared" si="44"/>
        <v>PENDING_REVIEW</v>
      </c>
      <c r="K1449" s="1" t="str">
        <f>_xlfn.XLOOKUP(C1449, 'Product Catalog'!$A:$A, 'Product Catalog'!$B:$B, "Unknown Product")</f>
        <v>Designer Watch Model M116</v>
      </c>
      <c r="L1449" s="1" t="str">
        <f>_xlfn.XLOOKUP(C1449, 'Product Catalog'!$A:$A, 'Product Catalog'!$C:$C, "Unknown Category")</f>
        <v>Luxury Goods</v>
      </c>
      <c r="M1449" s="1">
        <f>_xlfn.XLOOKUP(C1449, 'Product Catalog'!$A:$A, 'Product Catalog'!$D:$D, 0)</f>
        <v>968.52</v>
      </c>
      <c r="N1449" s="1">
        <f t="shared" si="45"/>
        <v>3874.08</v>
      </c>
    </row>
    <row r="1450" spans="1:14" x14ac:dyDescent="0.3">
      <c r="A1450" s="1" t="s">
        <v>1930</v>
      </c>
      <c r="B1450" s="1" t="s">
        <v>997</v>
      </c>
      <c r="C1450" s="1" t="s">
        <v>446</v>
      </c>
      <c r="D1450" s="1">
        <v>4</v>
      </c>
      <c r="E1450" s="12">
        <v>45886.509722222225</v>
      </c>
      <c r="F1450" s="1" t="s">
        <v>170</v>
      </c>
      <c r="G1450" s="1" t="s">
        <v>31</v>
      </c>
      <c r="H1450" s="1" t="s">
        <v>41</v>
      </c>
      <c r="I1450" s="1" t="s">
        <v>42</v>
      </c>
      <c r="J1450" s="1" t="str">
        <f t="shared" si="44"/>
        <v>PENDING_REVIEW</v>
      </c>
      <c r="K1450" s="1" t="str">
        <f>_xlfn.XLOOKUP(C1450, 'Product Catalog'!$A:$A, 'Product Catalog'!$B:$B, "Unknown Product")</f>
        <v>Silk Scarf Model K36</v>
      </c>
      <c r="L1450" s="1" t="str">
        <f>_xlfn.XLOOKUP(C1450, 'Product Catalog'!$A:$A, 'Product Catalog'!$C:$C, "Unknown Category")</f>
        <v>Luxury Goods</v>
      </c>
      <c r="M1450" s="1">
        <f>_xlfn.XLOOKUP(C1450, 'Product Catalog'!$A:$A, 'Product Catalog'!$D:$D, 0)</f>
        <v>737.6</v>
      </c>
      <c r="N1450" s="1">
        <f t="shared" si="45"/>
        <v>2950.4</v>
      </c>
    </row>
    <row r="1451" spans="1:14" x14ac:dyDescent="0.3">
      <c r="A1451" s="1" t="s">
        <v>1931</v>
      </c>
      <c r="B1451" s="1" t="s">
        <v>886</v>
      </c>
      <c r="C1451" s="1" t="s">
        <v>367</v>
      </c>
      <c r="D1451" s="1">
        <v>1</v>
      </c>
      <c r="E1451" s="12">
        <v>45814.692361111112</v>
      </c>
      <c r="F1451" s="1" t="s">
        <v>19</v>
      </c>
      <c r="G1451" s="1" t="s">
        <v>46</v>
      </c>
      <c r="H1451" s="1" t="s">
        <v>41</v>
      </c>
      <c r="I1451" s="1" t="s">
        <v>15</v>
      </c>
      <c r="J1451" s="1" t="str">
        <f t="shared" si="44"/>
        <v>delivered</v>
      </c>
      <c r="K1451" s="1" t="str">
        <f>_xlfn.XLOOKUP(C1451, 'Product Catalog'!$A:$A, 'Product Catalog'!$B:$B, "Unknown Product")</f>
        <v>Cable Model P67</v>
      </c>
      <c r="L1451" s="1" t="str">
        <f>_xlfn.XLOOKUP(C1451, 'Product Catalog'!$A:$A, 'Product Catalog'!$C:$C, "Unknown Category")</f>
        <v>Electronics</v>
      </c>
      <c r="M1451" s="1">
        <f>_xlfn.XLOOKUP(C1451, 'Product Catalog'!$A:$A, 'Product Catalog'!$D:$D, 0)</f>
        <v>187.9</v>
      </c>
      <c r="N1451" s="1">
        <f t="shared" si="45"/>
        <v>187.9</v>
      </c>
    </row>
    <row r="1452" spans="1:14" x14ac:dyDescent="0.3">
      <c r="A1452" s="1" t="s">
        <v>1932</v>
      </c>
      <c r="B1452" s="1" t="s">
        <v>584</v>
      </c>
      <c r="C1452" s="1" t="s">
        <v>527</v>
      </c>
      <c r="D1452" s="1">
        <v>4</v>
      </c>
      <c r="E1452" s="12">
        <v>45940.154166666667</v>
      </c>
      <c r="F1452" s="1" t="s">
        <v>170</v>
      </c>
      <c r="G1452" s="1" t="s">
        <v>40</v>
      </c>
      <c r="H1452" s="1" t="s">
        <v>55</v>
      </c>
      <c r="I1452" s="1" t="s">
        <v>42</v>
      </c>
      <c r="J1452" s="1" t="str">
        <f t="shared" si="44"/>
        <v>PENDING_REVIEW</v>
      </c>
      <c r="K1452" s="1" t="str">
        <f>_xlfn.XLOOKUP(C1452, 'Product Catalog'!$A:$A, 'Product Catalog'!$B:$B, "Unknown Product")</f>
        <v>Leather Handbag Model S96</v>
      </c>
      <c r="L1452" s="1" t="str">
        <f>_xlfn.XLOOKUP(C1452, 'Product Catalog'!$A:$A, 'Product Catalog'!$C:$C, "Unknown Category")</f>
        <v>Luxury Goods</v>
      </c>
      <c r="M1452" s="1">
        <f>_xlfn.XLOOKUP(C1452, 'Product Catalog'!$A:$A, 'Product Catalog'!$D:$D, 0)</f>
        <v>2336.6799999999998</v>
      </c>
      <c r="N1452" s="1">
        <f t="shared" si="45"/>
        <v>9346.7199999999993</v>
      </c>
    </row>
    <row r="1453" spans="1:14" x14ac:dyDescent="0.3">
      <c r="A1453" s="1" t="s">
        <v>1933</v>
      </c>
      <c r="B1453" s="1" t="s">
        <v>480</v>
      </c>
      <c r="C1453" s="1" t="s">
        <v>68</v>
      </c>
      <c r="D1453" s="1">
        <v>1</v>
      </c>
      <c r="E1453" s="12">
        <v>45747.918055555558</v>
      </c>
      <c r="F1453" s="1" t="s">
        <v>170</v>
      </c>
      <c r="G1453" s="1" t="s">
        <v>40</v>
      </c>
      <c r="H1453" s="1" t="s">
        <v>41</v>
      </c>
      <c r="I1453" s="1" t="s">
        <v>102</v>
      </c>
      <c r="J1453" s="1" t="str">
        <f t="shared" si="44"/>
        <v>disputed</v>
      </c>
      <c r="K1453" s="1" t="str">
        <f>_xlfn.XLOOKUP(C1453, 'Product Catalog'!$A:$A, 'Product Catalog'!$B:$B, "Unknown Product")</f>
        <v>Premium Perfume Model G32</v>
      </c>
      <c r="L1453" s="1" t="str">
        <f>_xlfn.XLOOKUP(C1453, 'Product Catalog'!$A:$A, 'Product Catalog'!$C:$C, "Unknown Category")</f>
        <v>Luxury Goods</v>
      </c>
      <c r="M1453" s="1">
        <f>_xlfn.XLOOKUP(C1453, 'Product Catalog'!$A:$A, 'Product Catalog'!$D:$D, 0)</f>
        <v>1990.92</v>
      </c>
      <c r="N1453" s="1">
        <f t="shared" si="45"/>
        <v>1990.92</v>
      </c>
    </row>
    <row r="1454" spans="1:14" x14ac:dyDescent="0.3">
      <c r="A1454" s="1" t="s">
        <v>1934</v>
      </c>
      <c r="B1454" s="1" t="s">
        <v>950</v>
      </c>
      <c r="C1454" s="1" t="s">
        <v>359</v>
      </c>
      <c r="D1454" s="1">
        <v>1</v>
      </c>
      <c r="E1454" s="12">
        <v>45968.115972222222</v>
      </c>
      <c r="F1454" s="1" t="s">
        <v>12</v>
      </c>
      <c r="G1454" s="1" t="s">
        <v>20</v>
      </c>
      <c r="H1454" s="1" t="s">
        <v>14</v>
      </c>
      <c r="I1454" s="1" t="s">
        <v>15</v>
      </c>
      <c r="J1454" s="1" t="str">
        <f t="shared" si="44"/>
        <v>delivered</v>
      </c>
      <c r="K1454" s="1" t="str">
        <f>_xlfn.XLOOKUP(C1454, 'Product Catalog'!$A:$A, 'Product Catalog'!$B:$B, "Unknown Product")</f>
        <v>Hoodie Model H111</v>
      </c>
      <c r="L1454" s="1" t="str">
        <f>_xlfn.XLOOKUP(C1454, 'Product Catalog'!$A:$A, 'Product Catalog'!$C:$C, "Unknown Category")</f>
        <v>Apparel</v>
      </c>
      <c r="M1454" s="1">
        <f>_xlfn.XLOOKUP(C1454, 'Product Catalog'!$A:$A, 'Product Catalog'!$D:$D, 0)</f>
        <v>57.44</v>
      </c>
      <c r="N1454" s="1">
        <f t="shared" si="45"/>
        <v>57.44</v>
      </c>
    </row>
    <row r="1455" spans="1:14" x14ac:dyDescent="0.3">
      <c r="A1455" s="1" t="s">
        <v>1935</v>
      </c>
      <c r="B1455" s="1" t="s">
        <v>246</v>
      </c>
      <c r="C1455" s="1" t="s">
        <v>190</v>
      </c>
      <c r="D1455" s="1">
        <v>4</v>
      </c>
      <c r="E1455" s="12">
        <v>45801.198611111111</v>
      </c>
      <c r="F1455" s="1" t="s">
        <v>12</v>
      </c>
      <c r="G1455" s="1" t="s">
        <v>109</v>
      </c>
      <c r="H1455" s="1" t="s">
        <v>51</v>
      </c>
      <c r="I1455" s="1" t="s">
        <v>56</v>
      </c>
      <c r="J1455" s="1" t="str">
        <f t="shared" si="44"/>
        <v>cancelled</v>
      </c>
      <c r="K1455" s="1" t="str">
        <f>_xlfn.XLOOKUP(C1455, 'Product Catalog'!$A:$A, 'Product Catalog'!$B:$B, "Unknown Product")</f>
        <v>Silk Scarf Model A52</v>
      </c>
      <c r="L1455" s="1" t="str">
        <f>_xlfn.XLOOKUP(C1455, 'Product Catalog'!$A:$A, 'Product Catalog'!$C:$C, "Unknown Category")</f>
        <v>Luxury Goods</v>
      </c>
      <c r="M1455" s="1">
        <f>_xlfn.XLOOKUP(C1455, 'Product Catalog'!$A:$A, 'Product Catalog'!$D:$D, 0)</f>
        <v>1339.88</v>
      </c>
      <c r="N1455" s="1">
        <f t="shared" si="45"/>
        <v>5359.52</v>
      </c>
    </row>
    <row r="1456" spans="1:14" x14ac:dyDescent="0.3">
      <c r="A1456" s="1" t="s">
        <v>1936</v>
      </c>
      <c r="B1456" s="1" t="s">
        <v>429</v>
      </c>
      <c r="C1456" s="1" t="s">
        <v>65</v>
      </c>
      <c r="D1456" s="1">
        <v>3</v>
      </c>
      <c r="E1456" s="12">
        <v>45933.279166666667</v>
      </c>
      <c r="F1456" s="1" t="s">
        <v>19</v>
      </c>
      <c r="G1456" s="1" t="s">
        <v>13</v>
      </c>
      <c r="H1456" s="1" t="s">
        <v>14</v>
      </c>
      <c r="I1456" s="1" t="s">
        <v>56</v>
      </c>
      <c r="J1456" s="1" t="str">
        <f t="shared" si="44"/>
        <v>cancelled</v>
      </c>
      <c r="K1456" s="1" t="str">
        <f>_xlfn.XLOOKUP(C1456, 'Product Catalog'!$A:$A, 'Product Catalog'!$B:$B, "Unknown Product")</f>
        <v>Cap Model T97</v>
      </c>
      <c r="L1456" s="1" t="str">
        <f>_xlfn.XLOOKUP(C1456, 'Product Catalog'!$A:$A, 'Product Catalog'!$C:$C, "Unknown Category")</f>
        <v>Apparel</v>
      </c>
      <c r="M1456" s="1">
        <f>_xlfn.XLOOKUP(C1456, 'Product Catalog'!$A:$A, 'Product Catalog'!$D:$D, 0)</f>
        <v>99.18</v>
      </c>
      <c r="N1456" s="1">
        <f t="shared" si="45"/>
        <v>297.54000000000002</v>
      </c>
    </row>
    <row r="1457" spans="1:14" x14ac:dyDescent="0.3">
      <c r="A1457" s="1" t="s">
        <v>1937</v>
      </c>
      <c r="B1457" s="1" t="s">
        <v>761</v>
      </c>
      <c r="C1457" s="1" t="s">
        <v>339</v>
      </c>
      <c r="D1457" s="1">
        <v>1</v>
      </c>
      <c r="E1457" s="12">
        <v>45792.890972222223</v>
      </c>
      <c r="F1457" s="1" t="s">
        <v>19</v>
      </c>
      <c r="G1457" s="1" t="s">
        <v>13</v>
      </c>
      <c r="H1457" s="1" t="s">
        <v>41</v>
      </c>
      <c r="I1457" s="1" t="s">
        <v>15</v>
      </c>
      <c r="J1457" s="1" t="str">
        <f t="shared" si="44"/>
        <v>delivered</v>
      </c>
      <c r="K1457" s="1" t="str">
        <f>_xlfn.XLOOKUP(C1457, 'Product Catalog'!$A:$A, 'Product Catalog'!$B:$B, "Unknown Product")</f>
        <v>E-Book Access Model K114</v>
      </c>
      <c r="L1457" s="1" t="str">
        <f>_xlfn.XLOOKUP(C1457, 'Product Catalog'!$A:$A, 'Product Catalog'!$C:$C, "Unknown Category")</f>
        <v>Digital Services</v>
      </c>
      <c r="M1457" s="1">
        <f>_xlfn.XLOOKUP(C1457, 'Product Catalog'!$A:$A, 'Product Catalog'!$D:$D, 0)</f>
        <v>57.11</v>
      </c>
      <c r="N1457" s="1">
        <f t="shared" si="45"/>
        <v>57.11</v>
      </c>
    </row>
    <row r="1458" spans="1:14" x14ac:dyDescent="0.3">
      <c r="A1458" s="1" t="s">
        <v>1938</v>
      </c>
      <c r="B1458" s="1" t="s">
        <v>124</v>
      </c>
      <c r="C1458" s="1" t="s">
        <v>80</v>
      </c>
      <c r="D1458" s="1">
        <v>5</v>
      </c>
      <c r="E1458" s="12">
        <v>45697.106944444444</v>
      </c>
      <c r="F1458" s="1" t="s">
        <v>170</v>
      </c>
      <c r="G1458" s="1" t="s">
        <v>50</v>
      </c>
      <c r="H1458" s="1" t="s">
        <v>51</v>
      </c>
      <c r="I1458" s="1" t="s">
        <v>42</v>
      </c>
      <c r="J1458" s="1" t="str">
        <f t="shared" si="44"/>
        <v>PENDING_REVIEW</v>
      </c>
      <c r="K1458" s="1" t="str">
        <f>_xlfn.XLOOKUP(C1458, 'Product Catalog'!$A:$A, 'Product Catalog'!$B:$B, "Unknown Product")</f>
        <v>Leather Handbag Model S18</v>
      </c>
      <c r="L1458" s="1" t="str">
        <f>_xlfn.XLOOKUP(C1458, 'Product Catalog'!$A:$A, 'Product Catalog'!$C:$C, "Unknown Category")</f>
        <v>Luxury Goods</v>
      </c>
      <c r="M1458" s="1">
        <f>_xlfn.XLOOKUP(C1458, 'Product Catalog'!$A:$A, 'Product Catalog'!$D:$D, 0)</f>
        <v>1475.11</v>
      </c>
      <c r="N1458" s="1">
        <f t="shared" si="45"/>
        <v>7375.5499999999993</v>
      </c>
    </row>
    <row r="1459" spans="1:14" x14ac:dyDescent="0.3">
      <c r="A1459" s="1" t="s">
        <v>1939</v>
      </c>
      <c r="B1459" s="1" t="s">
        <v>1106</v>
      </c>
      <c r="C1459" s="1" t="s">
        <v>164</v>
      </c>
      <c r="D1459" s="1">
        <v>4</v>
      </c>
      <c r="E1459" s="12">
        <v>45667.720833333333</v>
      </c>
      <c r="F1459" s="1" t="s">
        <v>39</v>
      </c>
      <c r="G1459" s="1" t="s">
        <v>31</v>
      </c>
      <c r="H1459" s="1" t="s">
        <v>51</v>
      </c>
      <c r="I1459" s="1" t="s">
        <v>56</v>
      </c>
      <c r="J1459" s="1" t="str">
        <f t="shared" si="44"/>
        <v>cancelled</v>
      </c>
      <c r="K1459" s="1" t="str">
        <f>_xlfn.XLOOKUP(C1459, 'Product Catalog'!$A:$A, 'Product Catalog'!$B:$B, "Unknown Product")</f>
        <v>Gold Bracelet Model A26</v>
      </c>
      <c r="L1459" s="1" t="str">
        <f>_xlfn.XLOOKUP(C1459, 'Product Catalog'!$A:$A, 'Product Catalog'!$C:$C, "Unknown Category")</f>
        <v>Luxury Goods</v>
      </c>
      <c r="M1459" s="1">
        <f>_xlfn.XLOOKUP(C1459, 'Product Catalog'!$A:$A, 'Product Catalog'!$D:$D, 0)</f>
        <v>1096.3900000000001</v>
      </c>
      <c r="N1459" s="1">
        <f t="shared" si="45"/>
        <v>4385.5600000000004</v>
      </c>
    </row>
    <row r="1460" spans="1:14" x14ac:dyDescent="0.3">
      <c r="A1460" s="1" t="s">
        <v>1940</v>
      </c>
      <c r="B1460" s="1" t="s">
        <v>491</v>
      </c>
      <c r="C1460" s="1" t="s">
        <v>459</v>
      </c>
      <c r="D1460" s="1">
        <v>1</v>
      </c>
      <c r="E1460" s="12">
        <v>45981.043749999997</v>
      </c>
      <c r="F1460" s="1" t="s">
        <v>19</v>
      </c>
      <c r="G1460" s="1" t="s">
        <v>46</v>
      </c>
      <c r="H1460" s="1" t="s">
        <v>41</v>
      </c>
      <c r="I1460" s="1" t="s">
        <v>15</v>
      </c>
      <c r="J1460" s="1" t="str">
        <f t="shared" si="44"/>
        <v>delivered</v>
      </c>
      <c r="K1460" s="1" t="str">
        <f>_xlfn.XLOOKUP(C1460, 'Product Catalog'!$A:$A, 'Product Catalog'!$B:$B, "Unknown Product")</f>
        <v>Mouse Model I60</v>
      </c>
      <c r="L1460" s="1" t="str">
        <f>_xlfn.XLOOKUP(C1460, 'Product Catalog'!$A:$A, 'Product Catalog'!$C:$C, "Unknown Category")</f>
        <v>Electronics</v>
      </c>
      <c r="M1460" s="1">
        <f>_xlfn.XLOOKUP(C1460, 'Product Catalog'!$A:$A, 'Product Catalog'!$D:$D, 0)</f>
        <v>168.25</v>
      </c>
      <c r="N1460" s="1">
        <f t="shared" si="45"/>
        <v>168.25</v>
      </c>
    </row>
    <row r="1461" spans="1:14" x14ac:dyDescent="0.3">
      <c r="A1461" s="1" t="s">
        <v>1941</v>
      </c>
      <c r="B1461" s="1" t="s">
        <v>189</v>
      </c>
      <c r="C1461" s="1" t="s">
        <v>352</v>
      </c>
      <c r="D1461" s="1">
        <v>1</v>
      </c>
      <c r="E1461" s="12">
        <v>45955.822916666664</v>
      </c>
      <c r="F1461" s="1" t="s">
        <v>12</v>
      </c>
      <c r="G1461" s="1" t="s">
        <v>109</v>
      </c>
      <c r="H1461" s="1" t="s">
        <v>41</v>
      </c>
      <c r="I1461" s="1" t="s">
        <v>15</v>
      </c>
      <c r="J1461" s="1" t="str">
        <f t="shared" si="44"/>
        <v>delivered</v>
      </c>
      <c r="K1461" s="1" t="str">
        <f>_xlfn.XLOOKUP(C1461, 'Product Catalog'!$A:$A, 'Product Catalog'!$B:$B, "Unknown Product")</f>
        <v>VPN 6-Month Pass Model U46</v>
      </c>
      <c r="L1461" s="1" t="str">
        <f>_xlfn.XLOOKUP(C1461, 'Product Catalog'!$A:$A, 'Product Catalog'!$C:$C, "Unknown Category")</f>
        <v>Digital Services</v>
      </c>
      <c r="M1461" s="1">
        <f>_xlfn.XLOOKUP(C1461, 'Product Catalog'!$A:$A, 'Product Catalog'!$D:$D, 0)</f>
        <v>47.44</v>
      </c>
      <c r="N1461" s="1">
        <f t="shared" si="45"/>
        <v>47.44</v>
      </c>
    </row>
    <row r="1462" spans="1:14" x14ac:dyDescent="0.3">
      <c r="A1462" s="1" t="s">
        <v>1942</v>
      </c>
      <c r="B1462" s="1" t="s">
        <v>156</v>
      </c>
      <c r="C1462" s="1" t="s">
        <v>275</v>
      </c>
      <c r="D1462" s="1">
        <v>2</v>
      </c>
      <c r="E1462" s="12">
        <v>45865.838888888888</v>
      </c>
      <c r="F1462" s="1" t="s">
        <v>19</v>
      </c>
      <c r="G1462" s="1" t="s">
        <v>31</v>
      </c>
      <c r="H1462" s="1" t="s">
        <v>41</v>
      </c>
      <c r="I1462" s="1" t="s">
        <v>32</v>
      </c>
      <c r="J1462" s="1" t="str">
        <f t="shared" si="44"/>
        <v>SHIPPED</v>
      </c>
      <c r="K1462" s="1" t="str">
        <f>_xlfn.XLOOKUP(C1462, 'Product Catalog'!$A:$A, 'Product Catalog'!$B:$B, "Unknown Product")</f>
        <v>Desk Lamp Model I112</v>
      </c>
      <c r="L1462" s="1" t="str">
        <f>_xlfn.XLOOKUP(C1462, 'Product Catalog'!$A:$A, 'Product Catalog'!$C:$C, "Unknown Category")</f>
        <v>Home Goods</v>
      </c>
      <c r="M1462" s="1">
        <f>_xlfn.XLOOKUP(C1462, 'Product Catalog'!$A:$A, 'Product Catalog'!$D:$D, 0)</f>
        <v>70.23</v>
      </c>
      <c r="N1462" s="1">
        <f t="shared" si="45"/>
        <v>140.46</v>
      </c>
    </row>
    <row r="1463" spans="1:14" x14ac:dyDescent="0.3">
      <c r="A1463" s="1" t="s">
        <v>1943</v>
      </c>
      <c r="B1463" s="1" t="s">
        <v>1337</v>
      </c>
      <c r="C1463" s="1" t="s">
        <v>364</v>
      </c>
      <c r="D1463" s="1">
        <v>4</v>
      </c>
      <c r="E1463" s="12">
        <v>45766.052083333336</v>
      </c>
      <c r="F1463" s="1" t="s">
        <v>39</v>
      </c>
      <c r="G1463" s="1" t="s">
        <v>50</v>
      </c>
      <c r="H1463" s="1" t="s">
        <v>41</v>
      </c>
      <c r="I1463" s="1" t="s">
        <v>102</v>
      </c>
      <c r="J1463" s="1" t="str">
        <f t="shared" si="44"/>
        <v>disputed</v>
      </c>
      <c r="K1463" s="1" t="str">
        <f>_xlfn.XLOOKUP(C1463, 'Product Catalog'!$A:$A, 'Product Catalog'!$B:$B, "Unknown Product")</f>
        <v>Desk Lamp Model J113</v>
      </c>
      <c r="L1463" s="1" t="str">
        <f>_xlfn.XLOOKUP(C1463, 'Product Catalog'!$A:$A, 'Product Catalog'!$C:$C, "Unknown Category")</f>
        <v>Home Goods</v>
      </c>
      <c r="M1463" s="1">
        <f>_xlfn.XLOOKUP(C1463, 'Product Catalog'!$A:$A, 'Product Catalog'!$D:$D, 0)</f>
        <v>69.489999999999995</v>
      </c>
      <c r="N1463" s="1">
        <f t="shared" si="45"/>
        <v>277.95999999999998</v>
      </c>
    </row>
    <row r="1464" spans="1:14" x14ac:dyDescent="0.3">
      <c r="A1464" s="1" t="s">
        <v>1944</v>
      </c>
      <c r="B1464" s="1" t="s">
        <v>842</v>
      </c>
      <c r="C1464" s="1" t="s">
        <v>261</v>
      </c>
      <c r="D1464" s="1">
        <v>1</v>
      </c>
      <c r="E1464" s="12">
        <v>45940.370138888888</v>
      </c>
      <c r="F1464" s="1" t="s">
        <v>12</v>
      </c>
      <c r="G1464" s="1" t="s">
        <v>13</v>
      </c>
      <c r="H1464" s="1" t="s">
        <v>41</v>
      </c>
      <c r="I1464" s="1" t="s">
        <v>15</v>
      </c>
      <c r="J1464" s="1" t="str">
        <f t="shared" si="44"/>
        <v>delivered</v>
      </c>
      <c r="K1464" s="1" t="str">
        <f>_xlfn.XLOOKUP(C1464, 'Product Catalog'!$A:$A, 'Product Catalog'!$B:$B, "Unknown Product")</f>
        <v>Toaster Model C80</v>
      </c>
      <c r="L1464" s="1" t="str">
        <f>_xlfn.XLOOKUP(C1464, 'Product Catalog'!$A:$A, 'Product Catalog'!$C:$C, "Unknown Category")</f>
        <v>Home Goods</v>
      </c>
      <c r="M1464" s="1">
        <f>_xlfn.XLOOKUP(C1464, 'Product Catalog'!$A:$A, 'Product Catalog'!$D:$D, 0)</f>
        <v>45.24</v>
      </c>
      <c r="N1464" s="1">
        <f t="shared" si="45"/>
        <v>45.24</v>
      </c>
    </row>
    <row r="1465" spans="1:14" x14ac:dyDescent="0.3">
      <c r="A1465" s="1" t="s">
        <v>1945</v>
      </c>
      <c r="B1465" s="1" t="s">
        <v>258</v>
      </c>
      <c r="C1465" s="1" t="s">
        <v>11</v>
      </c>
      <c r="D1465" s="1">
        <v>1</v>
      </c>
      <c r="E1465" s="12">
        <v>45936.767361111109</v>
      </c>
      <c r="F1465" s="1" t="s">
        <v>12</v>
      </c>
      <c r="G1465" s="1" t="s">
        <v>109</v>
      </c>
      <c r="H1465" s="1" t="s">
        <v>24</v>
      </c>
      <c r="I1465" s="1" t="s">
        <v>15</v>
      </c>
      <c r="J1465" s="1" t="str">
        <f t="shared" si="44"/>
        <v>delivered</v>
      </c>
      <c r="K1465" s="1" t="str">
        <f>_xlfn.XLOOKUP(C1465, 'Product Catalog'!$A:$A, 'Product Catalog'!$B:$B, "Unknown Product")</f>
        <v>Keyboard Model F57</v>
      </c>
      <c r="L1465" s="1" t="str">
        <f>_xlfn.XLOOKUP(C1465, 'Product Catalog'!$A:$A, 'Product Catalog'!$C:$C, "Unknown Category")</f>
        <v>Electronics</v>
      </c>
      <c r="M1465" s="1">
        <f>_xlfn.XLOOKUP(C1465, 'Product Catalog'!$A:$A, 'Product Catalog'!$D:$D, 0)</f>
        <v>60.02</v>
      </c>
      <c r="N1465" s="1">
        <f t="shared" si="45"/>
        <v>60.02</v>
      </c>
    </row>
    <row r="1466" spans="1:14" x14ac:dyDescent="0.3">
      <c r="A1466" s="1" t="s">
        <v>1946</v>
      </c>
      <c r="B1466" s="1" t="s">
        <v>484</v>
      </c>
      <c r="C1466" s="1" t="s">
        <v>357</v>
      </c>
      <c r="D1466" s="1">
        <v>5</v>
      </c>
      <c r="E1466" s="12">
        <v>45899.929861111108</v>
      </c>
      <c r="F1466" s="1" t="s">
        <v>19</v>
      </c>
      <c r="G1466" s="1" t="s">
        <v>50</v>
      </c>
      <c r="H1466" s="1" t="s">
        <v>51</v>
      </c>
      <c r="I1466" s="1" t="s">
        <v>56</v>
      </c>
      <c r="J1466" s="1" t="str">
        <f t="shared" si="44"/>
        <v>cancelled</v>
      </c>
      <c r="K1466" s="1" t="str">
        <f>_xlfn.XLOOKUP(C1466, 'Product Catalog'!$A:$A, 'Product Catalog'!$B:$B, "Unknown Product")</f>
        <v>Blender Model C106</v>
      </c>
      <c r="L1466" s="1" t="str">
        <f>_xlfn.XLOOKUP(C1466, 'Product Catalog'!$A:$A, 'Product Catalog'!$C:$C, "Unknown Category")</f>
        <v>Home Goods</v>
      </c>
      <c r="M1466" s="1">
        <f>_xlfn.XLOOKUP(C1466, 'Product Catalog'!$A:$A, 'Product Catalog'!$D:$D, 0)</f>
        <v>112.89</v>
      </c>
      <c r="N1466" s="1">
        <f t="shared" si="45"/>
        <v>564.45000000000005</v>
      </c>
    </row>
    <row r="1467" spans="1:14" x14ac:dyDescent="0.3">
      <c r="A1467" s="1" t="s">
        <v>1947</v>
      </c>
      <c r="B1467" s="1" t="s">
        <v>208</v>
      </c>
      <c r="C1467" s="1" t="s">
        <v>95</v>
      </c>
      <c r="D1467" s="1">
        <v>1</v>
      </c>
      <c r="E1467" s="12">
        <v>45734.520138888889</v>
      </c>
      <c r="F1467" s="1" t="s">
        <v>19</v>
      </c>
      <c r="G1467" s="1" t="s">
        <v>20</v>
      </c>
      <c r="H1467" s="1" t="s">
        <v>14</v>
      </c>
      <c r="I1467" s="1" t="s">
        <v>15</v>
      </c>
      <c r="J1467" s="1" t="str">
        <f t="shared" si="44"/>
        <v>delivered</v>
      </c>
      <c r="K1467" s="1" t="str">
        <f>_xlfn.XLOOKUP(C1467, 'Product Catalog'!$A:$A, 'Product Catalog'!$B:$B, "Unknown Product")</f>
        <v>Jacket Model U72</v>
      </c>
      <c r="L1467" s="1" t="str">
        <f>_xlfn.XLOOKUP(C1467, 'Product Catalog'!$A:$A, 'Product Catalog'!$C:$C, "Unknown Category")</f>
        <v>Apparel</v>
      </c>
      <c r="M1467" s="1">
        <f>_xlfn.XLOOKUP(C1467, 'Product Catalog'!$A:$A, 'Product Catalog'!$D:$D, 0)</f>
        <v>75.400000000000006</v>
      </c>
      <c r="N1467" s="1">
        <f t="shared" si="45"/>
        <v>75.400000000000006</v>
      </c>
    </row>
    <row r="1468" spans="1:14" x14ac:dyDescent="0.3">
      <c r="A1468" s="1" t="s">
        <v>1948</v>
      </c>
      <c r="B1468" s="1" t="s">
        <v>347</v>
      </c>
      <c r="C1468" s="1" t="s">
        <v>399</v>
      </c>
      <c r="D1468" s="1">
        <v>1</v>
      </c>
      <c r="E1468" s="12">
        <v>45858.317361111112</v>
      </c>
      <c r="F1468" s="1" t="s">
        <v>12</v>
      </c>
      <c r="G1468" s="1" t="s">
        <v>50</v>
      </c>
      <c r="H1468" s="1" t="s">
        <v>41</v>
      </c>
      <c r="I1468" s="1" t="s">
        <v>42</v>
      </c>
      <c r="J1468" s="1" t="str">
        <f t="shared" si="44"/>
        <v>PENDING_REVIEW</v>
      </c>
      <c r="K1468" s="1" t="str">
        <f>_xlfn.XLOOKUP(C1468, 'Product Catalog'!$A:$A, 'Product Catalog'!$B:$B, "Unknown Product")</f>
        <v>E-Book Access Model W22</v>
      </c>
      <c r="L1468" s="1" t="str">
        <f>_xlfn.XLOOKUP(C1468, 'Product Catalog'!$A:$A, 'Product Catalog'!$C:$C, "Unknown Category")</f>
        <v>Digital Services</v>
      </c>
      <c r="M1468" s="1">
        <f>_xlfn.XLOOKUP(C1468, 'Product Catalog'!$A:$A, 'Product Catalog'!$D:$D, 0)</f>
        <v>11.22</v>
      </c>
      <c r="N1468" s="1">
        <f t="shared" si="45"/>
        <v>11.22</v>
      </c>
    </row>
    <row r="1469" spans="1:14" x14ac:dyDescent="0.3">
      <c r="A1469" s="1" t="s">
        <v>1949</v>
      </c>
      <c r="B1469" s="1" t="s">
        <v>61</v>
      </c>
      <c r="C1469" s="1" t="s">
        <v>30</v>
      </c>
      <c r="D1469" s="1">
        <v>1</v>
      </c>
      <c r="E1469" s="12">
        <v>45959.413194444445</v>
      </c>
      <c r="F1469" s="1" t="s">
        <v>19</v>
      </c>
      <c r="G1469" s="1" t="s">
        <v>109</v>
      </c>
      <c r="H1469" s="1" t="s">
        <v>14</v>
      </c>
      <c r="I1469" s="1" t="s">
        <v>15</v>
      </c>
      <c r="J1469" s="1" t="str">
        <f t="shared" si="44"/>
        <v>delivered</v>
      </c>
      <c r="K1469" s="1" t="str">
        <f>_xlfn.XLOOKUP(C1469, 'Product Catalog'!$A:$A, 'Product Catalog'!$B:$B, "Unknown Product")</f>
        <v>VPN 6-Month Pass Model B131</v>
      </c>
      <c r="L1469" s="1" t="str">
        <f>_xlfn.XLOOKUP(C1469, 'Product Catalog'!$A:$A, 'Product Catalog'!$C:$C, "Unknown Category")</f>
        <v>Digital Services</v>
      </c>
      <c r="M1469" s="1">
        <f>_xlfn.XLOOKUP(C1469, 'Product Catalog'!$A:$A, 'Product Catalog'!$D:$D, 0)</f>
        <v>46.92</v>
      </c>
      <c r="N1469" s="1">
        <f t="shared" si="45"/>
        <v>46.92</v>
      </c>
    </row>
    <row r="1470" spans="1:14" x14ac:dyDescent="0.3">
      <c r="A1470" s="1" t="s">
        <v>1950</v>
      </c>
      <c r="B1470" s="1" t="s">
        <v>226</v>
      </c>
      <c r="C1470" s="1" t="s">
        <v>309</v>
      </c>
      <c r="D1470" s="1">
        <v>1</v>
      </c>
      <c r="E1470" s="12">
        <v>45726.660416666666</v>
      </c>
      <c r="F1470" s="1" t="s">
        <v>19</v>
      </c>
      <c r="G1470" s="1" t="s">
        <v>13</v>
      </c>
      <c r="H1470" s="1" t="s">
        <v>14</v>
      </c>
      <c r="I1470" s="1" t="s">
        <v>15</v>
      </c>
      <c r="J1470" s="1" t="str">
        <f t="shared" si="44"/>
        <v>delivered</v>
      </c>
      <c r="K1470" s="1" t="str">
        <f>_xlfn.XLOOKUP(C1470, 'Product Catalog'!$A:$A, 'Product Catalog'!$B:$B, "Unknown Product")</f>
        <v>Sneakers Model C2</v>
      </c>
      <c r="L1470" s="1" t="str">
        <f>_xlfn.XLOOKUP(C1470, 'Product Catalog'!$A:$A, 'Product Catalog'!$C:$C, "Unknown Category")</f>
        <v>Apparel</v>
      </c>
      <c r="M1470" s="1">
        <f>_xlfn.XLOOKUP(C1470, 'Product Catalog'!$A:$A, 'Product Catalog'!$D:$D, 0)</f>
        <v>21.27</v>
      </c>
      <c r="N1470" s="1">
        <f t="shared" si="45"/>
        <v>21.27</v>
      </c>
    </row>
    <row r="1471" spans="1:14" x14ac:dyDescent="0.3">
      <c r="A1471" s="1" t="s">
        <v>1951</v>
      </c>
      <c r="B1471" s="1" t="s">
        <v>456</v>
      </c>
      <c r="C1471" s="1" t="s">
        <v>485</v>
      </c>
      <c r="D1471" s="1">
        <v>2</v>
      </c>
      <c r="E1471" s="12">
        <v>45914.725694444445</v>
      </c>
      <c r="F1471" s="1" t="s">
        <v>19</v>
      </c>
      <c r="G1471" s="1" t="s">
        <v>31</v>
      </c>
      <c r="H1471" s="1" t="s">
        <v>41</v>
      </c>
      <c r="I1471" s="1" t="s">
        <v>15</v>
      </c>
      <c r="J1471" s="1" t="str">
        <f t="shared" si="44"/>
        <v>delivered</v>
      </c>
      <c r="K1471" s="1" t="str">
        <f>_xlfn.XLOOKUP(C1471, 'Product Catalog'!$A:$A, 'Product Catalog'!$B:$B, "Unknown Product")</f>
        <v>Smartwatch Model K140</v>
      </c>
      <c r="L1471" s="1" t="str">
        <f>_xlfn.XLOOKUP(C1471, 'Product Catalog'!$A:$A, 'Product Catalog'!$C:$C, "Unknown Category")</f>
        <v>Electronics</v>
      </c>
      <c r="M1471" s="1">
        <f>_xlfn.XLOOKUP(C1471, 'Product Catalog'!$A:$A, 'Product Catalog'!$D:$D, 0)</f>
        <v>221.95</v>
      </c>
      <c r="N1471" s="1">
        <f t="shared" si="45"/>
        <v>443.9</v>
      </c>
    </row>
    <row r="1472" spans="1:14" x14ac:dyDescent="0.3">
      <c r="A1472" s="1" t="s">
        <v>1952</v>
      </c>
      <c r="B1472" s="1" t="s">
        <v>470</v>
      </c>
      <c r="C1472" s="1" t="s">
        <v>157</v>
      </c>
      <c r="D1472" s="1">
        <v>2</v>
      </c>
      <c r="E1472" s="12">
        <v>45704.563888888886</v>
      </c>
      <c r="F1472" s="1" t="s">
        <v>19</v>
      </c>
      <c r="G1472" s="1" t="s">
        <v>109</v>
      </c>
      <c r="H1472" s="1" t="s">
        <v>14</v>
      </c>
      <c r="I1472" s="1" t="s">
        <v>42</v>
      </c>
      <c r="J1472" s="1" t="str">
        <f t="shared" si="44"/>
        <v>PENDING_REVIEW</v>
      </c>
      <c r="K1472" s="1" t="str">
        <f>_xlfn.XLOOKUP(C1472, 'Product Catalog'!$A:$A, 'Product Catalog'!$B:$B, "Unknown Product")</f>
        <v>Coffee Maker Model Q68</v>
      </c>
      <c r="L1472" s="1" t="str">
        <f>_xlfn.XLOOKUP(C1472, 'Product Catalog'!$A:$A, 'Product Catalog'!$C:$C, "Unknown Category")</f>
        <v>Home Goods</v>
      </c>
      <c r="M1472" s="1">
        <f>_xlfn.XLOOKUP(C1472, 'Product Catalog'!$A:$A, 'Product Catalog'!$D:$D, 0)</f>
        <v>28.02</v>
      </c>
      <c r="N1472" s="1">
        <f t="shared" si="45"/>
        <v>56.04</v>
      </c>
    </row>
    <row r="1473" spans="1:14" x14ac:dyDescent="0.3">
      <c r="A1473" s="1" t="s">
        <v>1953</v>
      </c>
      <c r="B1473" s="1" t="s">
        <v>461</v>
      </c>
      <c r="C1473" s="1" t="s">
        <v>531</v>
      </c>
      <c r="D1473" s="1">
        <v>4</v>
      </c>
      <c r="E1473" s="12">
        <v>45844.713888888888</v>
      </c>
      <c r="F1473" s="1" t="s">
        <v>19</v>
      </c>
      <c r="G1473" s="1" t="s">
        <v>50</v>
      </c>
      <c r="H1473" s="1" t="s">
        <v>55</v>
      </c>
      <c r="I1473" s="1" t="s">
        <v>56</v>
      </c>
      <c r="J1473" s="1" t="str">
        <f t="shared" si="44"/>
        <v>cancelled</v>
      </c>
      <c r="K1473" s="1" t="str">
        <f>_xlfn.XLOOKUP(C1473, 'Product Catalog'!$A:$A, 'Product Catalog'!$B:$B, "Unknown Product")</f>
        <v>Organizer Model Y102</v>
      </c>
      <c r="L1473" s="1" t="str">
        <f>_xlfn.XLOOKUP(C1473, 'Product Catalog'!$A:$A, 'Product Catalog'!$C:$C, "Unknown Category")</f>
        <v>Home Goods</v>
      </c>
      <c r="M1473" s="1">
        <f>_xlfn.XLOOKUP(C1473, 'Product Catalog'!$A:$A, 'Product Catalog'!$D:$D, 0)</f>
        <v>147.26</v>
      </c>
      <c r="N1473" s="1">
        <f t="shared" si="45"/>
        <v>589.04</v>
      </c>
    </row>
    <row r="1474" spans="1:14" x14ac:dyDescent="0.3">
      <c r="A1474" s="1" t="s">
        <v>1954</v>
      </c>
      <c r="B1474" s="1" t="s">
        <v>470</v>
      </c>
      <c r="C1474" s="1" t="s">
        <v>391</v>
      </c>
      <c r="D1474" s="1">
        <v>1</v>
      </c>
      <c r="E1474" s="12">
        <v>45663.942361111112</v>
      </c>
      <c r="F1474" s="1" t="s">
        <v>19</v>
      </c>
      <c r="G1474" s="1" t="s">
        <v>109</v>
      </c>
      <c r="H1474" s="1" t="s">
        <v>41</v>
      </c>
      <c r="I1474" s="1" t="s">
        <v>15</v>
      </c>
      <c r="J1474" s="1" t="str">
        <f t="shared" ref="J1474:J1501" si="46">TRIM(I1474)</f>
        <v>delivered</v>
      </c>
      <c r="K1474" s="1" t="str">
        <f>_xlfn.XLOOKUP(C1474, 'Product Catalog'!$A:$A, 'Product Catalog'!$B:$B, "Unknown Product")</f>
        <v>Premium Stream 1M Model P145</v>
      </c>
      <c r="L1474" s="1" t="str">
        <f>_xlfn.XLOOKUP(C1474, 'Product Catalog'!$A:$A, 'Product Catalog'!$C:$C, "Unknown Category")</f>
        <v>Digital Services</v>
      </c>
      <c r="M1474" s="1">
        <f>_xlfn.XLOOKUP(C1474, 'Product Catalog'!$A:$A, 'Product Catalog'!$D:$D, 0)</f>
        <v>84.01</v>
      </c>
      <c r="N1474" s="1">
        <f t="shared" ref="N1474:N1501" si="47">D1474 * M1474</f>
        <v>84.01</v>
      </c>
    </row>
    <row r="1475" spans="1:14" x14ac:dyDescent="0.3">
      <c r="A1475" s="1" t="s">
        <v>1955</v>
      </c>
      <c r="B1475" s="1" t="s">
        <v>510</v>
      </c>
      <c r="C1475" s="1" t="s">
        <v>337</v>
      </c>
      <c r="D1475" s="1">
        <v>2</v>
      </c>
      <c r="E1475" s="12">
        <v>45780.872916666667</v>
      </c>
      <c r="F1475" s="1" t="s">
        <v>12</v>
      </c>
      <c r="G1475" s="1" t="s">
        <v>46</v>
      </c>
      <c r="H1475" s="1" t="s">
        <v>24</v>
      </c>
      <c r="I1475" s="1" t="s">
        <v>15</v>
      </c>
      <c r="J1475" s="1" t="str">
        <f t="shared" si="46"/>
        <v>delivered</v>
      </c>
      <c r="K1475" s="1" t="str">
        <f>_xlfn.XLOOKUP(C1475, 'Product Catalog'!$A:$A, 'Product Catalog'!$B:$B, "Unknown Product")</f>
        <v>Webcam Model Z103</v>
      </c>
      <c r="L1475" s="1" t="str">
        <f>_xlfn.XLOOKUP(C1475, 'Product Catalog'!$A:$A, 'Product Catalog'!$C:$C, "Unknown Category")</f>
        <v>Electronics</v>
      </c>
      <c r="M1475" s="1">
        <f>_xlfn.XLOOKUP(C1475, 'Product Catalog'!$A:$A, 'Product Catalog'!$D:$D, 0)</f>
        <v>60.39</v>
      </c>
      <c r="N1475" s="1">
        <f t="shared" si="47"/>
        <v>120.78</v>
      </c>
    </row>
    <row r="1476" spans="1:14" x14ac:dyDescent="0.3">
      <c r="A1476" s="1" t="s">
        <v>1956</v>
      </c>
      <c r="B1476" s="1" t="s">
        <v>480</v>
      </c>
      <c r="C1476" s="1" t="s">
        <v>108</v>
      </c>
      <c r="D1476" s="1">
        <v>1</v>
      </c>
      <c r="E1476" s="12">
        <v>46008.23541666667</v>
      </c>
      <c r="F1476" s="1" t="s">
        <v>19</v>
      </c>
      <c r="G1476" s="1" t="s">
        <v>20</v>
      </c>
      <c r="H1476" s="1" t="s">
        <v>24</v>
      </c>
      <c r="I1476" s="1" t="s">
        <v>15</v>
      </c>
      <c r="J1476" s="1" t="str">
        <f t="shared" si="46"/>
        <v>delivered</v>
      </c>
      <c r="K1476" s="1" t="str">
        <f>_xlfn.XLOOKUP(C1476, 'Product Catalog'!$A:$A, 'Product Catalog'!$B:$B, "Unknown Product")</f>
        <v>Smartwatch Model H7</v>
      </c>
      <c r="L1476" s="1" t="str">
        <f>_xlfn.XLOOKUP(C1476, 'Product Catalog'!$A:$A, 'Product Catalog'!$C:$C, "Unknown Category")</f>
        <v>Electronics</v>
      </c>
      <c r="M1476" s="1">
        <f>_xlfn.XLOOKUP(C1476, 'Product Catalog'!$A:$A, 'Product Catalog'!$D:$D, 0)</f>
        <v>204.37</v>
      </c>
      <c r="N1476" s="1">
        <f t="shared" si="47"/>
        <v>204.37</v>
      </c>
    </row>
    <row r="1477" spans="1:14" x14ac:dyDescent="0.3">
      <c r="A1477" s="1" t="s">
        <v>1957</v>
      </c>
      <c r="B1477" s="1" t="s">
        <v>178</v>
      </c>
      <c r="C1477" s="1" t="s">
        <v>473</v>
      </c>
      <c r="D1477" s="1">
        <v>1</v>
      </c>
      <c r="E1477" s="12">
        <v>45921.199305555558</v>
      </c>
      <c r="F1477" s="1" t="s">
        <v>170</v>
      </c>
      <c r="G1477" s="1" t="s">
        <v>50</v>
      </c>
      <c r="H1477" s="1" t="s">
        <v>51</v>
      </c>
      <c r="I1477" s="1" t="s">
        <v>42</v>
      </c>
      <c r="J1477" s="1" t="str">
        <f t="shared" si="46"/>
        <v>PENDING_REVIEW</v>
      </c>
      <c r="K1477" s="1" t="str">
        <f>_xlfn.XLOOKUP(C1477, 'Product Catalog'!$A:$A, 'Product Catalog'!$B:$B, "Unknown Product")</f>
        <v>Desk Lamp Model I138</v>
      </c>
      <c r="L1477" s="1" t="str">
        <f>_xlfn.XLOOKUP(C1477, 'Product Catalog'!$A:$A, 'Product Catalog'!$C:$C, "Unknown Category")</f>
        <v>Home Goods</v>
      </c>
      <c r="M1477" s="1">
        <f>_xlfn.XLOOKUP(C1477, 'Product Catalog'!$A:$A, 'Product Catalog'!$D:$D, 0)</f>
        <v>94.55</v>
      </c>
      <c r="N1477" s="1">
        <f t="shared" si="47"/>
        <v>94.55</v>
      </c>
    </row>
    <row r="1478" spans="1:14" x14ac:dyDescent="0.3">
      <c r="A1478" s="1" t="s">
        <v>1958</v>
      </c>
      <c r="B1478" s="1" t="s">
        <v>742</v>
      </c>
      <c r="C1478" s="1" t="s">
        <v>527</v>
      </c>
      <c r="D1478" s="1">
        <v>4</v>
      </c>
      <c r="E1478" s="12">
        <v>45886.226388888892</v>
      </c>
      <c r="F1478" s="1" t="s">
        <v>39</v>
      </c>
      <c r="G1478" s="1" t="s">
        <v>109</v>
      </c>
      <c r="H1478" s="1" t="s">
        <v>51</v>
      </c>
      <c r="I1478" s="1" t="s">
        <v>42</v>
      </c>
      <c r="J1478" s="1" t="str">
        <f t="shared" si="46"/>
        <v>PENDING_REVIEW</v>
      </c>
      <c r="K1478" s="1" t="str">
        <f>_xlfn.XLOOKUP(C1478, 'Product Catalog'!$A:$A, 'Product Catalog'!$B:$B, "Unknown Product")</f>
        <v>Leather Handbag Model S96</v>
      </c>
      <c r="L1478" s="1" t="str">
        <f>_xlfn.XLOOKUP(C1478, 'Product Catalog'!$A:$A, 'Product Catalog'!$C:$C, "Unknown Category")</f>
        <v>Luxury Goods</v>
      </c>
      <c r="M1478" s="1">
        <f>_xlfn.XLOOKUP(C1478, 'Product Catalog'!$A:$A, 'Product Catalog'!$D:$D, 0)</f>
        <v>2336.6799999999998</v>
      </c>
      <c r="N1478" s="1">
        <f t="shared" si="47"/>
        <v>9346.7199999999993</v>
      </c>
    </row>
    <row r="1479" spans="1:14" x14ac:dyDescent="0.3">
      <c r="A1479" s="1" t="s">
        <v>1959</v>
      </c>
      <c r="B1479" s="1" t="s">
        <v>420</v>
      </c>
      <c r="C1479" s="1" t="s">
        <v>134</v>
      </c>
      <c r="D1479" s="1">
        <v>1</v>
      </c>
      <c r="E1479" s="12">
        <v>45749.804861111108</v>
      </c>
      <c r="F1479" s="1" t="s">
        <v>12</v>
      </c>
      <c r="G1479" s="1" t="s">
        <v>20</v>
      </c>
      <c r="H1479" s="1" t="s">
        <v>14</v>
      </c>
      <c r="I1479" s="1" t="s">
        <v>15</v>
      </c>
      <c r="J1479" s="1" t="str">
        <f t="shared" si="46"/>
        <v>delivered</v>
      </c>
      <c r="K1479" s="1" t="str">
        <f>_xlfn.XLOOKUP(C1479, 'Product Catalog'!$A:$A, 'Product Catalog'!$B:$B, "Unknown Product")</f>
        <v>Cloud Storage Basic Model O144</v>
      </c>
      <c r="L1479" s="1" t="str">
        <f>_xlfn.XLOOKUP(C1479, 'Product Catalog'!$A:$A, 'Product Catalog'!$C:$C, "Unknown Category")</f>
        <v>Digital Services</v>
      </c>
      <c r="M1479" s="1">
        <f>_xlfn.XLOOKUP(C1479, 'Product Catalog'!$A:$A, 'Product Catalog'!$D:$D, 0)</f>
        <v>41.55</v>
      </c>
      <c r="N1479" s="1">
        <f t="shared" si="47"/>
        <v>41.55</v>
      </c>
    </row>
    <row r="1480" spans="1:14" x14ac:dyDescent="0.3">
      <c r="A1480" s="1" t="s">
        <v>1960</v>
      </c>
      <c r="B1480" s="1" t="s">
        <v>598</v>
      </c>
      <c r="C1480" s="1" t="s">
        <v>667</v>
      </c>
      <c r="D1480" s="1">
        <v>5</v>
      </c>
      <c r="E1480" s="12">
        <v>45947.9375</v>
      </c>
      <c r="F1480" s="1" t="s">
        <v>170</v>
      </c>
      <c r="G1480" s="1" t="s">
        <v>50</v>
      </c>
      <c r="H1480" s="1" t="s">
        <v>55</v>
      </c>
      <c r="I1480" s="1" t="s">
        <v>102</v>
      </c>
      <c r="J1480" s="1" t="str">
        <f t="shared" si="46"/>
        <v>disputed</v>
      </c>
      <c r="K1480" s="1" t="str">
        <f>_xlfn.XLOOKUP(C1480, 'Product Catalog'!$A:$A, 'Product Catalog'!$B:$B, "Unknown Product")</f>
        <v>Mug Model N65</v>
      </c>
      <c r="L1480" s="1" t="str">
        <f>_xlfn.XLOOKUP(C1480, 'Product Catalog'!$A:$A, 'Product Catalog'!$C:$C, "Unknown Category")</f>
        <v>Home Goods</v>
      </c>
      <c r="M1480" s="1">
        <f>_xlfn.XLOOKUP(C1480, 'Product Catalog'!$A:$A, 'Product Catalog'!$D:$D, 0)</f>
        <v>131.44999999999999</v>
      </c>
      <c r="N1480" s="1">
        <f t="shared" si="47"/>
        <v>657.25</v>
      </c>
    </row>
    <row r="1481" spans="1:14" x14ac:dyDescent="0.3">
      <c r="A1481" s="1" t="s">
        <v>1961</v>
      </c>
      <c r="B1481" s="1" t="s">
        <v>1233</v>
      </c>
      <c r="C1481" s="1" t="s">
        <v>473</v>
      </c>
      <c r="D1481" s="1">
        <v>2</v>
      </c>
      <c r="E1481" s="12">
        <v>45732.6875</v>
      </c>
      <c r="F1481" s="1" t="s">
        <v>12</v>
      </c>
      <c r="G1481" s="1" t="s">
        <v>109</v>
      </c>
      <c r="H1481" s="1" t="s">
        <v>41</v>
      </c>
      <c r="I1481" s="1" t="s">
        <v>15</v>
      </c>
      <c r="J1481" s="1" t="str">
        <f t="shared" si="46"/>
        <v>delivered</v>
      </c>
      <c r="K1481" s="1" t="str">
        <f>_xlfn.XLOOKUP(C1481, 'Product Catalog'!$A:$A, 'Product Catalog'!$B:$B, "Unknown Product")</f>
        <v>Desk Lamp Model I138</v>
      </c>
      <c r="L1481" s="1" t="str">
        <f>_xlfn.XLOOKUP(C1481, 'Product Catalog'!$A:$A, 'Product Catalog'!$C:$C, "Unknown Category")</f>
        <v>Home Goods</v>
      </c>
      <c r="M1481" s="1">
        <f>_xlfn.XLOOKUP(C1481, 'Product Catalog'!$A:$A, 'Product Catalog'!$D:$D, 0)</f>
        <v>94.55</v>
      </c>
      <c r="N1481" s="1">
        <f t="shared" si="47"/>
        <v>189.1</v>
      </c>
    </row>
    <row r="1482" spans="1:14" x14ac:dyDescent="0.3">
      <c r="A1482" s="1" t="s">
        <v>1962</v>
      </c>
      <c r="B1482" s="1" t="s">
        <v>395</v>
      </c>
      <c r="C1482" s="1" t="s">
        <v>209</v>
      </c>
      <c r="D1482" s="1">
        <v>1</v>
      </c>
      <c r="E1482" s="12">
        <v>45841.056944444441</v>
      </c>
      <c r="F1482" s="1" t="s">
        <v>19</v>
      </c>
      <c r="G1482" s="1" t="s">
        <v>109</v>
      </c>
      <c r="H1482" s="1" t="s">
        <v>41</v>
      </c>
      <c r="I1482" s="1" t="s">
        <v>102</v>
      </c>
      <c r="J1482" s="1" t="str">
        <f t="shared" si="46"/>
        <v>disputed</v>
      </c>
      <c r="K1482" s="1" t="str">
        <f>_xlfn.XLOOKUP(C1482, 'Product Catalog'!$A:$A, 'Product Catalog'!$B:$B, "Unknown Product")</f>
        <v>Silk Scarf Model Z129</v>
      </c>
      <c r="L1482" s="1" t="str">
        <f>_xlfn.XLOOKUP(C1482, 'Product Catalog'!$A:$A, 'Product Catalog'!$C:$C, "Unknown Category")</f>
        <v>Luxury Goods</v>
      </c>
      <c r="M1482" s="1">
        <f>_xlfn.XLOOKUP(C1482, 'Product Catalog'!$A:$A, 'Product Catalog'!$D:$D, 0)</f>
        <v>1610</v>
      </c>
      <c r="N1482" s="1">
        <f t="shared" si="47"/>
        <v>1610</v>
      </c>
    </row>
    <row r="1483" spans="1:14" x14ac:dyDescent="0.3">
      <c r="A1483" s="1" t="s">
        <v>1963</v>
      </c>
      <c r="B1483" s="1" t="s">
        <v>510</v>
      </c>
      <c r="C1483" s="1" t="s">
        <v>380</v>
      </c>
      <c r="D1483" s="1">
        <v>1</v>
      </c>
      <c r="E1483" s="12">
        <v>45770.693055555559</v>
      </c>
      <c r="F1483" s="1" t="s">
        <v>19</v>
      </c>
      <c r="G1483" s="1" t="s">
        <v>13</v>
      </c>
      <c r="H1483" s="1" t="s">
        <v>14</v>
      </c>
      <c r="I1483" s="1" t="s">
        <v>15</v>
      </c>
      <c r="J1483" s="1" t="str">
        <f t="shared" si="46"/>
        <v>delivered</v>
      </c>
      <c r="K1483" s="1" t="str">
        <f>_xlfn.XLOOKUP(C1483, 'Product Catalog'!$A:$A, 'Product Catalog'!$B:$B, "Unknown Product")</f>
        <v>Premium Stream 1M Model Z51</v>
      </c>
      <c r="L1483" s="1" t="str">
        <f>_xlfn.XLOOKUP(C1483, 'Product Catalog'!$A:$A, 'Product Catalog'!$C:$C, "Unknown Category")</f>
        <v>Digital Services</v>
      </c>
      <c r="M1483" s="1">
        <f>_xlfn.XLOOKUP(C1483, 'Product Catalog'!$A:$A, 'Product Catalog'!$D:$D, 0)</f>
        <v>55.69</v>
      </c>
      <c r="N1483" s="1">
        <f t="shared" si="47"/>
        <v>55.69</v>
      </c>
    </row>
    <row r="1484" spans="1:14" x14ac:dyDescent="0.3">
      <c r="A1484" s="1" t="s">
        <v>1964</v>
      </c>
      <c r="B1484" s="1" t="s">
        <v>662</v>
      </c>
      <c r="C1484" s="1" t="s">
        <v>560</v>
      </c>
      <c r="D1484" s="1">
        <v>1</v>
      </c>
      <c r="E1484" s="12">
        <v>45776.088888888888</v>
      </c>
      <c r="F1484" s="1" t="s">
        <v>19</v>
      </c>
      <c r="G1484" s="1" t="s">
        <v>50</v>
      </c>
      <c r="H1484" s="1" t="s">
        <v>55</v>
      </c>
      <c r="I1484" s="1" t="s">
        <v>42</v>
      </c>
      <c r="J1484" s="1" t="str">
        <f t="shared" si="46"/>
        <v>PENDING_REVIEW</v>
      </c>
      <c r="K1484" s="1" t="str">
        <f>_xlfn.XLOOKUP(C1484, 'Product Catalog'!$A:$A, 'Product Catalog'!$B:$B, "Unknown Product")</f>
        <v>Cloud Storage Basic Model P41</v>
      </c>
      <c r="L1484" s="1" t="str">
        <f>_xlfn.XLOOKUP(C1484, 'Product Catalog'!$A:$A, 'Product Catalog'!$C:$C, "Unknown Category")</f>
        <v>Digital Services</v>
      </c>
      <c r="M1484" s="1">
        <f>_xlfn.XLOOKUP(C1484, 'Product Catalog'!$A:$A, 'Product Catalog'!$D:$D, 0)</f>
        <v>96.93</v>
      </c>
      <c r="N1484" s="1">
        <f t="shared" si="47"/>
        <v>96.93</v>
      </c>
    </row>
    <row r="1485" spans="1:14" x14ac:dyDescent="0.3">
      <c r="A1485" s="1" t="s">
        <v>1965</v>
      </c>
      <c r="B1485" s="1" t="s">
        <v>414</v>
      </c>
      <c r="C1485" s="1" t="s">
        <v>219</v>
      </c>
      <c r="D1485" s="1">
        <v>1</v>
      </c>
      <c r="E1485" s="12">
        <v>45793.525000000001</v>
      </c>
      <c r="F1485" s="1" t="s">
        <v>39</v>
      </c>
      <c r="G1485" s="1" t="s">
        <v>50</v>
      </c>
      <c r="H1485" s="1" t="s">
        <v>55</v>
      </c>
      <c r="I1485" s="1" t="s">
        <v>102</v>
      </c>
      <c r="J1485" s="1" t="str">
        <f t="shared" si="46"/>
        <v>disputed</v>
      </c>
      <c r="K1485" s="1" t="str">
        <f>_xlfn.XLOOKUP(C1485, 'Product Catalog'!$A:$A, 'Product Catalog'!$B:$B, "Unknown Product")</f>
        <v>Cap Model P15</v>
      </c>
      <c r="L1485" s="1" t="str">
        <f>_xlfn.XLOOKUP(C1485, 'Product Catalog'!$A:$A, 'Product Catalog'!$C:$C, "Unknown Category")</f>
        <v>Apparel</v>
      </c>
      <c r="M1485" s="1">
        <f>_xlfn.XLOOKUP(C1485, 'Product Catalog'!$A:$A, 'Product Catalog'!$D:$D, 0)</f>
        <v>21.11</v>
      </c>
      <c r="N1485" s="1">
        <f t="shared" si="47"/>
        <v>21.11</v>
      </c>
    </row>
    <row r="1486" spans="1:14" x14ac:dyDescent="0.3">
      <c r="A1486" s="1" t="s">
        <v>1966</v>
      </c>
      <c r="B1486" s="1" t="s">
        <v>525</v>
      </c>
      <c r="C1486" s="1" t="s">
        <v>181</v>
      </c>
      <c r="D1486" s="1">
        <v>1</v>
      </c>
      <c r="E1486" s="12">
        <v>45777.060416666667</v>
      </c>
      <c r="F1486" s="1" t="s">
        <v>12</v>
      </c>
      <c r="G1486" s="1" t="s">
        <v>109</v>
      </c>
      <c r="H1486" s="1" t="s">
        <v>41</v>
      </c>
      <c r="I1486" s="1" t="s">
        <v>15</v>
      </c>
      <c r="J1486" s="1" t="str">
        <f t="shared" si="46"/>
        <v>delivered</v>
      </c>
      <c r="K1486" s="1" t="str">
        <f>_xlfn.XLOOKUP(C1486, 'Product Catalog'!$A:$A, 'Product Catalog'!$B:$B, "Unknown Product")</f>
        <v>Premium Stream 1M Model V99</v>
      </c>
      <c r="L1486" s="1" t="str">
        <f>_xlfn.XLOOKUP(C1486, 'Product Catalog'!$A:$A, 'Product Catalog'!$C:$C, "Unknown Category")</f>
        <v>Digital Services</v>
      </c>
      <c r="M1486" s="1">
        <f>_xlfn.XLOOKUP(C1486, 'Product Catalog'!$A:$A, 'Product Catalog'!$D:$D, 0)</f>
        <v>30.08</v>
      </c>
      <c r="N1486" s="1">
        <f t="shared" si="47"/>
        <v>30.08</v>
      </c>
    </row>
    <row r="1487" spans="1:14" x14ac:dyDescent="0.3">
      <c r="A1487" s="1" t="s">
        <v>1967</v>
      </c>
      <c r="B1487" s="1" t="s">
        <v>236</v>
      </c>
      <c r="C1487" s="1" t="s">
        <v>851</v>
      </c>
      <c r="D1487" s="1">
        <v>2</v>
      </c>
      <c r="E1487" s="12">
        <v>46000.293749999997</v>
      </c>
      <c r="F1487" s="1" t="s">
        <v>12</v>
      </c>
      <c r="G1487" s="1" t="s">
        <v>31</v>
      </c>
      <c r="H1487" s="1" t="s">
        <v>41</v>
      </c>
      <c r="I1487" s="1" t="s">
        <v>15</v>
      </c>
      <c r="J1487" s="1" t="str">
        <f t="shared" si="46"/>
        <v>delivered</v>
      </c>
      <c r="K1487" s="1" t="str">
        <f>_xlfn.XLOOKUP(C1487, 'Product Catalog'!$A:$A, 'Product Catalog'!$B:$B, "Unknown Product")</f>
        <v>Charger Model H59</v>
      </c>
      <c r="L1487" s="1" t="str">
        <f>_xlfn.XLOOKUP(C1487, 'Product Catalog'!$A:$A, 'Product Catalog'!$C:$C, "Unknown Category")</f>
        <v>Electronics</v>
      </c>
      <c r="M1487" s="1">
        <f>_xlfn.XLOOKUP(C1487, 'Product Catalog'!$A:$A, 'Product Catalog'!$D:$D, 0)</f>
        <v>204.89</v>
      </c>
      <c r="N1487" s="1">
        <f t="shared" si="47"/>
        <v>409.78</v>
      </c>
    </row>
    <row r="1488" spans="1:14" x14ac:dyDescent="0.3">
      <c r="A1488" s="1" t="s">
        <v>1968</v>
      </c>
      <c r="B1488" s="1" t="s">
        <v>869</v>
      </c>
      <c r="C1488" s="1" t="s">
        <v>512</v>
      </c>
      <c r="D1488" s="1">
        <v>5</v>
      </c>
      <c r="E1488" s="12">
        <v>45923.513194444444</v>
      </c>
      <c r="F1488" s="1" t="s">
        <v>19</v>
      </c>
      <c r="G1488" s="1" t="s">
        <v>20</v>
      </c>
      <c r="H1488" s="1" t="s">
        <v>51</v>
      </c>
      <c r="I1488" s="1" t="s">
        <v>42</v>
      </c>
      <c r="J1488" s="1" t="str">
        <f t="shared" si="46"/>
        <v>PENDING_REVIEW</v>
      </c>
      <c r="K1488" s="1" t="str">
        <f>_xlfn.XLOOKUP(C1488, 'Product Catalog'!$A:$A, 'Product Catalog'!$B:$B, "Unknown Product")</f>
        <v>Designer Watch Model M116</v>
      </c>
      <c r="L1488" s="1" t="str">
        <f>_xlfn.XLOOKUP(C1488, 'Product Catalog'!$A:$A, 'Product Catalog'!$C:$C, "Unknown Category")</f>
        <v>Luxury Goods</v>
      </c>
      <c r="M1488" s="1">
        <f>_xlfn.XLOOKUP(C1488, 'Product Catalog'!$A:$A, 'Product Catalog'!$D:$D, 0)</f>
        <v>968.52</v>
      </c>
      <c r="N1488" s="1">
        <f t="shared" si="47"/>
        <v>4842.6000000000004</v>
      </c>
    </row>
    <row r="1489" spans="1:14" x14ac:dyDescent="0.3">
      <c r="A1489" s="1" t="s">
        <v>1969</v>
      </c>
      <c r="B1489" s="1" t="s">
        <v>324</v>
      </c>
      <c r="C1489" s="1" t="s">
        <v>364</v>
      </c>
      <c r="D1489" s="1">
        <v>1</v>
      </c>
      <c r="E1489" s="12">
        <v>45856.667361111111</v>
      </c>
      <c r="F1489" s="1" t="s">
        <v>19</v>
      </c>
      <c r="G1489" s="1" t="s">
        <v>31</v>
      </c>
      <c r="H1489" s="1" t="s">
        <v>14</v>
      </c>
      <c r="I1489" s="1" t="s">
        <v>15</v>
      </c>
      <c r="J1489" s="1" t="str">
        <f t="shared" si="46"/>
        <v>delivered</v>
      </c>
      <c r="K1489" s="1" t="str">
        <f>_xlfn.XLOOKUP(C1489, 'Product Catalog'!$A:$A, 'Product Catalog'!$B:$B, "Unknown Product")</f>
        <v>Desk Lamp Model J113</v>
      </c>
      <c r="L1489" s="1" t="str">
        <f>_xlfn.XLOOKUP(C1489, 'Product Catalog'!$A:$A, 'Product Catalog'!$C:$C, "Unknown Category")</f>
        <v>Home Goods</v>
      </c>
      <c r="M1489" s="1">
        <f>_xlfn.XLOOKUP(C1489, 'Product Catalog'!$A:$A, 'Product Catalog'!$D:$D, 0)</f>
        <v>69.489999999999995</v>
      </c>
      <c r="N1489" s="1">
        <f t="shared" si="47"/>
        <v>69.489999999999995</v>
      </c>
    </row>
    <row r="1490" spans="1:14" x14ac:dyDescent="0.3">
      <c r="A1490" s="1" t="s">
        <v>1970</v>
      </c>
      <c r="B1490" s="1" t="s">
        <v>696</v>
      </c>
      <c r="C1490" s="1" t="s">
        <v>359</v>
      </c>
      <c r="D1490" s="1">
        <v>1</v>
      </c>
      <c r="E1490" s="12">
        <v>45890.065972222219</v>
      </c>
      <c r="F1490" s="1" t="s">
        <v>19</v>
      </c>
      <c r="G1490" s="1" t="s">
        <v>50</v>
      </c>
      <c r="H1490" s="1" t="s">
        <v>41</v>
      </c>
      <c r="I1490" s="1" t="s">
        <v>42</v>
      </c>
      <c r="J1490" s="1" t="str">
        <f t="shared" si="46"/>
        <v>PENDING_REVIEW</v>
      </c>
      <c r="K1490" s="1" t="str">
        <f>_xlfn.XLOOKUP(C1490, 'Product Catalog'!$A:$A, 'Product Catalog'!$B:$B, "Unknown Product")</f>
        <v>Hoodie Model H111</v>
      </c>
      <c r="L1490" s="1" t="str">
        <f>_xlfn.XLOOKUP(C1490, 'Product Catalog'!$A:$A, 'Product Catalog'!$C:$C, "Unknown Category")</f>
        <v>Apparel</v>
      </c>
      <c r="M1490" s="1">
        <f>_xlfn.XLOOKUP(C1490, 'Product Catalog'!$A:$A, 'Product Catalog'!$D:$D, 0)</f>
        <v>57.44</v>
      </c>
      <c r="N1490" s="1">
        <f t="shared" si="47"/>
        <v>57.44</v>
      </c>
    </row>
    <row r="1491" spans="1:14" x14ac:dyDescent="0.3">
      <c r="A1491" s="1" t="s">
        <v>1971</v>
      </c>
      <c r="B1491" s="1" t="s">
        <v>1220</v>
      </c>
      <c r="C1491" s="1" t="s">
        <v>195</v>
      </c>
      <c r="D1491" s="1">
        <v>1</v>
      </c>
      <c r="E1491" s="12">
        <v>45678.922222222223</v>
      </c>
      <c r="F1491" s="1" t="s">
        <v>170</v>
      </c>
      <c r="G1491" s="1" t="s">
        <v>40</v>
      </c>
      <c r="H1491" s="1" t="s">
        <v>55</v>
      </c>
      <c r="I1491" s="1" t="s">
        <v>102</v>
      </c>
      <c r="J1491" s="1" t="str">
        <f t="shared" si="46"/>
        <v>disputed</v>
      </c>
      <c r="K1491" s="1" t="str">
        <f>_xlfn.XLOOKUP(C1491, 'Product Catalog'!$A:$A, 'Product Catalog'!$B:$B, "Unknown Product")</f>
        <v>Blender Model L89</v>
      </c>
      <c r="L1491" s="1" t="str">
        <f>_xlfn.XLOOKUP(C1491, 'Product Catalog'!$A:$A, 'Product Catalog'!$C:$C, "Unknown Category")</f>
        <v>Home Goods</v>
      </c>
      <c r="M1491" s="1">
        <f>_xlfn.XLOOKUP(C1491, 'Product Catalog'!$A:$A, 'Product Catalog'!$D:$D, 0)</f>
        <v>138.6</v>
      </c>
      <c r="N1491" s="1">
        <f t="shared" si="47"/>
        <v>138.6</v>
      </c>
    </row>
    <row r="1492" spans="1:14" x14ac:dyDescent="0.3">
      <c r="A1492" s="1" t="s">
        <v>1972</v>
      </c>
      <c r="B1492" s="1" t="s">
        <v>150</v>
      </c>
      <c r="C1492" s="1" t="s">
        <v>482</v>
      </c>
      <c r="D1492" s="1">
        <v>1</v>
      </c>
      <c r="E1492" s="12">
        <v>45823.146527777775</v>
      </c>
      <c r="F1492" s="1" t="s">
        <v>19</v>
      </c>
      <c r="G1492" s="1" t="s">
        <v>31</v>
      </c>
      <c r="H1492" s="1" t="s">
        <v>41</v>
      </c>
      <c r="I1492" s="1" t="s">
        <v>15</v>
      </c>
      <c r="J1492" s="1" t="str">
        <f t="shared" si="46"/>
        <v>delivered</v>
      </c>
      <c r="K1492" s="1" t="str">
        <f>_xlfn.XLOOKUP(C1492, 'Product Catalog'!$A:$A, 'Product Catalog'!$B:$B, "Unknown Product")</f>
        <v>VPN 6-Month Pass Model E30</v>
      </c>
      <c r="L1492" s="1" t="str">
        <f>_xlfn.XLOOKUP(C1492, 'Product Catalog'!$A:$A, 'Product Catalog'!$C:$C, "Unknown Category")</f>
        <v>Digital Services</v>
      </c>
      <c r="M1492" s="1">
        <f>_xlfn.XLOOKUP(C1492, 'Product Catalog'!$A:$A, 'Product Catalog'!$D:$D, 0)</f>
        <v>28.63</v>
      </c>
      <c r="N1492" s="1">
        <f t="shared" si="47"/>
        <v>28.63</v>
      </c>
    </row>
    <row r="1493" spans="1:14" x14ac:dyDescent="0.3">
      <c r="A1493" s="1" t="s">
        <v>1973</v>
      </c>
      <c r="B1493" s="1" t="s">
        <v>510</v>
      </c>
      <c r="C1493" s="1" t="s">
        <v>380</v>
      </c>
      <c r="D1493" s="1">
        <v>1</v>
      </c>
      <c r="E1493" s="12">
        <v>46018.740972222222</v>
      </c>
      <c r="F1493" s="1" t="s">
        <v>12</v>
      </c>
      <c r="G1493" s="1" t="s">
        <v>109</v>
      </c>
      <c r="H1493" s="1" t="s">
        <v>14</v>
      </c>
      <c r="I1493" s="1" t="s">
        <v>15</v>
      </c>
      <c r="J1493" s="1" t="str">
        <f t="shared" si="46"/>
        <v>delivered</v>
      </c>
      <c r="K1493" s="1" t="str">
        <f>_xlfn.XLOOKUP(C1493, 'Product Catalog'!$A:$A, 'Product Catalog'!$B:$B, "Unknown Product")</f>
        <v>Premium Stream 1M Model Z51</v>
      </c>
      <c r="L1493" s="1" t="str">
        <f>_xlfn.XLOOKUP(C1493, 'Product Catalog'!$A:$A, 'Product Catalog'!$C:$C, "Unknown Category")</f>
        <v>Digital Services</v>
      </c>
      <c r="M1493" s="1">
        <f>_xlfn.XLOOKUP(C1493, 'Product Catalog'!$A:$A, 'Product Catalog'!$D:$D, 0)</f>
        <v>55.69</v>
      </c>
      <c r="N1493" s="1">
        <f t="shared" si="47"/>
        <v>55.69</v>
      </c>
    </row>
    <row r="1494" spans="1:14" x14ac:dyDescent="0.3">
      <c r="A1494" s="1" t="s">
        <v>1974</v>
      </c>
      <c r="B1494" s="1" t="s">
        <v>823</v>
      </c>
      <c r="C1494" s="1" t="s">
        <v>314</v>
      </c>
      <c r="D1494" s="1">
        <v>5</v>
      </c>
      <c r="E1494" s="12">
        <v>45982.388888888891</v>
      </c>
      <c r="F1494" s="1" t="s">
        <v>170</v>
      </c>
      <c r="G1494" s="1" t="s">
        <v>40</v>
      </c>
      <c r="H1494" s="1" t="s">
        <v>51</v>
      </c>
      <c r="I1494" s="1" t="s">
        <v>81</v>
      </c>
      <c r="J1494" s="1" t="str">
        <f t="shared" si="46"/>
        <v>REFUNDED</v>
      </c>
      <c r="K1494" s="1" t="str">
        <f>_xlfn.XLOOKUP(C1494, 'Product Catalog'!$A:$A, 'Product Catalog'!$B:$B, "Unknown Product")</f>
        <v>Smartwatch Model A104</v>
      </c>
      <c r="L1494" s="1" t="str">
        <f>_xlfn.XLOOKUP(C1494, 'Product Catalog'!$A:$A, 'Product Catalog'!$C:$C, "Unknown Category")</f>
        <v>Electronics</v>
      </c>
      <c r="M1494" s="1">
        <f>_xlfn.XLOOKUP(C1494, 'Product Catalog'!$A:$A, 'Product Catalog'!$D:$D, 0)</f>
        <v>80.59</v>
      </c>
      <c r="N1494" s="1">
        <f t="shared" si="47"/>
        <v>402.95000000000005</v>
      </c>
    </row>
    <row r="1495" spans="1:14" x14ac:dyDescent="0.3">
      <c r="A1495" s="1" t="s">
        <v>1975</v>
      </c>
      <c r="B1495" s="1" t="s">
        <v>153</v>
      </c>
      <c r="C1495" s="1" t="s">
        <v>619</v>
      </c>
      <c r="D1495" s="1">
        <v>2</v>
      </c>
      <c r="E1495" s="12">
        <v>45792.822916666664</v>
      </c>
      <c r="F1495" s="1" t="s">
        <v>12</v>
      </c>
      <c r="G1495" s="1" t="s">
        <v>20</v>
      </c>
      <c r="H1495" s="1" t="s">
        <v>41</v>
      </c>
      <c r="I1495" s="1" t="s">
        <v>15</v>
      </c>
      <c r="J1495" s="1" t="str">
        <f t="shared" si="46"/>
        <v>delivered</v>
      </c>
      <c r="K1495" s="1" t="str">
        <f>_xlfn.XLOOKUP(C1495, 'Product Catalog'!$A:$A, 'Product Catalog'!$B:$B, "Unknown Product")</f>
        <v>Jacket Model B27</v>
      </c>
      <c r="L1495" s="1" t="str">
        <f>_xlfn.XLOOKUP(C1495, 'Product Catalog'!$A:$A, 'Product Catalog'!$C:$C, "Unknown Category")</f>
        <v>Apparel</v>
      </c>
      <c r="M1495" s="1">
        <f>_xlfn.XLOOKUP(C1495, 'Product Catalog'!$A:$A, 'Product Catalog'!$D:$D, 0)</f>
        <v>64.290000000000006</v>
      </c>
      <c r="N1495" s="1">
        <f t="shared" si="47"/>
        <v>128.58000000000001</v>
      </c>
    </row>
    <row r="1496" spans="1:14" x14ac:dyDescent="0.3">
      <c r="A1496" s="1" t="s">
        <v>1976</v>
      </c>
      <c r="B1496" s="1" t="s">
        <v>468</v>
      </c>
      <c r="C1496" s="1" t="s">
        <v>383</v>
      </c>
      <c r="D1496" s="1">
        <v>1</v>
      </c>
      <c r="E1496" s="12">
        <v>45936.810416666667</v>
      </c>
      <c r="F1496" s="1" t="s">
        <v>12</v>
      </c>
      <c r="G1496" s="1" t="s">
        <v>31</v>
      </c>
      <c r="H1496" s="1" t="s">
        <v>14</v>
      </c>
      <c r="I1496" s="1" t="s">
        <v>15</v>
      </c>
      <c r="J1496" s="1" t="str">
        <f t="shared" si="46"/>
        <v>delivered</v>
      </c>
      <c r="K1496" s="1" t="str">
        <f>_xlfn.XLOOKUP(C1496, 'Product Catalog'!$A:$A, 'Product Catalog'!$B:$B, "Unknown Product")</f>
        <v>Keyboard Model F83</v>
      </c>
      <c r="L1496" s="1" t="str">
        <f>_xlfn.XLOOKUP(C1496, 'Product Catalog'!$A:$A, 'Product Catalog'!$C:$C, "Unknown Category")</f>
        <v>Electronics</v>
      </c>
      <c r="M1496" s="1">
        <f>_xlfn.XLOOKUP(C1496, 'Product Catalog'!$A:$A, 'Product Catalog'!$D:$D, 0)</f>
        <v>77.150000000000006</v>
      </c>
      <c r="N1496" s="1">
        <f t="shared" si="47"/>
        <v>77.150000000000006</v>
      </c>
    </row>
    <row r="1497" spans="1:14" x14ac:dyDescent="0.3">
      <c r="A1497" s="1" t="s">
        <v>1977</v>
      </c>
      <c r="B1497" s="1" t="s">
        <v>94</v>
      </c>
      <c r="C1497" s="1" t="s">
        <v>716</v>
      </c>
      <c r="D1497" s="1">
        <v>4</v>
      </c>
      <c r="E1497" s="12">
        <v>45747.535416666666</v>
      </c>
      <c r="F1497" s="1" t="s">
        <v>12</v>
      </c>
      <c r="G1497" s="1" t="s">
        <v>50</v>
      </c>
      <c r="H1497" s="1" t="s">
        <v>41</v>
      </c>
      <c r="I1497" s="1" t="s">
        <v>102</v>
      </c>
      <c r="J1497" s="1" t="str">
        <f t="shared" si="46"/>
        <v>disputed</v>
      </c>
      <c r="K1497" s="1" t="str">
        <f>_xlfn.XLOOKUP(C1497, 'Product Catalog'!$A:$A, 'Product Catalog'!$B:$B, "Unknown Product")</f>
        <v>Jeans Model X101</v>
      </c>
      <c r="L1497" s="1" t="str">
        <f>_xlfn.XLOOKUP(C1497, 'Product Catalog'!$A:$A, 'Product Catalog'!$C:$C, "Unknown Category")</f>
        <v>Apparel</v>
      </c>
      <c r="M1497" s="1">
        <f>_xlfn.XLOOKUP(C1497, 'Product Catalog'!$A:$A, 'Product Catalog'!$D:$D, 0)</f>
        <v>99.82</v>
      </c>
      <c r="N1497" s="1">
        <f t="shared" si="47"/>
        <v>399.28</v>
      </c>
    </row>
    <row r="1498" spans="1:14" x14ac:dyDescent="0.3">
      <c r="A1498" s="1" t="s">
        <v>1978</v>
      </c>
      <c r="B1498" s="1" t="s">
        <v>420</v>
      </c>
      <c r="C1498" s="1" t="s">
        <v>167</v>
      </c>
      <c r="D1498" s="1">
        <v>1</v>
      </c>
      <c r="E1498" s="12">
        <v>45992.538194444445</v>
      </c>
      <c r="F1498" s="1" t="s">
        <v>12</v>
      </c>
      <c r="G1498" s="1" t="s">
        <v>46</v>
      </c>
      <c r="H1498" s="1" t="s">
        <v>41</v>
      </c>
      <c r="I1498" s="1" t="s">
        <v>15</v>
      </c>
      <c r="J1498" s="1" t="str">
        <f t="shared" si="46"/>
        <v>delivered</v>
      </c>
      <c r="K1498" s="1" t="str">
        <f>_xlfn.XLOOKUP(C1498, 'Product Catalog'!$A:$A, 'Product Catalog'!$B:$B, "Unknown Product")</f>
        <v>Premium Stream 1M Model V125</v>
      </c>
      <c r="L1498" s="1" t="str">
        <f>_xlfn.XLOOKUP(C1498, 'Product Catalog'!$A:$A, 'Product Catalog'!$C:$C, "Unknown Category")</f>
        <v>Digital Services</v>
      </c>
      <c r="M1498" s="1">
        <f>_xlfn.XLOOKUP(C1498, 'Product Catalog'!$A:$A, 'Product Catalog'!$D:$D, 0)</f>
        <v>18.87</v>
      </c>
      <c r="N1498" s="1">
        <f t="shared" si="47"/>
        <v>18.87</v>
      </c>
    </row>
    <row r="1499" spans="1:14" x14ac:dyDescent="0.3">
      <c r="A1499" s="1" t="s">
        <v>1979</v>
      </c>
      <c r="B1499" s="1" t="s">
        <v>1391</v>
      </c>
      <c r="C1499" s="1" t="s">
        <v>309</v>
      </c>
      <c r="D1499" s="1">
        <v>1</v>
      </c>
      <c r="E1499" s="12">
        <v>45845.835416666669</v>
      </c>
      <c r="F1499" s="1" t="s">
        <v>185</v>
      </c>
      <c r="G1499" s="1" t="s">
        <v>46</v>
      </c>
      <c r="H1499" s="1" t="s">
        <v>41</v>
      </c>
      <c r="I1499" s="1" t="s">
        <v>15</v>
      </c>
      <c r="J1499" s="1" t="str">
        <f t="shared" si="46"/>
        <v>delivered</v>
      </c>
      <c r="K1499" s="1" t="str">
        <f>_xlfn.XLOOKUP(C1499, 'Product Catalog'!$A:$A, 'Product Catalog'!$B:$B, "Unknown Product")</f>
        <v>Sneakers Model C2</v>
      </c>
      <c r="L1499" s="1" t="str">
        <f>_xlfn.XLOOKUP(C1499, 'Product Catalog'!$A:$A, 'Product Catalog'!$C:$C, "Unknown Category")</f>
        <v>Apparel</v>
      </c>
      <c r="M1499" s="1">
        <f>_xlfn.XLOOKUP(C1499, 'Product Catalog'!$A:$A, 'Product Catalog'!$D:$D, 0)</f>
        <v>21.27</v>
      </c>
      <c r="N1499" s="1">
        <f t="shared" si="47"/>
        <v>21.27</v>
      </c>
    </row>
    <row r="1500" spans="1:14" x14ac:dyDescent="0.3">
      <c r="A1500" s="1" t="s">
        <v>1980</v>
      </c>
      <c r="B1500" s="1" t="s">
        <v>1565</v>
      </c>
      <c r="C1500" s="1" t="s">
        <v>219</v>
      </c>
      <c r="D1500" s="1">
        <v>1</v>
      </c>
      <c r="E1500" s="12">
        <v>45992.11041666667</v>
      </c>
      <c r="F1500" s="1" t="s">
        <v>19</v>
      </c>
      <c r="G1500" s="1" t="s">
        <v>40</v>
      </c>
      <c r="H1500" s="1" t="s">
        <v>55</v>
      </c>
      <c r="I1500" s="1" t="s">
        <v>42</v>
      </c>
      <c r="J1500" s="1" t="str">
        <f t="shared" si="46"/>
        <v>PENDING_REVIEW</v>
      </c>
      <c r="K1500" s="1" t="str">
        <f>_xlfn.XLOOKUP(C1500, 'Product Catalog'!$A:$A, 'Product Catalog'!$B:$B, "Unknown Product")</f>
        <v>Cap Model P15</v>
      </c>
      <c r="L1500" s="1" t="str">
        <f>_xlfn.XLOOKUP(C1500, 'Product Catalog'!$A:$A, 'Product Catalog'!$C:$C, "Unknown Category")</f>
        <v>Apparel</v>
      </c>
      <c r="M1500" s="1">
        <f>_xlfn.XLOOKUP(C1500, 'Product Catalog'!$A:$A, 'Product Catalog'!$D:$D, 0)</f>
        <v>21.11</v>
      </c>
      <c r="N1500" s="1">
        <f t="shared" si="47"/>
        <v>21.11</v>
      </c>
    </row>
    <row r="1501" spans="1:14" x14ac:dyDescent="0.3">
      <c r="A1501" s="1" t="s">
        <v>1981</v>
      </c>
      <c r="B1501" s="1" t="s">
        <v>205</v>
      </c>
      <c r="C1501" s="1" t="s">
        <v>492</v>
      </c>
      <c r="D1501" s="1">
        <v>1</v>
      </c>
      <c r="E1501" s="12">
        <v>45922.357638888891</v>
      </c>
      <c r="F1501" s="1" t="s">
        <v>19</v>
      </c>
      <c r="G1501" s="1" t="s">
        <v>31</v>
      </c>
      <c r="H1501" s="1" t="s">
        <v>41</v>
      </c>
      <c r="I1501" s="1" t="s">
        <v>15</v>
      </c>
      <c r="J1501" s="1" t="str">
        <f t="shared" si="46"/>
        <v>delivered</v>
      </c>
      <c r="K1501" s="1" t="str">
        <f>_xlfn.XLOOKUP(C1501, 'Product Catalog'!$A:$A, 'Product Catalog'!$B:$B, "Unknown Product")</f>
        <v>Blender Model Q16</v>
      </c>
      <c r="L1501" s="1" t="str">
        <f>_xlfn.XLOOKUP(C1501, 'Product Catalog'!$A:$A, 'Product Catalog'!$C:$C, "Unknown Category")</f>
        <v>Home Goods</v>
      </c>
      <c r="M1501" s="1">
        <f>_xlfn.XLOOKUP(C1501, 'Product Catalog'!$A:$A, 'Product Catalog'!$D:$D, 0)</f>
        <v>79.23</v>
      </c>
      <c r="N1501" s="1">
        <f t="shared" si="47"/>
        <v>79.23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1"/>
  <sheetViews>
    <sheetView workbookViewId="0">
      <selection activeCell="F2" sqref="F2"/>
    </sheetView>
  </sheetViews>
  <sheetFormatPr defaultRowHeight="14.4" x14ac:dyDescent="0.3"/>
  <cols>
    <col min="1" max="1" width="25.44140625" customWidth="1"/>
    <col min="2" max="2" width="40.77734375" customWidth="1"/>
    <col min="3" max="3" width="24.44140625" customWidth="1"/>
    <col min="4" max="4" width="29.109375" customWidth="1"/>
    <col min="5" max="5" width="32.5546875" customWidth="1"/>
    <col min="6" max="6" width="34.6640625" customWidth="1"/>
    <col min="7" max="7" width="20.88671875" customWidth="1"/>
    <col min="8" max="8" width="68.21875" customWidth="1"/>
  </cols>
  <sheetData>
    <row r="1" spans="1:11" x14ac:dyDescent="0.3">
      <c r="A1" s="6" t="s">
        <v>2</v>
      </c>
      <c r="B1" s="6" t="s">
        <v>1982</v>
      </c>
      <c r="C1" s="6" t="s">
        <v>1983</v>
      </c>
      <c r="D1" s="6" t="s">
        <v>1984</v>
      </c>
      <c r="E1" s="6" t="s">
        <v>1985</v>
      </c>
      <c r="F1" s="6" t="s">
        <v>1986</v>
      </c>
      <c r="G1" s="3"/>
      <c r="H1" s="4"/>
    </row>
    <row r="2" spans="1:11" x14ac:dyDescent="0.3">
      <c r="A2" s="2" t="s">
        <v>393</v>
      </c>
      <c r="B2" s="2" t="s">
        <v>1987</v>
      </c>
      <c r="C2" s="2" t="s">
        <v>1988</v>
      </c>
      <c r="D2" s="2">
        <v>189.26</v>
      </c>
      <c r="E2" s="2" t="s">
        <v>1989</v>
      </c>
      <c r="F2" s="2">
        <v>2.4</v>
      </c>
      <c r="G2" s="2"/>
      <c r="H2" s="5"/>
    </row>
    <row r="3" spans="1:11" x14ac:dyDescent="0.3">
      <c r="A3" s="2" t="s">
        <v>309</v>
      </c>
      <c r="B3" s="2" t="s">
        <v>1990</v>
      </c>
      <c r="C3" s="2" t="s">
        <v>1991</v>
      </c>
      <c r="D3" s="2">
        <v>21.27</v>
      </c>
      <c r="E3" s="2" t="s">
        <v>1989</v>
      </c>
      <c r="F3" s="2">
        <v>4.0999999999999996</v>
      </c>
      <c r="G3" s="2"/>
      <c r="H3" s="5"/>
    </row>
    <row r="4" spans="1:11" x14ac:dyDescent="0.3">
      <c r="A4" s="2" t="s">
        <v>143</v>
      </c>
      <c r="B4" s="2" t="s">
        <v>1992</v>
      </c>
      <c r="C4" s="2" t="s">
        <v>1993</v>
      </c>
      <c r="D4" s="2">
        <v>1599.08</v>
      </c>
      <c r="E4" s="2" t="s">
        <v>1994</v>
      </c>
      <c r="F4" s="2">
        <v>1.6</v>
      </c>
      <c r="H4" s="5"/>
    </row>
    <row r="5" spans="1:11" x14ac:dyDescent="0.3">
      <c r="A5" s="2" t="s">
        <v>105</v>
      </c>
      <c r="B5" s="2" t="s">
        <v>1995</v>
      </c>
      <c r="C5" s="2" t="s">
        <v>1988</v>
      </c>
      <c r="D5" s="2">
        <v>69.680000000000007</v>
      </c>
      <c r="E5" s="2" t="s">
        <v>1989</v>
      </c>
      <c r="F5" s="2">
        <v>3.6</v>
      </c>
      <c r="G5" s="2"/>
      <c r="H5" s="5"/>
    </row>
    <row r="6" spans="1:11" x14ac:dyDescent="0.3">
      <c r="A6" s="2" t="s">
        <v>522</v>
      </c>
      <c r="B6" s="2" t="s">
        <v>1996</v>
      </c>
      <c r="C6" s="2" t="s">
        <v>1993</v>
      </c>
      <c r="D6" s="2">
        <v>1875.24</v>
      </c>
      <c r="E6" s="2" t="s">
        <v>1994</v>
      </c>
      <c r="F6" s="2">
        <v>4</v>
      </c>
      <c r="G6" s="2"/>
      <c r="H6" s="5"/>
    </row>
    <row r="7" spans="1:11" x14ac:dyDescent="0.3">
      <c r="A7" s="2" t="s">
        <v>119</v>
      </c>
      <c r="B7" s="2" t="s">
        <v>1997</v>
      </c>
      <c r="C7" s="2" t="s">
        <v>1998</v>
      </c>
      <c r="D7" s="2">
        <v>47.23</v>
      </c>
      <c r="E7" s="2" t="s">
        <v>1999</v>
      </c>
      <c r="F7" s="2">
        <v>2.5</v>
      </c>
      <c r="G7" s="2"/>
      <c r="H7" s="5"/>
    </row>
    <row r="8" spans="1:11" x14ac:dyDescent="0.3">
      <c r="A8" s="2" t="s">
        <v>108</v>
      </c>
      <c r="B8" s="2" t="s">
        <v>2000</v>
      </c>
      <c r="C8" s="2" t="s">
        <v>1988</v>
      </c>
      <c r="D8" s="2">
        <v>204.37</v>
      </c>
      <c r="E8" s="2" t="s">
        <v>1989</v>
      </c>
      <c r="F8" s="2">
        <v>3.9</v>
      </c>
      <c r="G8" s="2"/>
    </row>
    <row r="9" spans="1:11" x14ac:dyDescent="0.3">
      <c r="A9" s="2" t="s">
        <v>879</v>
      </c>
      <c r="B9" s="2" t="s">
        <v>2001</v>
      </c>
      <c r="C9" s="2" t="s">
        <v>2002</v>
      </c>
      <c r="D9" s="2">
        <v>44.88</v>
      </c>
      <c r="E9" s="2" t="s">
        <v>1989</v>
      </c>
      <c r="F9" s="2">
        <v>4.9000000000000004</v>
      </c>
      <c r="G9" s="2"/>
    </row>
    <row r="10" spans="1:11" x14ac:dyDescent="0.3">
      <c r="A10" s="2" t="s">
        <v>125</v>
      </c>
      <c r="B10" s="2" t="s">
        <v>2003</v>
      </c>
      <c r="C10" s="2" t="s">
        <v>2002</v>
      </c>
      <c r="D10" s="2">
        <v>34.840000000000003</v>
      </c>
      <c r="E10" s="2" t="s">
        <v>1989</v>
      </c>
      <c r="F10" s="2">
        <v>1.8</v>
      </c>
      <c r="G10" s="2"/>
    </row>
    <row r="11" spans="1:11" x14ac:dyDescent="0.3">
      <c r="A11" s="2" t="s">
        <v>407</v>
      </c>
      <c r="B11" s="2" t="s">
        <v>2004</v>
      </c>
      <c r="C11" s="2" t="s">
        <v>2002</v>
      </c>
      <c r="D11" s="2">
        <v>62.32</v>
      </c>
      <c r="E11" s="2" t="s">
        <v>1989</v>
      </c>
      <c r="F11" s="2">
        <v>1.7</v>
      </c>
      <c r="G11" s="2"/>
      <c r="K11" t="s">
        <v>2145</v>
      </c>
    </row>
    <row r="12" spans="1:11" x14ac:dyDescent="0.3">
      <c r="A12" s="2" t="s">
        <v>466</v>
      </c>
      <c r="B12" s="2" t="s">
        <v>2005</v>
      </c>
      <c r="C12" s="2" t="s">
        <v>1998</v>
      </c>
      <c r="D12" s="2">
        <v>16.73</v>
      </c>
      <c r="E12" s="2" t="s">
        <v>1999</v>
      </c>
      <c r="F12" s="2">
        <v>4.7</v>
      </c>
    </row>
    <row r="13" spans="1:11" x14ac:dyDescent="0.3">
      <c r="A13" s="2" t="s">
        <v>62</v>
      </c>
      <c r="B13" s="2" t="s">
        <v>2006</v>
      </c>
      <c r="C13" s="2" t="s">
        <v>1988</v>
      </c>
      <c r="D13" s="2">
        <v>83.9</v>
      </c>
      <c r="E13" s="2" t="s">
        <v>1989</v>
      </c>
      <c r="F13" s="2">
        <v>3.7</v>
      </c>
    </row>
    <row r="14" spans="1:11" x14ac:dyDescent="0.3">
      <c r="A14" s="2" t="s">
        <v>154</v>
      </c>
      <c r="B14" s="2" t="s">
        <v>2007</v>
      </c>
      <c r="C14" s="2" t="s">
        <v>2002</v>
      </c>
      <c r="D14" s="2">
        <v>50.77</v>
      </c>
      <c r="E14" s="2" t="s">
        <v>1989</v>
      </c>
      <c r="F14" s="2">
        <v>1.7</v>
      </c>
    </row>
    <row r="15" spans="1:11" x14ac:dyDescent="0.3">
      <c r="A15" s="2" t="s">
        <v>396</v>
      </c>
      <c r="B15" s="2" t="s">
        <v>2008</v>
      </c>
      <c r="C15" s="2" t="s">
        <v>1991</v>
      </c>
      <c r="D15" s="2">
        <v>41.83</v>
      </c>
      <c r="E15" s="2" t="s">
        <v>1989</v>
      </c>
      <c r="F15" s="2">
        <v>1.8</v>
      </c>
    </row>
    <row r="16" spans="1:11" x14ac:dyDescent="0.3">
      <c r="A16" s="2" t="s">
        <v>219</v>
      </c>
      <c r="B16" s="2" t="s">
        <v>2009</v>
      </c>
      <c r="C16" s="2" t="s">
        <v>1991</v>
      </c>
      <c r="D16" s="2">
        <v>21.11</v>
      </c>
      <c r="E16" s="2" t="s">
        <v>1989</v>
      </c>
      <c r="F16" s="2">
        <v>2.5</v>
      </c>
    </row>
    <row r="17" spans="1:6" x14ac:dyDescent="0.3">
      <c r="A17" s="2" t="s">
        <v>492</v>
      </c>
      <c r="B17" s="2" t="s">
        <v>2010</v>
      </c>
      <c r="C17" s="2" t="s">
        <v>2002</v>
      </c>
      <c r="D17" s="2">
        <v>79.23</v>
      </c>
      <c r="E17" s="2" t="s">
        <v>1989</v>
      </c>
      <c r="F17" s="2">
        <v>2.2000000000000002</v>
      </c>
    </row>
    <row r="18" spans="1:6" x14ac:dyDescent="0.3">
      <c r="A18" s="2" t="s">
        <v>203</v>
      </c>
      <c r="B18" s="2" t="s">
        <v>2011</v>
      </c>
      <c r="C18" s="2" t="s">
        <v>2002</v>
      </c>
      <c r="D18" s="2">
        <v>169.86</v>
      </c>
      <c r="E18" s="2" t="s">
        <v>1989</v>
      </c>
      <c r="F18" s="2">
        <v>3.8</v>
      </c>
    </row>
    <row r="19" spans="1:6" x14ac:dyDescent="0.3">
      <c r="A19" s="2" t="s">
        <v>80</v>
      </c>
      <c r="B19" s="2" t="s">
        <v>2012</v>
      </c>
      <c r="C19" s="2" t="s">
        <v>1993</v>
      </c>
      <c r="D19" s="2">
        <v>1475.11</v>
      </c>
      <c r="E19" s="2" t="s">
        <v>1994</v>
      </c>
      <c r="F19" s="2">
        <v>2.4</v>
      </c>
    </row>
    <row r="20" spans="1:6" x14ac:dyDescent="0.3">
      <c r="A20" s="2" t="s">
        <v>706</v>
      </c>
      <c r="B20" s="2" t="s">
        <v>2013</v>
      </c>
      <c r="C20" s="2" t="s">
        <v>1998</v>
      </c>
      <c r="D20" s="2">
        <v>30.38</v>
      </c>
      <c r="E20" s="2" t="s">
        <v>1999</v>
      </c>
      <c r="F20" s="2">
        <v>4.7</v>
      </c>
    </row>
    <row r="21" spans="1:6" x14ac:dyDescent="0.3">
      <c r="A21" s="2" t="s">
        <v>237</v>
      </c>
      <c r="B21" s="2" t="s">
        <v>2014</v>
      </c>
      <c r="C21" s="2" t="s">
        <v>1993</v>
      </c>
      <c r="D21" s="2">
        <v>1806.15</v>
      </c>
      <c r="E21" s="2" t="s">
        <v>1994</v>
      </c>
      <c r="F21" s="2">
        <v>4.4000000000000004</v>
      </c>
    </row>
    <row r="22" spans="1:6" x14ac:dyDescent="0.3">
      <c r="A22" s="2" t="s">
        <v>54</v>
      </c>
      <c r="B22" s="2" t="s">
        <v>2015</v>
      </c>
      <c r="C22" s="2" t="s">
        <v>1988</v>
      </c>
      <c r="D22" s="2">
        <v>208.12</v>
      </c>
      <c r="E22" s="2" t="s">
        <v>1989</v>
      </c>
      <c r="F22" s="2">
        <v>4.3</v>
      </c>
    </row>
    <row r="23" spans="1:6" x14ac:dyDescent="0.3">
      <c r="A23" s="2" t="s">
        <v>399</v>
      </c>
      <c r="B23" s="2" t="s">
        <v>2016</v>
      </c>
      <c r="C23" s="2" t="s">
        <v>1998</v>
      </c>
      <c r="D23" s="2">
        <v>11.22</v>
      </c>
      <c r="E23" s="2" t="s">
        <v>1999</v>
      </c>
      <c r="F23" s="2">
        <v>4.7</v>
      </c>
    </row>
    <row r="24" spans="1:6" x14ac:dyDescent="0.3">
      <c r="A24" s="2" t="s">
        <v>216</v>
      </c>
      <c r="B24" s="2" t="s">
        <v>2017</v>
      </c>
      <c r="C24" s="2" t="s">
        <v>1993</v>
      </c>
      <c r="D24" s="2">
        <v>767.78</v>
      </c>
      <c r="E24" s="2" t="s">
        <v>1994</v>
      </c>
      <c r="F24" s="2">
        <v>3.2</v>
      </c>
    </row>
    <row r="25" spans="1:6" x14ac:dyDescent="0.3">
      <c r="A25" s="2" t="s">
        <v>320</v>
      </c>
      <c r="B25" s="2" t="s">
        <v>2018</v>
      </c>
      <c r="C25" s="2" t="s">
        <v>1998</v>
      </c>
      <c r="D25" s="2">
        <v>29.9</v>
      </c>
      <c r="E25" s="2" t="s">
        <v>1999</v>
      </c>
      <c r="F25" s="2">
        <v>2.4</v>
      </c>
    </row>
    <row r="26" spans="1:6" x14ac:dyDescent="0.3">
      <c r="A26" s="2" t="s">
        <v>59</v>
      </c>
      <c r="B26" s="2" t="s">
        <v>2019</v>
      </c>
      <c r="C26" s="2" t="s">
        <v>1993</v>
      </c>
      <c r="D26" s="2">
        <v>878.03</v>
      </c>
      <c r="E26" s="2" t="s">
        <v>1994</v>
      </c>
      <c r="F26" s="2">
        <v>3.5</v>
      </c>
    </row>
    <row r="27" spans="1:6" x14ac:dyDescent="0.3">
      <c r="A27" s="2" t="s">
        <v>164</v>
      </c>
      <c r="B27" s="2" t="s">
        <v>2020</v>
      </c>
      <c r="C27" s="2" t="s">
        <v>1993</v>
      </c>
      <c r="D27" s="2">
        <v>1096.3900000000001</v>
      </c>
      <c r="E27" s="2" t="s">
        <v>1994</v>
      </c>
      <c r="F27" s="2">
        <v>5</v>
      </c>
    </row>
    <row r="28" spans="1:6" x14ac:dyDescent="0.3">
      <c r="A28" s="2" t="s">
        <v>619</v>
      </c>
      <c r="B28" s="2" t="s">
        <v>2021</v>
      </c>
      <c r="C28" s="2" t="s">
        <v>1991</v>
      </c>
      <c r="D28" s="2">
        <v>64.290000000000006</v>
      </c>
      <c r="E28" s="2" t="s">
        <v>1989</v>
      </c>
      <c r="F28" s="2">
        <v>4.0999999999999996</v>
      </c>
    </row>
    <row r="29" spans="1:6" x14ac:dyDescent="0.3">
      <c r="A29" s="2" t="s">
        <v>131</v>
      </c>
      <c r="B29" s="2" t="s">
        <v>2022</v>
      </c>
      <c r="C29" s="2" t="s">
        <v>1988</v>
      </c>
      <c r="D29" s="2">
        <v>162.44999999999999</v>
      </c>
      <c r="E29" s="2" t="s">
        <v>1989</v>
      </c>
      <c r="F29" s="2">
        <v>4.3</v>
      </c>
    </row>
    <row r="30" spans="1:6" x14ac:dyDescent="0.3">
      <c r="A30" s="2" t="s">
        <v>71</v>
      </c>
      <c r="B30" s="2" t="s">
        <v>2023</v>
      </c>
      <c r="C30" s="2" t="s">
        <v>1998</v>
      </c>
      <c r="D30" s="2">
        <v>10.97</v>
      </c>
      <c r="E30" s="2" t="s">
        <v>1999</v>
      </c>
      <c r="F30" s="2">
        <v>2.8</v>
      </c>
    </row>
    <row r="31" spans="1:6" x14ac:dyDescent="0.3">
      <c r="A31" s="2" t="s">
        <v>482</v>
      </c>
      <c r="B31" s="2" t="s">
        <v>2024</v>
      </c>
      <c r="C31" s="2" t="s">
        <v>1998</v>
      </c>
      <c r="D31" s="2">
        <v>28.63</v>
      </c>
      <c r="E31" s="2" t="s">
        <v>1999</v>
      </c>
      <c r="F31" s="2">
        <v>3.4</v>
      </c>
    </row>
    <row r="32" spans="1:6" x14ac:dyDescent="0.3">
      <c r="A32" s="2" t="s">
        <v>206</v>
      </c>
      <c r="B32" s="2" t="s">
        <v>2025</v>
      </c>
      <c r="C32" s="2" t="s">
        <v>1988</v>
      </c>
      <c r="D32" s="2">
        <v>184.37</v>
      </c>
      <c r="E32" s="2" t="s">
        <v>1989</v>
      </c>
      <c r="F32" s="2">
        <v>3.9</v>
      </c>
    </row>
    <row r="33" spans="1:6" x14ac:dyDescent="0.3">
      <c r="A33" s="2" t="s">
        <v>68</v>
      </c>
      <c r="B33" s="2" t="s">
        <v>2026</v>
      </c>
      <c r="C33" s="2" t="s">
        <v>1993</v>
      </c>
      <c r="D33" s="2">
        <v>1990.92</v>
      </c>
      <c r="E33" s="2" t="s">
        <v>1994</v>
      </c>
      <c r="F33" s="2">
        <v>2.7</v>
      </c>
    </row>
    <row r="34" spans="1:6" x14ac:dyDescent="0.3">
      <c r="A34" s="2" t="s">
        <v>374</v>
      </c>
      <c r="B34" s="2" t="s">
        <v>2027</v>
      </c>
      <c r="C34" s="2" t="s">
        <v>2002</v>
      </c>
      <c r="D34" s="2">
        <v>45.31</v>
      </c>
      <c r="E34" s="2" t="s">
        <v>1989</v>
      </c>
      <c r="F34" s="2">
        <v>1.5</v>
      </c>
    </row>
    <row r="35" spans="1:6" x14ac:dyDescent="0.3">
      <c r="A35" s="2" t="s">
        <v>409</v>
      </c>
      <c r="B35" s="2" t="s">
        <v>2028</v>
      </c>
      <c r="C35" s="2" t="s">
        <v>2002</v>
      </c>
      <c r="D35" s="2">
        <v>141.91</v>
      </c>
      <c r="E35" s="2" t="s">
        <v>1989</v>
      </c>
      <c r="F35" s="2">
        <v>3.3</v>
      </c>
    </row>
    <row r="36" spans="1:6" x14ac:dyDescent="0.3">
      <c r="A36" s="2" t="s">
        <v>84</v>
      </c>
      <c r="B36" s="2" t="s">
        <v>2029</v>
      </c>
      <c r="C36" s="2" t="s">
        <v>1988</v>
      </c>
      <c r="D36" s="2">
        <v>161.94999999999999</v>
      </c>
      <c r="E36" s="2" t="s">
        <v>1989</v>
      </c>
      <c r="F36" s="2">
        <v>4.4000000000000004</v>
      </c>
    </row>
    <row r="37" spans="1:6" x14ac:dyDescent="0.3">
      <c r="A37" s="2" t="s">
        <v>446</v>
      </c>
      <c r="B37" s="2" t="s">
        <v>2030</v>
      </c>
      <c r="C37" s="2" t="s">
        <v>1993</v>
      </c>
      <c r="D37" s="2">
        <v>737.6</v>
      </c>
      <c r="E37" s="2" t="s">
        <v>1994</v>
      </c>
      <c r="F37" s="2">
        <v>2.8</v>
      </c>
    </row>
    <row r="38" spans="1:6" x14ac:dyDescent="0.3">
      <c r="A38" s="2" t="s">
        <v>1204</v>
      </c>
      <c r="B38" s="2" t="s">
        <v>2031</v>
      </c>
      <c r="C38" s="2" t="s">
        <v>1991</v>
      </c>
      <c r="D38" s="2">
        <v>114.88</v>
      </c>
      <c r="E38" s="2" t="s">
        <v>1989</v>
      </c>
      <c r="F38" s="2">
        <v>4.7</v>
      </c>
    </row>
    <row r="39" spans="1:6" x14ac:dyDescent="0.3">
      <c r="A39" s="2" t="s">
        <v>542</v>
      </c>
      <c r="B39" s="2" t="s">
        <v>2032</v>
      </c>
      <c r="C39" s="2" t="s">
        <v>1988</v>
      </c>
      <c r="D39" s="2">
        <v>91.18</v>
      </c>
      <c r="E39" s="2" t="s">
        <v>1989</v>
      </c>
      <c r="F39" s="2">
        <v>1.6</v>
      </c>
    </row>
    <row r="40" spans="1:6" x14ac:dyDescent="0.3">
      <c r="A40" s="2" t="s">
        <v>128</v>
      </c>
      <c r="B40" s="2" t="s">
        <v>2033</v>
      </c>
      <c r="C40" s="2" t="s">
        <v>2002</v>
      </c>
      <c r="D40" s="2">
        <v>149.08000000000001</v>
      </c>
      <c r="E40" s="2" t="s">
        <v>1989</v>
      </c>
      <c r="F40" s="2">
        <v>2.2999999999999998</v>
      </c>
    </row>
    <row r="41" spans="1:6" x14ac:dyDescent="0.3">
      <c r="A41" s="2" t="s">
        <v>184</v>
      </c>
      <c r="B41" s="2" t="s">
        <v>2034</v>
      </c>
      <c r="C41" s="2" t="s">
        <v>1991</v>
      </c>
      <c r="D41" s="2">
        <v>114.16</v>
      </c>
      <c r="E41" s="2" t="s">
        <v>1989</v>
      </c>
      <c r="F41" s="2">
        <v>1.8</v>
      </c>
    </row>
    <row r="42" spans="1:6" x14ac:dyDescent="0.3">
      <c r="A42" s="2" t="s">
        <v>560</v>
      </c>
      <c r="B42" s="2" t="s">
        <v>2035</v>
      </c>
      <c r="C42" s="2" t="s">
        <v>1998</v>
      </c>
      <c r="D42" s="2">
        <v>96.93</v>
      </c>
      <c r="E42" s="2" t="s">
        <v>1999</v>
      </c>
      <c r="F42" s="2">
        <v>3.4</v>
      </c>
    </row>
    <row r="43" spans="1:6" x14ac:dyDescent="0.3">
      <c r="A43" s="2" t="s">
        <v>334</v>
      </c>
      <c r="B43" s="2" t="s">
        <v>2036</v>
      </c>
      <c r="C43" s="2" t="s">
        <v>1991</v>
      </c>
      <c r="D43" s="2">
        <v>82.57</v>
      </c>
      <c r="E43" s="2" t="s">
        <v>1989</v>
      </c>
      <c r="F43" s="2">
        <v>4.8</v>
      </c>
    </row>
    <row r="44" spans="1:6" x14ac:dyDescent="0.3">
      <c r="A44" s="2" t="s">
        <v>151</v>
      </c>
      <c r="B44" s="2" t="s">
        <v>2037</v>
      </c>
      <c r="C44" s="2" t="s">
        <v>1991</v>
      </c>
      <c r="D44" s="2">
        <v>68.040000000000006</v>
      </c>
      <c r="E44" s="2" t="s">
        <v>1989</v>
      </c>
      <c r="F44" s="2">
        <v>3.6</v>
      </c>
    </row>
    <row r="45" spans="1:6" x14ac:dyDescent="0.3">
      <c r="A45" s="2" t="s">
        <v>740</v>
      </c>
      <c r="B45" s="2" t="s">
        <v>2038</v>
      </c>
      <c r="C45" s="2" t="s">
        <v>1991</v>
      </c>
      <c r="D45" s="2">
        <v>93.08</v>
      </c>
      <c r="E45" s="2" t="s">
        <v>1989</v>
      </c>
      <c r="F45" s="2">
        <v>3.9</v>
      </c>
    </row>
    <row r="46" spans="1:6" x14ac:dyDescent="0.3">
      <c r="A46" s="2" t="s">
        <v>496</v>
      </c>
      <c r="B46" s="2" t="s">
        <v>2039</v>
      </c>
      <c r="C46" s="2" t="s">
        <v>2002</v>
      </c>
      <c r="D46" s="2">
        <v>179.22</v>
      </c>
      <c r="E46" s="2" t="s">
        <v>1989</v>
      </c>
      <c r="F46" s="2">
        <v>3.8</v>
      </c>
    </row>
    <row r="47" spans="1:6" x14ac:dyDescent="0.3">
      <c r="A47" s="2" t="s">
        <v>352</v>
      </c>
      <c r="B47" s="2" t="s">
        <v>2040</v>
      </c>
      <c r="C47" s="2" t="s">
        <v>1998</v>
      </c>
      <c r="D47" s="2">
        <v>47.44</v>
      </c>
      <c r="E47" s="2" t="s">
        <v>1999</v>
      </c>
      <c r="F47" s="2">
        <v>2.4</v>
      </c>
    </row>
    <row r="48" spans="1:6" x14ac:dyDescent="0.3">
      <c r="A48" s="2" t="s">
        <v>782</v>
      </c>
      <c r="B48" s="2" t="s">
        <v>2041</v>
      </c>
      <c r="C48" s="2" t="s">
        <v>1988</v>
      </c>
      <c r="D48" s="2">
        <v>19.940000000000001</v>
      </c>
      <c r="E48" s="2" t="s">
        <v>1989</v>
      </c>
      <c r="F48" s="2">
        <v>3.4</v>
      </c>
    </row>
    <row r="49" spans="1:6" x14ac:dyDescent="0.3">
      <c r="A49" s="2" t="s">
        <v>316</v>
      </c>
      <c r="B49" s="2" t="s">
        <v>2042</v>
      </c>
      <c r="C49" s="2" t="s">
        <v>1993</v>
      </c>
      <c r="D49" s="2">
        <v>315.82</v>
      </c>
      <c r="E49" s="2" t="s">
        <v>1994</v>
      </c>
      <c r="F49" s="2">
        <v>4</v>
      </c>
    </row>
    <row r="50" spans="1:6" x14ac:dyDescent="0.3">
      <c r="A50" s="2" t="s">
        <v>633</v>
      </c>
      <c r="B50" s="2" t="s">
        <v>2043</v>
      </c>
      <c r="C50" s="2" t="s">
        <v>1988</v>
      </c>
      <c r="D50" s="2">
        <v>30.84</v>
      </c>
      <c r="E50" s="2" t="s">
        <v>1989</v>
      </c>
      <c r="F50" s="2">
        <v>1.6</v>
      </c>
    </row>
    <row r="51" spans="1:6" x14ac:dyDescent="0.3">
      <c r="A51" s="2" t="s">
        <v>903</v>
      </c>
      <c r="B51" s="2" t="s">
        <v>2044</v>
      </c>
      <c r="C51" s="2" t="s">
        <v>2002</v>
      </c>
      <c r="D51" s="2">
        <v>102.26</v>
      </c>
      <c r="E51" s="2" t="s">
        <v>1989</v>
      </c>
      <c r="F51" s="2">
        <v>2.5</v>
      </c>
    </row>
    <row r="52" spans="1:6" x14ac:dyDescent="0.3">
      <c r="A52" s="2" t="s">
        <v>380</v>
      </c>
      <c r="B52" s="2" t="s">
        <v>2045</v>
      </c>
      <c r="C52" s="2" t="s">
        <v>1998</v>
      </c>
      <c r="D52" s="2">
        <v>55.69</v>
      </c>
      <c r="E52" s="2" t="s">
        <v>1999</v>
      </c>
      <c r="F52" s="2">
        <v>4</v>
      </c>
    </row>
    <row r="53" spans="1:6" x14ac:dyDescent="0.3">
      <c r="A53" s="2" t="s">
        <v>190</v>
      </c>
      <c r="B53" s="2" t="s">
        <v>2046</v>
      </c>
      <c r="C53" s="2" t="s">
        <v>1993</v>
      </c>
      <c r="D53" s="2">
        <v>1339.88</v>
      </c>
      <c r="E53" s="2" t="s">
        <v>1994</v>
      </c>
      <c r="F53" s="2">
        <v>4.2</v>
      </c>
    </row>
    <row r="54" spans="1:6" x14ac:dyDescent="0.3">
      <c r="A54" s="2" t="s">
        <v>27</v>
      </c>
      <c r="B54" s="2" t="s">
        <v>2047</v>
      </c>
      <c r="C54" s="2" t="s">
        <v>1998</v>
      </c>
      <c r="D54" s="2">
        <v>13.87</v>
      </c>
      <c r="E54" s="2" t="s">
        <v>1999</v>
      </c>
      <c r="F54" s="2">
        <v>3.8</v>
      </c>
    </row>
    <row r="55" spans="1:6" x14ac:dyDescent="0.3">
      <c r="A55" s="2" t="s">
        <v>556</v>
      </c>
      <c r="B55" s="2" t="s">
        <v>2048</v>
      </c>
      <c r="C55" s="2" t="s">
        <v>2002</v>
      </c>
      <c r="D55" s="2">
        <v>85.78</v>
      </c>
      <c r="E55" s="2" t="s">
        <v>1989</v>
      </c>
      <c r="F55" s="2">
        <v>4.5</v>
      </c>
    </row>
    <row r="56" spans="1:6" x14ac:dyDescent="0.3">
      <c r="A56" s="2" t="s">
        <v>74</v>
      </c>
      <c r="B56" s="2" t="s">
        <v>2049</v>
      </c>
      <c r="C56" s="2" t="s">
        <v>1988</v>
      </c>
      <c r="D56" s="2">
        <v>168.56</v>
      </c>
      <c r="E56" s="2" t="s">
        <v>1989</v>
      </c>
      <c r="F56" s="2">
        <v>3.8</v>
      </c>
    </row>
    <row r="57" spans="1:6" x14ac:dyDescent="0.3">
      <c r="A57" s="2" t="s">
        <v>256</v>
      </c>
      <c r="B57" s="2" t="s">
        <v>2050</v>
      </c>
      <c r="C57" s="2" t="s">
        <v>1988</v>
      </c>
      <c r="D57" s="2">
        <v>186.13</v>
      </c>
      <c r="E57" s="2" t="s">
        <v>1989</v>
      </c>
      <c r="F57" s="2">
        <v>4.3</v>
      </c>
    </row>
    <row r="58" spans="1:6" x14ac:dyDescent="0.3">
      <c r="A58" s="2" t="s">
        <v>11</v>
      </c>
      <c r="B58" s="2" t="s">
        <v>2051</v>
      </c>
      <c r="C58" s="2" t="s">
        <v>1988</v>
      </c>
      <c r="D58" s="2">
        <v>60.02</v>
      </c>
      <c r="E58" s="2" t="s">
        <v>1989</v>
      </c>
      <c r="F58" s="2">
        <v>3.4</v>
      </c>
    </row>
    <row r="59" spans="1:6" x14ac:dyDescent="0.3">
      <c r="A59" s="2" t="s">
        <v>200</v>
      </c>
      <c r="B59" s="2" t="s">
        <v>2052</v>
      </c>
      <c r="C59" s="2" t="s">
        <v>1991</v>
      </c>
      <c r="D59" s="2">
        <v>30.18</v>
      </c>
      <c r="E59" s="2" t="s">
        <v>1989</v>
      </c>
      <c r="F59" s="2">
        <v>3.1</v>
      </c>
    </row>
    <row r="60" spans="1:6" x14ac:dyDescent="0.3">
      <c r="A60" s="2" t="s">
        <v>851</v>
      </c>
      <c r="B60" s="2" t="s">
        <v>2053</v>
      </c>
      <c r="C60" s="2" t="s">
        <v>1988</v>
      </c>
      <c r="D60" s="2">
        <v>204.89</v>
      </c>
      <c r="E60" s="2" t="s">
        <v>1989</v>
      </c>
      <c r="F60" s="2">
        <v>4.5</v>
      </c>
    </row>
    <row r="61" spans="1:6" x14ac:dyDescent="0.3">
      <c r="A61" s="2" t="s">
        <v>459</v>
      </c>
      <c r="B61" s="2" t="s">
        <v>2054</v>
      </c>
      <c r="C61" s="2" t="s">
        <v>1988</v>
      </c>
      <c r="D61" s="2">
        <v>168.25</v>
      </c>
      <c r="E61" s="2" t="s">
        <v>1989</v>
      </c>
      <c r="F61" s="2">
        <v>3.4</v>
      </c>
    </row>
    <row r="62" spans="1:6" x14ac:dyDescent="0.3">
      <c r="A62" s="2" t="s">
        <v>377</v>
      </c>
      <c r="B62" s="2" t="s">
        <v>2055</v>
      </c>
      <c r="C62" s="2" t="s">
        <v>1988</v>
      </c>
      <c r="D62" s="2">
        <v>232.7</v>
      </c>
      <c r="E62" s="2" t="s">
        <v>1989</v>
      </c>
      <c r="F62" s="2">
        <v>4.5</v>
      </c>
    </row>
    <row r="63" spans="1:6" x14ac:dyDescent="0.3">
      <c r="A63" s="2" t="s">
        <v>296</v>
      </c>
      <c r="B63" s="2" t="s">
        <v>2056</v>
      </c>
      <c r="C63" s="2" t="s">
        <v>1991</v>
      </c>
      <c r="D63" s="2">
        <v>63.42</v>
      </c>
      <c r="E63" s="2" t="s">
        <v>1989</v>
      </c>
      <c r="F63" s="2">
        <v>2.2000000000000002</v>
      </c>
    </row>
    <row r="64" spans="1:6" x14ac:dyDescent="0.3">
      <c r="A64" s="2" t="s">
        <v>213</v>
      </c>
      <c r="B64" s="2" t="s">
        <v>2057</v>
      </c>
      <c r="C64" s="2" t="s">
        <v>1998</v>
      </c>
      <c r="D64" s="2">
        <v>20.48</v>
      </c>
      <c r="E64" s="2" t="s">
        <v>1999</v>
      </c>
      <c r="F64" s="2">
        <v>1.5</v>
      </c>
    </row>
    <row r="65" spans="1:6" x14ac:dyDescent="0.3">
      <c r="A65" s="2" t="s">
        <v>329</v>
      </c>
      <c r="B65" s="2" t="s">
        <v>2058</v>
      </c>
      <c r="C65" s="2" t="s">
        <v>1998</v>
      </c>
      <c r="D65" s="2">
        <v>92.09</v>
      </c>
      <c r="E65" s="2" t="s">
        <v>1999</v>
      </c>
      <c r="F65" s="2">
        <v>4.2</v>
      </c>
    </row>
    <row r="66" spans="1:6" x14ac:dyDescent="0.3">
      <c r="A66" s="2" t="s">
        <v>667</v>
      </c>
      <c r="B66" s="2" t="s">
        <v>2059</v>
      </c>
      <c r="C66" s="2" t="s">
        <v>2002</v>
      </c>
      <c r="D66" s="2">
        <v>131.44999999999999</v>
      </c>
      <c r="E66" s="2" t="s">
        <v>1989</v>
      </c>
      <c r="F66" s="2">
        <v>4.0999999999999996</v>
      </c>
    </row>
    <row r="67" spans="1:6" x14ac:dyDescent="0.3">
      <c r="A67" s="2" t="s">
        <v>404</v>
      </c>
      <c r="B67" s="2" t="s">
        <v>2060</v>
      </c>
      <c r="C67" s="2" t="s">
        <v>1993</v>
      </c>
      <c r="D67" s="2">
        <v>640.54999999999995</v>
      </c>
      <c r="E67" s="2" t="s">
        <v>1994</v>
      </c>
      <c r="F67" s="2">
        <v>2.5</v>
      </c>
    </row>
    <row r="68" spans="1:6" x14ac:dyDescent="0.3">
      <c r="A68" s="2" t="s">
        <v>367</v>
      </c>
      <c r="B68" s="2" t="s">
        <v>2061</v>
      </c>
      <c r="C68" s="2" t="s">
        <v>1988</v>
      </c>
      <c r="D68" s="2">
        <v>187.9</v>
      </c>
      <c r="E68" s="2" t="s">
        <v>1989</v>
      </c>
      <c r="F68" s="2">
        <v>1.7</v>
      </c>
    </row>
    <row r="69" spans="1:6" x14ac:dyDescent="0.3">
      <c r="A69" s="2" t="s">
        <v>157</v>
      </c>
      <c r="B69" s="2" t="s">
        <v>2062</v>
      </c>
      <c r="C69" s="2" t="s">
        <v>2002</v>
      </c>
      <c r="D69" s="2">
        <v>28.02</v>
      </c>
      <c r="E69" s="2" t="s">
        <v>1989</v>
      </c>
      <c r="F69" s="2">
        <v>3.2</v>
      </c>
    </row>
    <row r="70" spans="1:6" x14ac:dyDescent="0.3">
      <c r="A70" s="2" t="s">
        <v>192</v>
      </c>
      <c r="B70" s="2" t="s">
        <v>2063</v>
      </c>
      <c r="C70" s="2" t="s">
        <v>1993</v>
      </c>
      <c r="D70" s="2">
        <v>425.14</v>
      </c>
      <c r="E70" s="2" t="s">
        <v>1994</v>
      </c>
      <c r="F70" s="2">
        <v>3.3</v>
      </c>
    </row>
    <row r="71" spans="1:6" x14ac:dyDescent="0.3">
      <c r="A71" s="2" t="s">
        <v>519</v>
      </c>
      <c r="B71" s="2" t="s">
        <v>2064</v>
      </c>
      <c r="C71" s="2" t="s">
        <v>1991</v>
      </c>
      <c r="D71" s="2">
        <v>75.45</v>
      </c>
      <c r="E71" s="2" t="s">
        <v>1989</v>
      </c>
      <c r="F71" s="2">
        <v>3.9</v>
      </c>
    </row>
    <row r="72" spans="1:6" x14ac:dyDescent="0.3">
      <c r="A72" s="2" t="s">
        <v>644</v>
      </c>
      <c r="B72" s="2" t="s">
        <v>2065</v>
      </c>
      <c r="C72" s="2" t="s">
        <v>1991</v>
      </c>
      <c r="D72" s="2">
        <v>23.19</v>
      </c>
      <c r="E72" s="2" t="s">
        <v>1989</v>
      </c>
      <c r="F72" s="2">
        <v>4.5999999999999996</v>
      </c>
    </row>
    <row r="73" spans="1:6" x14ac:dyDescent="0.3">
      <c r="A73" s="2" t="s">
        <v>95</v>
      </c>
      <c r="B73" s="2" t="s">
        <v>2066</v>
      </c>
      <c r="C73" s="2" t="s">
        <v>1991</v>
      </c>
      <c r="D73" s="2">
        <v>75.400000000000006</v>
      </c>
      <c r="E73" s="2" t="s">
        <v>1989</v>
      </c>
      <c r="F73" s="2">
        <v>3.7</v>
      </c>
    </row>
    <row r="74" spans="1:6" x14ac:dyDescent="0.3">
      <c r="A74" s="2" t="s">
        <v>38</v>
      </c>
      <c r="B74" s="2" t="s">
        <v>2067</v>
      </c>
      <c r="C74" s="2" t="s">
        <v>1998</v>
      </c>
      <c r="D74" s="2">
        <v>58.13</v>
      </c>
      <c r="E74" s="2" t="s">
        <v>1999</v>
      </c>
      <c r="F74" s="2">
        <v>2.6</v>
      </c>
    </row>
    <row r="75" spans="1:6" x14ac:dyDescent="0.3">
      <c r="A75" s="2" t="s">
        <v>35</v>
      </c>
      <c r="B75" s="2" t="s">
        <v>2068</v>
      </c>
      <c r="C75" s="2" t="s">
        <v>2002</v>
      </c>
      <c r="D75" s="2">
        <v>127.16</v>
      </c>
      <c r="E75" s="2" t="s">
        <v>1989</v>
      </c>
      <c r="F75" s="2">
        <v>2.6</v>
      </c>
    </row>
    <row r="76" spans="1:6" x14ac:dyDescent="0.3">
      <c r="A76" s="2" t="s">
        <v>565</v>
      </c>
      <c r="B76" s="2" t="s">
        <v>2069</v>
      </c>
      <c r="C76" s="2" t="s">
        <v>2002</v>
      </c>
      <c r="D76" s="2">
        <v>40.94</v>
      </c>
      <c r="E76" s="2" t="s">
        <v>1989</v>
      </c>
      <c r="F76" s="2">
        <v>3.8</v>
      </c>
    </row>
    <row r="77" spans="1:6" x14ac:dyDescent="0.3">
      <c r="A77" s="2" t="s">
        <v>49</v>
      </c>
      <c r="B77" s="2" t="s">
        <v>2070</v>
      </c>
      <c r="C77" s="2" t="s">
        <v>1998</v>
      </c>
      <c r="D77" s="2">
        <v>92.33</v>
      </c>
      <c r="E77" s="2" t="s">
        <v>1999</v>
      </c>
      <c r="F77" s="2">
        <v>4.8</v>
      </c>
    </row>
    <row r="78" spans="1:6" x14ac:dyDescent="0.3">
      <c r="A78" s="2" t="s">
        <v>1454</v>
      </c>
      <c r="B78" s="2" t="s">
        <v>2071</v>
      </c>
      <c r="C78" s="2" t="s">
        <v>1988</v>
      </c>
      <c r="D78" s="2">
        <v>160.97</v>
      </c>
      <c r="E78" s="2" t="s">
        <v>1989</v>
      </c>
      <c r="F78" s="2">
        <v>3.5</v>
      </c>
    </row>
    <row r="79" spans="1:6" x14ac:dyDescent="0.3">
      <c r="A79" s="2" t="s">
        <v>23</v>
      </c>
      <c r="B79" s="2" t="s">
        <v>2072</v>
      </c>
      <c r="C79" s="2" t="s">
        <v>1988</v>
      </c>
      <c r="D79" s="2">
        <v>141.34</v>
      </c>
      <c r="E79" s="2" t="s">
        <v>1989</v>
      </c>
      <c r="F79" s="2">
        <v>3.3</v>
      </c>
    </row>
    <row r="80" spans="1:6" x14ac:dyDescent="0.3">
      <c r="A80" s="2" t="s">
        <v>253</v>
      </c>
      <c r="B80" s="2" t="s">
        <v>2073</v>
      </c>
      <c r="C80" s="2" t="s">
        <v>1991</v>
      </c>
      <c r="D80" s="2">
        <v>106.9</v>
      </c>
      <c r="E80" s="2" t="s">
        <v>1989</v>
      </c>
      <c r="F80" s="2">
        <v>4.5999999999999996</v>
      </c>
    </row>
    <row r="81" spans="1:6" x14ac:dyDescent="0.3">
      <c r="A81" s="2" t="s">
        <v>261</v>
      </c>
      <c r="B81" s="2" t="s">
        <v>2074</v>
      </c>
      <c r="C81" s="2" t="s">
        <v>2002</v>
      </c>
      <c r="D81" s="2">
        <v>45.24</v>
      </c>
      <c r="E81" s="2" t="s">
        <v>1989</v>
      </c>
      <c r="F81" s="2">
        <v>4.4000000000000004</v>
      </c>
    </row>
    <row r="82" spans="1:6" x14ac:dyDescent="0.3">
      <c r="A82" s="2" t="s">
        <v>817</v>
      </c>
      <c r="B82" s="2" t="s">
        <v>2075</v>
      </c>
      <c r="C82" s="2" t="s">
        <v>2002</v>
      </c>
      <c r="D82" s="2">
        <v>177.42</v>
      </c>
      <c r="E82" s="2" t="s">
        <v>1989</v>
      </c>
      <c r="F82" s="2">
        <v>4.3</v>
      </c>
    </row>
    <row r="83" spans="1:6" x14ac:dyDescent="0.3">
      <c r="A83" s="2" t="s">
        <v>586</v>
      </c>
      <c r="B83" s="2" t="s">
        <v>2076</v>
      </c>
      <c r="C83" s="2" t="s">
        <v>1993</v>
      </c>
      <c r="D83" s="2">
        <v>1769.3</v>
      </c>
      <c r="E83" s="2" t="s">
        <v>1994</v>
      </c>
      <c r="F83" s="2">
        <v>3.4</v>
      </c>
    </row>
    <row r="84" spans="1:6" x14ac:dyDescent="0.3">
      <c r="A84" s="2" t="s">
        <v>383</v>
      </c>
      <c r="B84" s="2" t="s">
        <v>2077</v>
      </c>
      <c r="C84" s="2" t="s">
        <v>1988</v>
      </c>
      <c r="D84" s="2">
        <v>77.150000000000006</v>
      </c>
      <c r="E84" s="2" t="s">
        <v>1989</v>
      </c>
      <c r="F84" s="2">
        <v>4.5999999999999996</v>
      </c>
    </row>
    <row r="85" spans="1:6" x14ac:dyDescent="0.3">
      <c r="A85" s="2" t="s">
        <v>348</v>
      </c>
      <c r="B85" s="2" t="s">
        <v>2078</v>
      </c>
      <c r="C85" s="2" t="s">
        <v>1993</v>
      </c>
      <c r="D85" s="2">
        <v>899.17</v>
      </c>
      <c r="E85" s="2" t="s">
        <v>1994</v>
      </c>
      <c r="F85" s="2">
        <v>3.6</v>
      </c>
    </row>
    <row r="86" spans="1:6" x14ac:dyDescent="0.3">
      <c r="A86" s="2" t="s">
        <v>140</v>
      </c>
      <c r="B86" s="2" t="s">
        <v>2079</v>
      </c>
      <c r="C86" s="2" t="s">
        <v>2002</v>
      </c>
      <c r="D86" s="2">
        <v>130</v>
      </c>
      <c r="E86" s="2" t="s">
        <v>1989</v>
      </c>
      <c r="F86" s="2">
        <v>4.5</v>
      </c>
    </row>
    <row r="87" spans="1:6" x14ac:dyDescent="0.3">
      <c r="A87" s="2" t="s">
        <v>122</v>
      </c>
      <c r="B87" s="2" t="s">
        <v>2080</v>
      </c>
      <c r="C87" s="2" t="s">
        <v>1993</v>
      </c>
      <c r="D87" s="2">
        <v>852.47</v>
      </c>
      <c r="E87" s="2" t="s">
        <v>1994</v>
      </c>
      <c r="F87" s="2">
        <v>4.7</v>
      </c>
    </row>
    <row r="88" spans="1:6" x14ac:dyDescent="0.3">
      <c r="A88" s="2" t="s">
        <v>112</v>
      </c>
      <c r="B88" s="2" t="s">
        <v>2081</v>
      </c>
      <c r="C88" s="2" t="s">
        <v>1988</v>
      </c>
      <c r="D88" s="2">
        <v>164.06</v>
      </c>
      <c r="E88" s="2" t="s">
        <v>1989</v>
      </c>
      <c r="F88" s="2">
        <v>4.4000000000000004</v>
      </c>
    </row>
    <row r="89" spans="1:6" x14ac:dyDescent="0.3">
      <c r="A89" s="2" t="s">
        <v>462</v>
      </c>
      <c r="B89" s="2" t="s">
        <v>2082</v>
      </c>
      <c r="C89" s="2" t="s">
        <v>1988</v>
      </c>
      <c r="D89" s="2">
        <v>93.39</v>
      </c>
      <c r="E89" s="2" t="s">
        <v>1989</v>
      </c>
      <c r="F89" s="2">
        <v>2</v>
      </c>
    </row>
    <row r="90" spans="1:6" x14ac:dyDescent="0.3">
      <c r="A90" s="2" t="s">
        <v>195</v>
      </c>
      <c r="B90" s="2" t="s">
        <v>2083</v>
      </c>
      <c r="C90" s="2" t="s">
        <v>2002</v>
      </c>
      <c r="D90" s="2">
        <v>138.6</v>
      </c>
      <c r="E90" s="2" t="s">
        <v>1989</v>
      </c>
      <c r="F90" s="2">
        <v>3.4</v>
      </c>
    </row>
    <row r="91" spans="1:6" x14ac:dyDescent="0.3">
      <c r="A91" s="2" t="s">
        <v>137</v>
      </c>
      <c r="B91" s="2" t="s">
        <v>2084</v>
      </c>
      <c r="C91" s="2" t="s">
        <v>1998</v>
      </c>
      <c r="D91" s="2">
        <v>5.91</v>
      </c>
      <c r="E91" s="2" t="s">
        <v>1999</v>
      </c>
      <c r="F91" s="2">
        <v>1.8</v>
      </c>
    </row>
    <row r="92" spans="1:6" x14ac:dyDescent="0.3">
      <c r="A92" s="2" t="s">
        <v>45</v>
      </c>
      <c r="B92" s="2" t="s">
        <v>2085</v>
      </c>
      <c r="C92" s="2" t="s">
        <v>1991</v>
      </c>
      <c r="D92" s="2">
        <v>13.96</v>
      </c>
      <c r="E92" s="2" t="s">
        <v>1989</v>
      </c>
      <c r="F92" s="2">
        <v>2.8</v>
      </c>
    </row>
    <row r="93" spans="1:6" x14ac:dyDescent="0.3">
      <c r="A93" s="2" t="s">
        <v>636</v>
      </c>
      <c r="B93" s="2" t="s">
        <v>2086</v>
      </c>
      <c r="C93" s="2" t="s">
        <v>1993</v>
      </c>
      <c r="D93" s="2">
        <v>1245.53</v>
      </c>
      <c r="E93" s="2" t="s">
        <v>1994</v>
      </c>
      <c r="F93" s="2">
        <v>1.6</v>
      </c>
    </row>
    <row r="94" spans="1:6" x14ac:dyDescent="0.3">
      <c r="A94" s="2" t="s">
        <v>224</v>
      </c>
      <c r="B94" s="2" t="s">
        <v>2087</v>
      </c>
      <c r="C94" s="2" t="s">
        <v>2002</v>
      </c>
      <c r="D94" s="2">
        <v>175.55</v>
      </c>
      <c r="E94" s="2" t="s">
        <v>1989</v>
      </c>
      <c r="F94" s="2">
        <v>1.6</v>
      </c>
    </row>
    <row r="95" spans="1:6" x14ac:dyDescent="0.3">
      <c r="A95" s="2" t="s">
        <v>592</v>
      </c>
      <c r="B95" s="2" t="s">
        <v>2088</v>
      </c>
      <c r="C95" s="2" t="s">
        <v>2002</v>
      </c>
      <c r="D95" s="2">
        <v>129.13</v>
      </c>
      <c r="E95" s="2" t="s">
        <v>1989</v>
      </c>
      <c r="F95" s="2">
        <v>3.8</v>
      </c>
    </row>
    <row r="96" spans="1:6" x14ac:dyDescent="0.3">
      <c r="A96" s="2" t="s">
        <v>117</v>
      </c>
      <c r="B96" s="2" t="s">
        <v>2089</v>
      </c>
      <c r="C96" s="2" t="s">
        <v>2002</v>
      </c>
      <c r="D96" s="2">
        <v>109.58</v>
      </c>
      <c r="E96" s="2" t="s">
        <v>1989</v>
      </c>
      <c r="F96" s="2">
        <v>4.5999999999999996</v>
      </c>
    </row>
    <row r="97" spans="1:6" x14ac:dyDescent="0.3">
      <c r="A97" s="2" t="s">
        <v>527</v>
      </c>
      <c r="B97" s="2" t="s">
        <v>2090</v>
      </c>
      <c r="C97" s="2" t="s">
        <v>1993</v>
      </c>
      <c r="D97" s="2">
        <v>2336.6799999999998</v>
      </c>
      <c r="E97" s="2" t="s">
        <v>1994</v>
      </c>
      <c r="F97" s="2">
        <v>2.2999999999999998</v>
      </c>
    </row>
    <row r="98" spans="1:6" x14ac:dyDescent="0.3">
      <c r="A98" s="2" t="s">
        <v>65</v>
      </c>
      <c r="B98" s="2" t="s">
        <v>2091</v>
      </c>
      <c r="C98" s="2" t="s">
        <v>1991</v>
      </c>
      <c r="D98" s="2">
        <v>99.18</v>
      </c>
      <c r="E98" s="2" t="s">
        <v>1989</v>
      </c>
      <c r="F98" s="2">
        <v>4.5999999999999996</v>
      </c>
    </row>
    <row r="99" spans="1:6" x14ac:dyDescent="0.3">
      <c r="A99" s="2" t="s">
        <v>250</v>
      </c>
      <c r="B99" s="2" t="s">
        <v>2092</v>
      </c>
      <c r="C99" s="2" t="s">
        <v>1988</v>
      </c>
      <c r="D99" s="2">
        <v>188.09</v>
      </c>
      <c r="E99" s="2" t="s">
        <v>1989</v>
      </c>
      <c r="F99" s="2">
        <v>2.7</v>
      </c>
    </row>
    <row r="100" spans="1:6" x14ac:dyDescent="0.3">
      <c r="A100" s="2" t="s">
        <v>181</v>
      </c>
      <c r="B100" s="2" t="s">
        <v>2093</v>
      </c>
      <c r="C100" s="2" t="s">
        <v>1998</v>
      </c>
      <c r="D100" s="2">
        <v>30.08</v>
      </c>
      <c r="E100" s="2" t="s">
        <v>1999</v>
      </c>
      <c r="F100" s="2">
        <v>4.3</v>
      </c>
    </row>
    <row r="101" spans="1:6" x14ac:dyDescent="0.3">
      <c r="A101" s="2" t="s">
        <v>148</v>
      </c>
      <c r="B101" s="2" t="s">
        <v>2094</v>
      </c>
      <c r="C101" s="2" t="s">
        <v>1988</v>
      </c>
      <c r="D101" s="2">
        <v>219.96</v>
      </c>
      <c r="E101" s="2" t="s">
        <v>1989</v>
      </c>
      <c r="F101" s="2">
        <v>4.5</v>
      </c>
    </row>
    <row r="102" spans="1:6" x14ac:dyDescent="0.3">
      <c r="A102" s="2" t="s">
        <v>716</v>
      </c>
      <c r="B102" s="2" t="s">
        <v>2095</v>
      </c>
      <c r="C102" s="2" t="s">
        <v>1991</v>
      </c>
      <c r="D102" s="2">
        <v>99.82</v>
      </c>
      <c r="E102" s="2" t="s">
        <v>1989</v>
      </c>
      <c r="F102" s="2">
        <v>3.1</v>
      </c>
    </row>
    <row r="103" spans="1:6" x14ac:dyDescent="0.3">
      <c r="A103" s="2" t="s">
        <v>531</v>
      </c>
      <c r="B103" s="2" t="s">
        <v>2096</v>
      </c>
      <c r="C103" s="2" t="s">
        <v>2002</v>
      </c>
      <c r="D103" s="2">
        <v>147.26</v>
      </c>
      <c r="E103" s="2" t="s">
        <v>1989</v>
      </c>
      <c r="F103" s="2">
        <v>2.2999999999999998</v>
      </c>
    </row>
    <row r="104" spans="1:6" x14ac:dyDescent="0.3">
      <c r="A104" s="2" t="s">
        <v>337</v>
      </c>
      <c r="B104" s="2" t="s">
        <v>2097</v>
      </c>
      <c r="C104" s="2" t="s">
        <v>1988</v>
      </c>
      <c r="D104" s="2">
        <v>60.39</v>
      </c>
      <c r="E104" s="2" t="s">
        <v>1989</v>
      </c>
      <c r="F104" s="2">
        <v>2.6</v>
      </c>
    </row>
    <row r="105" spans="1:6" x14ac:dyDescent="0.3">
      <c r="A105" s="2" t="s">
        <v>314</v>
      </c>
      <c r="B105" s="2" t="s">
        <v>2098</v>
      </c>
      <c r="C105" s="2" t="s">
        <v>1988</v>
      </c>
      <c r="D105" s="2">
        <v>80.59</v>
      </c>
      <c r="E105" s="2" t="s">
        <v>1989</v>
      </c>
      <c r="F105" s="2">
        <v>3.7</v>
      </c>
    </row>
    <row r="106" spans="1:6" x14ac:dyDescent="0.3">
      <c r="A106" s="2" t="s">
        <v>281</v>
      </c>
      <c r="B106" s="2" t="s">
        <v>2099</v>
      </c>
      <c r="C106" s="2" t="s">
        <v>1998</v>
      </c>
      <c r="D106" s="2">
        <v>36.130000000000003</v>
      </c>
      <c r="E106" s="2" t="s">
        <v>1999</v>
      </c>
      <c r="F106" s="2">
        <v>1.6</v>
      </c>
    </row>
    <row r="107" spans="1:6" x14ac:dyDescent="0.3">
      <c r="A107" s="2" t="s">
        <v>357</v>
      </c>
      <c r="B107" s="2" t="s">
        <v>2100</v>
      </c>
      <c r="C107" s="2" t="s">
        <v>2002</v>
      </c>
      <c r="D107" s="2">
        <v>112.89</v>
      </c>
      <c r="E107" s="2" t="s">
        <v>1989</v>
      </c>
      <c r="F107" s="2">
        <v>4.9000000000000004</v>
      </c>
    </row>
    <row r="108" spans="1:6" x14ac:dyDescent="0.3">
      <c r="A108" s="2" t="s">
        <v>301</v>
      </c>
      <c r="B108" s="2" t="s">
        <v>2101</v>
      </c>
      <c r="C108" s="2" t="s">
        <v>1988</v>
      </c>
      <c r="D108" s="2">
        <v>155.19</v>
      </c>
      <c r="E108" s="2" t="s">
        <v>1989</v>
      </c>
      <c r="F108" s="2">
        <v>2.7</v>
      </c>
    </row>
    <row r="109" spans="1:6" x14ac:dyDescent="0.3">
      <c r="A109" s="2" t="s">
        <v>77</v>
      </c>
      <c r="B109" s="2" t="s">
        <v>2102</v>
      </c>
      <c r="C109" s="2" t="s">
        <v>2002</v>
      </c>
      <c r="D109" s="2">
        <v>116.99</v>
      </c>
      <c r="E109" s="2" t="s">
        <v>1989</v>
      </c>
      <c r="F109" s="2">
        <v>3.3</v>
      </c>
    </row>
    <row r="110" spans="1:6" x14ac:dyDescent="0.3">
      <c r="A110" s="2" t="s">
        <v>90</v>
      </c>
      <c r="B110" s="2" t="s">
        <v>2103</v>
      </c>
      <c r="C110" s="2" t="s">
        <v>1998</v>
      </c>
      <c r="D110" s="2">
        <v>22.87</v>
      </c>
      <c r="E110" s="2" t="s">
        <v>1999</v>
      </c>
      <c r="F110" s="2">
        <v>1.7</v>
      </c>
    </row>
    <row r="111" spans="1:6" x14ac:dyDescent="0.3">
      <c r="A111" s="2" t="s">
        <v>758</v>
      </c>
      <c r="B111" s="2" t="s">
        <v>2104</v>
      </c>
      <c r="C111" s="2" t="s">
        <v>1998</v>
      </c>
      <c r="D111" s="2">
        <v>53.87</v>
      </c>
      <c r="E111" s="2" t="s">
        <v>1999</v>
      </c>
      <c r="F111" s="2">
        <v>4.3</v>
      </c>
    </row>
    <row r="112" spans="1:6" x14ac:dyDescent="0.3">
      <c r="A112" s="2" t="s">
        <v>359</v>
      </c>
      <c r="B112" s="2" t="s">
        <v>2105</v>
      </c>
      <c r="C112" s="2" t="s">
        <v>1991</v>
      </c>
      <c r="D112" s="2">
        <v>57.44</v>
      </c>
      <c r="E112" s="2" t="s">
        <v>1989</v>
      </c>
      <c r="F112" s="2">
        <v>4.8</v>
      </c>
    </row>
    <row r="113" spans="1:6" x14ac:dyDescent="0.3">
      <c r="A113" s="2" t="s">
        <v>275</v>
      </c>
      <c r="B113" s="2" t="s">
        <v>2106</v>
      </c>
      <c r="C113" s="2" t="s">
        <v>2002</v>
      </c>
      <c r="D113" s="2">
        <v>70.23</v>
      </c>
      <c r="E113" s="2" t="s">
        <v>1989</v>
      </c>
      <c r="F113" s="2">
        <v>4.5</v>
      </c>
    </row>
    <row r="114" spans="1:6" x14ac:dyDescent="0.3">
      <c r="A114" s="2" t="s">
        <v>364</v>
      </c>
      <c r="B114" s="2" t="s">
        <v>2107</v>
      </c>
      <c r="C114" s="2" t="s">
        <v>2002</v>
      </c>
      <c r="D114" s="2">
        <v>69.489999999999995</v>
      </c>
      <c r="E114" s="2" t="s">
        <v>1989</v>
      </c>
      <c r="F114" s="2">
        <v>2.9</v>
      </c>
    </row>
    <row r="115" spans="1:6" x14ac:dyDescent="0.3">
      <c r="A115" s="2" t="s">
        <v>339</v>
      </c>
      <c r="B115" s="2" t="s">
        <v>2108</v>
      </c>
      <c r="C115" s="2" t="s">
        <v>1998</v>
      </c>
      <c r="D115" s="2">
        <v>57.11</v>
      </c>
      <c r="E115" s="2" t="s">
        <v>1999</v>
      </c>
      <c r="F115" s="2">
        <v>2.2000000000000002</v>
      </c>
    </row>
    <row r="116" spans="1:6" x14ac:dyDescent="0.3">
      <c r="A116" s="2" t="s">
        <v>278</v>
      </c>
      <c r="B116" s="2" t="s">
        <v>2109</v>
      </c>
      <c r="C116" s="2" t="s">
        <v>1998</v>
      </c>
      <c r="D116" s="2">
        <v>62.86</v>
      </c>
      <c r="E116" s="2" t="s">
        <v>1999</v>
      </c>
      <c r="F116" s="2">
        <v>2.6</v>
      </c>
    </row>
    <row r="117" spans="1:6" x14ac:dyDescent="0.3">
      <c r="A117" s="2" t="s">
        <v>512</v>
      </c>
      <c r="B117" s="2" t="s">
        <v>2110</v>
      </c>
      <c r="C117" s="2" t="s">
        <v>1993</v>
      </c>
      <c r="D117" s="2">
        <v>968.52</v>
      </c>
      <c r="E117" s="2" t="s">
        <v>1994</v>
      </c>
      <c r="F117" s="2">
        <v>2.2000000000000002</v>
      </c>
    </row>
    <row r="118" spans="1:6" x14ac:dyDescent="0.3">
      <c r="A118" s="2" t="s">
        <v>247</v>
      </c>
      <c r="B118" s="2" t="s">
        <v>2111</v>
      </c>
      <c r="C118" s="2" t="s">
        <v>1993</v>
      </c>
      <c r="D118" s="2">
        <v>1740.35</v>
      </c>
      <c r="E118" s="2" t="s">
        <v>1994</v>
      </c>
      <c r="F118" s="2">
        <v>3.1</v>
      </c>
    </row>
    <row r="119" spans="1:6" x14ac:dyDescent="0.3">
      <c r="A119" s="2" t="s">
        <v>229</v>
      </c>
      <c r="B119" s="2" t="s">
        <v>2112</v>
      </c>
      <c r="C119" s="2" t="s">
        <v>1998</v>
      </c>
      <c r="D119" s="2">
        <v>53.05</v>
      </c>
      <c r="E119" s="2" t="s">
        <v>1999</v>
      </c>
      <c r="F119" s="2">
        <v>4.3</v>
      </c>
    </row>
    <row r="120" spans="1:6" x14ac:dyDescent="0.3">
      <c r="A120" s="2" t="s">
        <v>268</v>
      </c>
      <c r="B120" s="2" t="s">
        <v>2113</v>
      </c>
      <c r="C120" s="2" t="s">
        <v>1991</v>
      </c>
      <c r="D120" s="2">
        <v>19.329999999999998</v>
      </c>
      <c r="E120" s="2" t="s">
        <v>1989</v>
      </c>
      <c r="F120" s="2">
        <v>3.3</v>
      </c>
    </row>
    <row r="121" spans="1:6" x14ac:dyDescent="0.3">
      <c r="A121" s="2" t="s">
        <v>173</v>
      </c>
      <c r="B121" s="2" t="s">
        <v>2114</v>
      </c>
      <c r="C121" s="2" t="s">
        <v>1993</v>
      </c>
      <c r="D121" s="2">
        <v>505.45</v>
      </c>
      <c r="E121" s="2" t="s">
        <v>1994</v>
      </c>
      <c r="F121" s="2">
        <v>4.8</v>
      </c>
    </row>
    <row r="122" spans="1:6" x14ac:dyDescent="0.3">
      <c r="A122" s="2" t="s">
        <v>265</v>
      </c>
      <c r="B122" s="2" t="s">
        <v>2115</v>
      </c>
      <c r="C122" s="2" t="s">
        <v>1991</v>
      </c>
      <c r="D122" s="2">
        <v>44.15</v>
      </c>
      <c r="E122" s="2" t="s">
        <v>1989</v>
      </c>
      <c r="F122" s="2">
        <v>4.3</v>
      </c>
    </row>
    <row r="123" spans="1:6" x14ac:dyDescent="0.3">
      <c r="A123" s="2" t="s">
        <v>87</v>
      </c>
      <c r="B123" s="2" t="s">
        <v>2116</v>
      </c>
      <c r="C123" s="2" t="s">
        <v>1991</v>
      </c>
      <c r="D123" s="2">
        <v>15.08</v>
      </c>
      <c r="E123" s="2" t="s">
        <v>1989</v>
      </c>
      <c r="F123" s="2">
        <v>4.9000000000000004</v>
      </c>
    </row>
    <row r="124" spans="1:6" x14ac:dyDescent="0.3">
      <c r="A124" s="2" t="s">
        <v>691</v>
      </c>
      <c r="B124" s="2" t="s">
        <v>2117</v>
      </c>
      <c r="C124" s="2" t="s">
        <v>1993</v>
      </c>
      <c r="D124" s="2">
        <v>1301.92</v>
      </c>
      <c r="E124" s="2" t="s">
        <v>1994</v>
      </c>
      <c r="F124" s="2">
        <v>4.5999999999999996</v>
      </c>
    </row>
    <row r="125" spans="1:6" x14ac:dyDescent="0.3">
      <c r="A125" s="2" t="s">
        <v>176</v>
      </c>
      <c r="B125" s="2" t="s">
        <v>2118</v>
      </c>
      <c r="C125" s="2" t="s">
        <v>1993</v>
      </c>
      <c r="D125" s="2">
        <v>1880.36</v>
      </c>
      <c r="E125" s="2" t="s">
        <v>1994</v>
      </c>
      <c r="F125" s="2">
        <v>2.8</v>
      </c>
    </row>
    <row r="126" spans="1:6" x14ac:dyDescent="0.3">
      <c r="A126" s="2" t="s">
        <v>167</v>
      </c>
      <c r="B126" s="2" t="s">
        <v>2119</v>
      </c>
      <c r="C126" s="2" t="s">
        <v>1998</v>
      </c>
      <c r="D126" s="2">
        <v>18.87</v>
      </c>
      <c r="E126" s="2" t="s">
        <v>1999</v>
      </c>
      <c r="F126" s="2">
        <v>3.9</v>
      </c>
    </row>
    <row r="127" spans="1:6" x14ac:dyDescent="0.3">
      <c r="A127" s="2" t="s">
        <v>101</v>
      </c>
      <c r="B127" s="2" t="s">
        <v>2120</v>
      </c>
      <c r="C127" s="2" t="s">
        <v>1988</v>
      </c>
      <c r="D127" s="2">
        <v>114.91</v>
      </c>
      <c r="E127" s="2" t="s">
        <v>1989</v>
      </c>
      <c r="F127" s="2">
        <v>2.1</v>
      </c>
    </row>
    <row r="128" spans="1:6" x14ac:dyDescent="0.3">
      <c r="A128" s="2" t="s">
        <v>905</v>
      </c>
      <c r="B128" s="2" t="s">
        <v>2121</v>
      </c>
      <c r="C128" s="2" t="s">
        <v>1993</v>
      </c>
      <c r="D128" s="2">
        <v>410.48</v>
      </c>
      <c r="E128" s="2" t="s">
        <v>1994</v>
      </c>
      <c r="F128" s="2">
        <v>2.4</v>
      </c>
    </row>
    <row r="129" spans="1:6" x14ac:dyDescent="0.3">
      <c r="A129" s="2" t="s">
        <v>677</v>
      </c>
      <c r="B129" s="2" t="s">
        <v>2122</v>
      </c>
      <c r="C129" s="2" t="s">
        <v>1988</v>
      </c>
      <c r="D129" s="2">
        <v>46.33</v>
      </c>
      <c r="E129" s="2" t="s">
        <v>1989</v>
      </c>
      <c r="F129" s="2">
        <v>3.1</v>
      </c>
    </row>
    <row r="130" spans="1:6" x14ac:dyDescent="0.3">
      <c r="A130" s="2" t="s">
        <v>209</v>
      </c>
      <c r="B130" s="2" t="s">
        <v>2123</v>
      </c>
      <c r="C130" s="2" t="s">
        <v>1993</v>
      </c>
      <c r="D130" s="2">
        <v>1610</v>
      </c>
      <c r="E130" s="2" t="s">
        <v>1994</v>
      </c>
      <c r="F130" s="2">
        <v>4.8</v>
      </c>
    </row>
    <row r="131" spans="1:6" x14ac:dyDescent="0.3">
      <c r="A131" s="2" t="s">
        <v>749</v>
      </c>
      <c r="B131" s="2" t="s">
        <v>2124</v>
      </c>
      <c r="C131" s="2" t="s">
        <v>1998</v>
      </c>
      <c r="D131" s="2">
        <v>81.61</v>
      </c>
      <c r="E131" s="2" t="s">
        <v>1999</v>
      </c>
      <c r="F131" s="2">
        <v>4.5999999999999996</v>
      </c>
    </row>
    <row r="132" spans="1:6" x14ac:dyDescent="0.3">
      <c r="A132" s="2" t="s">
        <v>30</v>
      </c>
      <c r="B132" s="2" t="s">
        <v>2125</v>
      </c>
      <c r="C132" s="2" t="s">
        <v>1998</v>
      </c>
      <c r="D132" s="2">
        <v>46.92</v>
      </c>
      <c r="E132" s="2" t="s">
        <v>1999</v>
      </c>
      <c r="F132" s="2">
        <v>2.1</v>
      </c>
    </row>
    <row r="133" spans="1:6" x14ac:dyDescent="0.3">
      <c r="A133" s="2" t="s">
        <v>293</v>
      </c>
      <c r="B133" s="2" t="s">
        <v>2126</v>
      </c>
      <c r="C133" s="2" t="s">
        <v>1998</v>
      </c>
      <c r="D133" s="2">
        <v>29.36</v>
      </c>
      <c r="E133" s="2" t="s">
        <v>1999</v>
      </c>
      <c r="F133" s="2">
        <v>2.4</v>
      </c>
    </row>
    <row r="134" spans="1:6" x14ac:dyDescent="0.3">
      <c r="A134" s="2" t="s">
        <v>780</v>
      </c>
      <c r="B134" s="2" t="s">
        <v>2127</v>
      </c>
      <c r="C134" s="2" t="s">
        <v>2002</v>
      </c>
      <c r="D134" s="2">
        <v>144.43</v>
      </c>
      <c r="E134" s="2" t="s">
        <v>1989</v>
      </c>
      <c r="F134" s="2">
        <v>3.2</v>
      </c>
    </row>
    <row r="135" spans="1:6" x14ac:dyDescent="0.3">
      <c r="A135" s="2" t="s">
        <v>721</v>
      </c>
      <c r="B135" s="2" t="s">
        <v>2128</v>
      </c>
      <c r="C135" s="2" t="s">
        <v>1991</v>
      </c>
      <c r="D135" s="2">
        <v>58.39</v>
      </c>
      <c r="E135" s="2" t="s">
        <v>1989</v>
      </c>
      <c r="F135" s="2">
        <v>4</v>
      </c>
    </row>
    <row r="136" spans="1:6" x14ac:dyDescent="0.3">
      <c r="A136" s="2" t="s">
        <v>244</v>
      </c>
      <c r="B136" s="2" t="s">
        <v>2129</v>
      </c>
      <c r="C136" s="2" t="s">
        <v>1991</v>
      </c>
      <c r="D136" s="2">
        <v>46.94</v>
      </c>
      <c r="E136" s="2" t="s">
        <v>1989</v>
      </c>
      <c r="F136" s="2">
        <v>4.5999999999999996</v>
      </c>
    </row>
    <row r="137" spans="1:6" x14ac:dyDescent="0.3">
      <c r="A137" s="2" t="s">
        <v>1780</v>
      </c>
      <c r="B137" s="2" t="s">
        <v>2130</v>
      </c>
      <c r="C137" s="2" t="s">
        <v>1988</v>
      </c>
      <c r="D137" s="2">
        <v>50.45</v>
      </c>
      <c r="E137" s="2" t="s">
        <v>1989</v>
      </c>
      <c r="F137" s="2">
        <v>2.8</v>
      </c>
    </row>
    <row r="138" spans="1:6" x14ac:dyDescent="0.3">
      <c r="A138" s="2" t="s">
        <v>18</v>
      </c>
      <c r="B138" s="2" t="s">
        <v>2131</v>
      </c>
      <c r="C138" s="2" t="s">
        <v>1991</v>
      </c>
      <c r="D138" s="2">
        <v>33.53</v>
      </c>
      <c r="E138" s="2" t="s">
        <v>1989</v>
      </c>
      <c r="F138" s="2">
        <v>3</v>
      </c>
    </row>
    <row r="139" spans="1:6" x14ac:dyDescent="0.3">
      <c r="A139" s="2" t="s">
        <v>473</v>
      </c>
      <c r="B139" s="2" t="s">
        <v>2132</v>
      </c>
      <c r="C139" s="2" t="s">
        <v>2002</v>
      </c>
      <c r="D139" s="2">
        <v>94.55</v>
      </c>
      <c r="E139" s="2" t="s">
        <v>1989</v>
      </c>
      <c r="F139" s="2">
        <v>1.7</v>
      </c>
    </row>
    <row r="140" spans="1:6" x14ac:dyDescent="0.3">
      <c r="A140" s="2" t="s">
        <v>402</v>
      </c>
      <c r="B140" s="2" t="s">
        <v>2133</v>
      </c>
      <c r="C140" s="2" t="s">
        <v>1998</v>
      </c>
      <c r="D140" s="2">
        <v>90.05</v>
      </c>
      <c r="E140" s="2" t="s">
        <v>1999</v>
      </c>
      <c r="F140" s="2">
        <v>3.5</v>
      </c>
    </row>
    <row r="141" spans="1:6" x14ac:dyDescent="0.3">
      <c r="A141" s="2" t="s">
        <v>485</v>
      </c>
      <c r="B141" s="2" t="s">
        <v>2134</v>
      </c>
      <c r="C141" s="2" t="s">
        <v>1988</v>
      </c>
      <c r="D141" s="2">
        <v>221.95</v>
      </c>
      <c r="E141" s="2" t="s">
        <v>1989</v>
      </c>
      <c r="F141" s="2">
        <v>3.5</v>
      </c>
    </row>
    <row r="142" spans="1:6" x14ac:dyDescent="0.3">
      <c r="A142" s="2" t="s">
        <v>935</v>
      </c>
      <c r="B142" s="2" t="s">
        <v>2135</v>
      </c>
      <c r="C142" s="2" t="s">
        <v>1998</v>
      </c>
      <c r="D142" s="2">
        <v>93.62</v>
      </c>
      <c r="E142" s="2" t="s">
        <v>1999</v>
      </c>
      <c r="F142" s="2">
        <v>2.5</v>
      </c>
    </row>
    <row r="143" spans="1:6" x14ac:dyDescent="0.3">
      <c r="A143" s="2" t="s">
        <v>424</v>
      </c>
      <c r="B143" s="2" t="s">
        <v>2136</v>
      </c>
      <c r="C143" s="2" t="s">
        <v>1998</v>
      </c>
      <c r="D143" s="2">
        <v>55.59</v>
      </c>
      <c r="E143" s="2" t="s">
        <v>1999</v>
      </c>
      <c r="F143" s="2">
        <v>4.0999999999999996</v>
      </c>
    </row>
    <row r="144" spans="1:6" x14ac:dyDescent="0.3">
      <c r="A144" s="2" t="s">
        <v>498</v>
      </c>
      <c r="B144" s="2" t="s">
        <v>2137</v>
      </c>
      <c r="C144" s="2" t="s">
        <v>1993</v>
      </c>
      <c r="D144" s="2">
        <v>1374.1</v>
      </c>
      <c r="E144" s="2" t="s">
        <v>1994</v>
      </c>
      <c r="F144" s="2">
        <v>2.5</v>
      </c>
    </row>
    <row r="145" spans="1:6" x14ac:dyDescent="0.3">
      <c r="A145" s="2" t="s">
        <v>134</v>
      </c>
      <c r="B145" s="2" t="s">
        <v>2138</v>
      </c>
      <c r="C145" s="2" t="s">
        <v>1998</v>
      </c>
      <c r="D145" s="2">
        <v>41.55</v>
      </c>
      <c r="E145" s="2" t="s">
        <v>1999</v>
      </c>
      <c r="F145" s="2">
        <v>3.8</v>
      </c>
    </row>
    <row r="146" spans="1:6" x14ac:dyDescent="0.3">
      <c r="A146" s="2" t="s">
        <v>391</v>
      </c>
      <c r="B146" s="2" t="s">
        <v>2139</v>
      </c>
      <c r="C146" s="2" t="s">
        <v>1998</v>
      </c>
      <c r="D146" s="2">
        <v>84.01</v>
      </c>
      <c r="E146" s="2" t="s">
        <v>1999</v>
      </c>
      <c r="F146" s="2">
        <v>4.7</v>
      </c>
    </row>
    <row r="147" spans="1:6" x14ac:dyDescent="0.3">
      <c r="A147" s="2" t="s">
        <v>801</v>
      </c>
      <c r="B147" s="2" t="s">
        <v>2140</v>
      </c>
      <c r="C147" s="2" t="s">
        <v>1993</v>
      </c>
      <c r="D147" s="2">
        <v>359.33</v>
      </c>
      <c r="E147" s="2" t="s">
        <v>1994</v>
      </c>
      <c r="F147" s="2">
        <v>2.9</v>
      </c>
    </row>
    <row r="148" spans="1:6" x14ac:dyDescent="0.3">
      <c r="A148" s="2" t="s">
        <v>622</v>
      </c>
      <c r="B148" s="2" t="s">
        <v>2141</v>
      </c>
      <c r="C148" s="2" t="s">
        <v>1993</v>
      </c>
      <c r="D148" s="2">
        <v>484.68</v>
      </c>
      <c r="E148" s="2" t="s">
        <v>1994</v>
      </c>
      <c r="F148" s="2">
        <v>3</v>
      </c>
    </row>
    <row r="149" spans="1:6" x14ac:dyDescent="0.3">
      <c r="A149" s="2" t="s">
        <v>415</v>
      </c>
      <c r="B149" s="2" t="s">
        <v>2142</v>
      </c>
      <c r="C149" s="2" t="s">
        <v>1998</v>
      </c>
      <c r="D149" s="2">
        <v>9.73</v>
      </c>
      <c r="E149" s="2" t="s">
        <v>1999</v>
      </c>
      <c r="F149" s="2">
        <v>2.8</v>
      </c>
    </row>
    <row r="150" spans="1:6" x14ac:dyDescent="0.3">
      <c r="A150" s="2" t="s">
        <v>160</v>
      </c>
      <c r="B150" s="2" t="s">
        <v>2143</v>
      </c>
      <c r="C150" s="2" t="s">
        <v>1991</v>
      </c>
      <c r="D150" s="2">
        <v>45.95</v>
      </c>
      <c r="E150" s="2" t="s">
        <v>1989</v>
      </c>
      <c r="F150" s="2">
        <v>4.2</v>
      </c>
    </row>
    <row r="151" spans="1:6" x14ac:dyDescent="0.3">
      <c r="A151" s="2" t="s">
        <v>452</v>
      </c>
      <c r="B151" s="2" t="s">
        <v>2144</v>
      </c>
      <c r="C151" s="2" t="s">
        <v>1998</v>
      </c>
      <c r="D151" s="2">
        <v>75.69</v>
      </c>
      <c r="E151" s="2" t="s">
        <v>1999</v>
      </c>
      <c r="F151" s="2">
        <v>4.4000000000000004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17AB-C2FB-4E48-BB43-57128F5494B2}">
  <dimension ref="B5:J1579"/>
  <sheetViews>
    <sheetView topLeftCell="A20" zoomScale="80" zoomScaleNormal="80" workbookViewId="0">
      <selection activeCell="K39" sqref="K39"/>
    </sheetView>
  </sheetViews>
  <sheetFormatPr defaultRowHeight="14.4" x14ac:dyDescent="0.3"/>
  <cols>
    <col min="1" max="1" width="25.77734375" customWidth="1"/>
    <col min="2" max="2" width="24" bestFit="1" customWidth="1"/>
    <col min="3" max="3" width="16.77734375" bestFit="1" customWidth="1"/>
    <col min="4" max="4" width="9.33203125" bestFit="1" customWidth="1"/>
    <col min="5" max="5" width="8.5546875" bestFit="1" customWidth="1"/>
    <col min="6" max="6" width="17.109375" bestFit="1" customWidth="1"/>
    <col min="7" max="7" width="10.21875" bestFit="1" customWidth="1"/>
    <col min="8" max="8" width="8.21875" bestFit="1" customWidth="1"/>
    <col min="9" max="9" width="13.33203125" bestFit="1" customWidth="1"/>
    <col min="10" max="10" width="16.77734375" bestFit="1" customWidth="1"/>
    <col min="11" max="23" width="25.77734375" customWidth="1"/>
  </cols>
  <sheetData>
    <row r="5" spans="2:3" x14ac:dyDescent="0.3">
      <c r="B5" s="9" t="s">
        <v>1983</v>
      </c>
      <c r="C5" t="s">
        <v>2150</v>
      </c>
    </row>
    <row r="6" spans="2:3" x14ac:dyDescent="0.3">
      <c r="B6" s="2" t="s">
        <v>1991</v>
      </c>
      <c r="C6" s="10">
        <v>30888.910000000018</v>
      </c>
    </row>
    <row r="7" spans="2:3" x14ac:dyDescent="0.3">
      <c r="B7" s="2" t="s">
        <v>1998</v>
      </c>
      <c r="C7" s="10">
        <v>29011.849999999995</v>
      </c>
    </row>
    <row r="8" spans="2:3" x14ac:dyDescent="0.3">
      <c r="B8" s="2" t="s">
        <v>1988</v>
      </c>
      <c r="C8" s="10">
        <v>85098.229999999923</v>
      </c>
    </row>
    <row r="9" spans="2:3" x14ac:dyDescent="0.3">
      <c r="B9" s="2" t="s">
        <v>2002</v>
      </c>
      <c r="C9" s="10">
        <v>52396.009999999995</v>
      </c>
    </row>
    <row r="10" spans="2:3" x14ac:dyDescent="0.3">
      <c r="B10" s="2" t="s">
        <v>1993</v>
      </c>
      <c r="C10" s="10">
        <v>1140720.2400000005</v>
      </c>
    </row>
    <row r="11" spans="2:3" x14ac:dyDescent="0.3">
      <c r="B11" s="2" t="s">
        <v>2149</v>
      </c>
      <c r="C11" s="10">
        <v>1338115.2400000005</v>
      </c>
    </row>
    <row r="20" spans="2:3" x14ac:dyDescent="0.3">
      <c r="B20" s="9" t="s">
        <v>6</v>
      </c>
      <c r="C20" t="s">
        <v>2151</v>
      </c>
    </row>
    <row r="21" spans="2:3" x14ac:dyDescent="0.3">
      <c r="B21" s="2" t="s">
        <v>13</v>
      </c>
      <c r="C21" s="40">
        <v>204</v>
      </c>
    </row>
    <row r="22" spans="2:3" x14ac:dyDescent="0.3">
      <c r="B22" s="2" t="s">
        <v>46</v>
      </c>
      <c r="C22" s="40">
        <v>230</v>
      </c>
    </row>
    <row r="23" spans="2:3" x14ac:dyDescent="0.3">
      <c r="B23" s="2" t="s">
        <v>109</v>
      </c>
      <c r="C23" s="40">
        <v>203</v>
      </c>
    </row>
    <row r="24" spans="2:3" x14ac:dyDescent="0.3">
      <c r="B24" s="2" t="s">
        <v>50</v>
      </c>
      <c r="C24" s="40">
        <v>210</v>
      </c>
    </row>
    <row r="25" spans="2:3" x14ac:dyDescent="0.3">
      <c r="B25" s="2" t="s">
        <v>20</v>
      </c>
      <c r="C25" s="40">
        <v>192</v>
      </c>
    </row>
    <row r="26" spans="2:3" x14ac:dyDescent="0.3">
      <c r="B26" s="2" t="s">
        <v>31</v>
      </c>
      <c r="C26" s="40">
        <v>238</v>
      </c>
    </row>
    <row r="27" spans="2:3" x14ac:dyDescent="0.3">
      <c r="B27" s="2" t="s">
        <v>40</v>
      </c>
      <c r="C27" s="40">
        <v>223</v>
      </c>
    </row>
    <row r="28" spans="2:3" x14ac:dyDescent="0.3">
      <c r="B28" s="2" t="s">
        <v>2149</v>
      </c>
      <c r="C28" s="40">
        <v>1500</v>
      </c>
    </row>
    <row r="35" spans="2:10" x14ac:dyDescent="0.3">
      <c r="B35" s="9" t="s">
        <v>2153</v>
      </c>
      <c r="C35" s="9" t="s">
        <v>2146</v>
      </c>
    </row>
    <row r="36" spans="2:10" x14ac:dyDescent="0.3">
      <c r="B36" s="9" t="s">
        <v>7</v>
      </c>
      <c r="C36" t="s">
        <v>2152</v>
      </c>
      <c r="D36" t="s">
        <v>2183</v>
      </c>
      <c r="E36" t="s">
        <v>2184</v>
      </c>
      <c r="F36" t="s">
        <v>42</v>
      </c>
      <c r="G36" t="s">
        <v>2185</v>
      </c>
      <c r="H36" t="s">
        <v>2186</v>
      </c>
      <c r="I36" t="s">
        <v>2149</v>
      </c>
    </row>
    <row r="37" spans="2:10" x14ac:dyDescent="0.3">
      <c r="B37" s="2" t="s">
        <v>55</v>
      </c>
      <c r="C37" s="40">
        <v>49</v>
      </c>
      <c r="D37" s="40"/>
      <c r="E37" s="40">
        <v>60</v>
      </c>
      <c r="F37" s="40">
        <v>41</v>
      </c>
      <c r="G37" s="40">
        <v>59</v>
      </c>
      <c r="H37" s="40"/>
      <c r="I37" s="40">
        <v>209</v>
      </c>
    </row>
    <row r="38" spans="2:10" x14ac:dyDescent="0.3">
      <c r="B38" s="2" t="s">
        <v>41</v>
      </c>
      <c r="C38" s="40">
        <v>48</v>
      </c>
      <c r="D38" s="40">
        <v>274</v>
      </c>
      <c r="E38" s="40">
        <v>60</v>
      </c>
      <c r="F38" s="40">
        <v>80</v>
      </c>
      <c r="G38" s="40">
        <v>78</v>
      </c>
      <c r="H38" s="40">
        <v>29</v>
      </c>
      <c r="I38" s="40">
        <v>569</v>
      </c>
    </row>
    <row r="39" spans="2:10" x14ac:dyDescent="0.3">
      <c r="B39" s="2" t="s">
        <v>14</v>
      </c>
      <c r="C39" s="40">
        <v>12</v>
      </c>
      <c r="D39" s="40">
        <v>279</v>
      </c>
      <c r="E39" s="40">
        <v>9</v>
      </c>
      <c r="F39" s="40">
        <v>10</v>
      </c>
      <c r="G39" s="40">
        <v>13</v>
      </c>
      <c r="H39" s="40">
        <v>46</v>
      </c>
      <c r="I39" s="40">
        <v>369</v>
      </c>
    </row>
    <row r="40" spans="2:10" x14ac:dyDescent="0.3">
      <c r="B40" s="2" t="s">
        <v>51</v>
      </c>
      <c r="C40" s="40">
        <v>61</v>
      </c>
      <c r="D40" s="40"/>
      <c r="E40" s="40">
        <v>59</v>
      </c>
      <c r="F40" s="40">
        <v>45</v>
      </c>
      <c r="G40" s="40">
        <v>42</v>
      </c>
      <c r="H40" s="40"/>
      <c r="I40" s="40">
        <v>207</v>
      </c>
    </row>
    <row r="41" spans="2:10" x14ac:dyDescent="0.3">
      <c r="B41" s="2" t="s">
        <v>24</v>
      </c>
      <c r="C41" s="40">
        <v>8</v>
      </c>
      <c r="D41" s="40">
        <v>109</v>
      </c>
      <c r="E41" s="40">
        <v>2</v>
      </c>
      <c r="F41" s="40">
        <v>7</v>
      </c>
      <c r="G41" s="40">
        <v>4</v>
      </c>
      <c r="H41" s="40">
        <v>16</v>
      </c>
      <c r="I41" s="40">
        <v>146</v>
      </c>
    </row>
    <row r="42" spans="2:10" x14ac:dyDescent="0.3">
      <c r="B42" s="2" t="s">
        <v>2149</v>
      </c>
      <c r="C42" s="40">
        <v>178</v>
      </c>
      <c r="D42" s="40">
        <v>662</v>
      </c>
      <c r="E42" s="40">
        <v>190</v>
      </c>
      <c r="F42" s="40">
        <v>183</v>
      </c>
      <c r="G42" s="40">
        <v>196</v>
      </c>
      <c r="H42" s="40">
        <v>91</v>
      </c>
      <c r="I42" s="40">
        <v>1500</v>
      </c>
    </row>
    <row r="48" spans="2:10" x14ac:dyDescent="0.3">
      <c r="I48" s="9" t="s">
        <v>2146</v>
      </c>
      <c r="J48" t="s">
        <v>2170</v>
      </c>
    </row>
    <row r="50" spans="2:10" x14ac:dyDescent="0.3">
      <c r="I50" s="9" t="s">
        <v>2148</v>
      </c>
      <c r="J50" t="s">
        <v>2151</v>
      </c>
    </row>
    <row r="51" spans="2:10" x14ac:dyDescent="0.3">
      <c r="I51" s="2" t="s">
        <v>2171</v>
      </c>
      <c r="J51" s="40">
        <v>138</v>
      </c>
    </row>
    <row r="52" spans="2:10" x14ac:dyDescent="0.3">
      <c r="I52" s="2" t="s">
        <v>2172</v>
      </c>
      <c r="J52" s="40">
        <v>119</v>
      </c>
    </row>
    <row r="53" spans="2:10" x14ac:dyDescent="0.3">
      <c r="I53" s="2" t="s">
        <v>2173</v>
      </c>
      <c r="J53" s="40">
        <v>139</v>
      </c>
    </row>
    <row r="54" spans="2:10" x14ac:dyDescent="0.3">
      <c r="I54" s="2" t="s">
        <v>2174</v>
      </c>
      <c r="J54" s="40">
        <v>120</v>
      </c>
    </row>
    <row r="55" spans="2:10" x14ac:dyDescent="0.3">
      <c r="I55" s="2" t="s">
        <v>2175</v>
      </c>
      <c r="J55" s="40">
        <v>120</v>
      </c>
    </row>
    <row r="56" spans="2:10" x14ac:dyDescent="0.3">
      <c r="I56" s="2" t="s">
        <v>2176</v>
      </c>
      <c r="J56" s="40">
        <v>120</v>
      </c>
    </row>
    <row r="57" spans="2:10" x14ac:dyDescent="0.3">
      <c r="I57" s="2" t="s">
        <v>2177</v>
      </c>
      <c r="J57" s="40">
        <v>144</v>
      </c>
    </row>
    <row r="58" spans="2:10" x14ac:dyDescent="0.3">
      <c r="B58" t="s">
        <v>2154</v>
      </c>
      <c r="C58" t="s">
        <v>2155</v>
      </c>
      <c r="D58" t="s">
        <v>2156</v>
      </c>
      <c r="E58" t="s">
        <v>2157</v>
      </c>
      <c r="F58" t="s">
        <v>2158</v>
      </c>
      <c r="G58" t="s">
        <v>2159</v>
      </c>
      <c r="I58" s="2" t="s">
        <v>2178</v>
      </c>
      <c r="J58" s="40">
        <v>119</v>
      </c>
    </row>
    <row r="59" spans="2:10" x14ac:dyDescent="0.3">
      <c r="B59" t="str">
        <f t="array" ref="B59">IFERROR(INDEX('Orders Ledger'!$A$2:$A$1501, SMALL(IF(('Orders Ledger'!$J$2:$J$1501="disputed")+('Orders Ledger'!$J$2:$J$1501="PENDING_REVIEW"), ROW('Orders Ledger'!$A$2:$A$1501)-ROW('Orders Ledger'!$A$2)+1), ROW(1:1))), "")</f>
        <v>ORD100006</v>
      </c>
      <c r="C59" s="11" t="str">
        <f>IF(B59="","",_xlfn.XLOOKUP(B59,'Orders Ledger'!$A:$A,'Orders Ledger'!$B:$B,""))</f>
        <v>CUST-1179</v>
      </c>
      <c r="D59" t="str">
        <f>IF(B59="","",_xlfn.XLOOKUP(B59,'Orders Ledger'!$A:$A,'Orders Ledger'!$G:$G,""))</f>
        <v>Unknown Blacklisted Zone</v>
      </c>
      <c r="E59" t="str">
        <f>IF(B59="","",_xlfn.XLOOKUP(B59,'Orders Ledger'!$A:$A,'Orders Ledger'!$H:$H,""))</f>
        <v>Desktop</v>
      </c>
      <c r="F59" t="str">
        <f>IF(B59="","",_xlfn.XLOOKUP(B59,'Orders Ledger'!$A:$A,'Orders Ledger'!$F:$F,""))</f>
        <v>Crypto_Proxy</v>
      </c>
      <c r="G59">
        <f>IF(B59="","",_xlfn.XLOOKUP(B59,'Orders Ledger'!$A:$A,'Orders Ledger'!$N:$N,0))</f>
        <v>232.52</v>
      </c>
      <c r="I59" s="2" t="s">
        <v>2179</v>
      </c>
      <c r="J59" s="40">
        <v>100</v>
      </c>
    </row>
    <row r="60" spans="2:10" x14ac:dyDescent="0.3">
      <c r="B60" t="str">
        <f t="array" ref="B60">IFERROR(INDEX('Orders Ledger'!$A$2:$A$1501, SMALL(IF(('Orders Ledger'!$J$2:$J$1501="disputed")+('Orders Ledger'!$J$2:$J$1501="PENDING_REVIEW"), ROW('Orders Ledger'!$A$2:$A$1501)-ROW('Orders Ledger'!$A$2)+1), ROW(2:2))), "")</f>
        <v>ORD100008</v>
      </c>
      <c r="C60" s="11" t="str">
        <f>IF(B60="","",_xlfn.XLOOKUP(B60,'Orders Ledger'!$A:$A,'Orders Ledger'!$B:$B,""))</f>
        <v>CUST-1035</v>
      </c>
      <c r="D60" t="str">
        <f>IF(B60="","",_xlfn.XLOOKUP(B60,'Orders Ledger'!$A:$A,'Orders Ledger'!$G:$G,""))</f>
        <v>High-Risk Country Proxy</v>
      </c>
      <c r="E60" t="str">
        <f>IF(B60="","",_xlfn.XLOOKUP(B60,'Orders Ledger'!$A:$A,'Orders Ledger'!$H:$H,""))</f>
        <v>Mobile_Emulator</v>
      </c>
      <c r="F60" t="str">
        <f>IF(B60="","",_xlfn.XLOOKUP(B60,'Orders Ledger'!$A:$A,'Orders Ledger'!$F:$F,""))</f>
        <v>Credit_Card</v>
      </c>
      <c r="G60">
        <f>IF(B60="","",_xlfn.XLOOKUP(B60,'Orders Ledger'!$A:$A,'Orders Ledger'!$N:$N,0))</f>
        <v>92.33</v>
      </c>
      <c r="I60" s="2" t="s">
        <v>2180</v>
      </c>
      <c r="J60" s="40">
        <v>147</v>
      </c>
    </row>
    <row r="61" spans="2:10" x14ac:dyDescent="0.3">
      <c r="B61" t="str">
        <f t="array" ref="B61">IFERROR(INDEX('Orders Ledger'!$A$2:$A$1501, SMALL(IF(('Orders Ledger'!$J$2:$J$1501="disputed")+('Orders Ledger'!$J$2:$J$1501="PENDING_REVIEW"), ROW('Orders Ledger'!$A$2:$A$1501)-ROW('Orders Ledger'!$A$2)+1), ROW(3:3))), "")</f>
        <v>ORD100010</v>
      </c>
      <c r="C61" s="11" t="str">
        <f>IF(B61="","",_xlfn.XLOOKUP(B61,'Orders Ledger'!$A:$A,'Orders Ledger'!$B:$B,""))</f>
        <v>CUST-1015</v>
      </c>
      <c r="D61" t="str">
        <f>IF(B61="","",_xlfn.XLOOKUP(B61,'Orders Ledger'!$A:$A,'Orders Ledger'!$G:$G,""))</f>
        <v>France</v>
      </c>
      <c r="E61" t="str">
        <f>IF(B61="","",_xlfn.XLOOKUP(B61,'Orders Ledger'!$A:$A,'Orders Ledger'!$H:$H,""))</f>
        <v>Mobile_Emulator</v>
      </c>
      <c r="F61" t="str">
        <f>IF(B61="","",_xlfn.XLOOKUP(B61,'Orders Ledger'!$A:$A,'Orders Ledger'!$F:$F,""))</f>
        <v>Crypto_Proxy</v>
      </c>
      <c r="G61">
        <f>IF(B61="","",_xlfn.XLOOKUP(B61,'Orders Ledger'!$A:$A,'Orders Ledger'!$N:$N,0))</f>
        <v>4390.1499999999996</v>
      </c>
      <c r="I61" s="2" t="s">
        <v>2181</v>
      </c>
      <c r="J61" s="40">
        <v>111</v>
      </c>
    </row>
    <row r="62" spans="2:10" x14ac:dyDescent="0.3">
      <c r="B62" t="str">
        <f t="array" ref="B62">IFERROR(INDEX('Orders Ledger'!$A$2:$A$1501, SMALL(IF(('Orders Ledger'!$J$2:$J$1501="disputed")+('Orders Ledger'!$J$2:$J$1501="PENDING_REVIEW"), ROW('Orders Ledger'!$A$2:$A$1501)-ROW('Orders Ledger'!$A$2)+1), ROW(4:4))), "")</f>
        <v>ORD100025</v>
      </c>
      <c r="C62" s="11" t="str">
        <f>IF(B62="","",_xlfn.XLOOKUP(B62,'Orders Ledger'!$A:$A,'Orders Ledger'!$B:$B,""))</f>
        <v>CUST-1058</v>
      </c>
      <c r="D62" t="str">
        <f>IF(B62="","",_xlfn.XLOOKUP(B62,'Orders Ledger'!$A:$A,'Orders Ledger'!$G:$G,""))</f>
        <v>Unknown Blacklisted Zone</v>
      </c>
      <c r="E62" t="str">
        <f>IF(B62="","",_xlfn.XLOOKUP(B62,'Orders Ledger'!$A:$A,'Orders Ledger'!$H:$H,""))</f>
        <v>Mobile_Emulator</v>
      </c>
      <c r="F62" t="str">
        <f>IF(B62="","",_xlfn.XLOOKUP(B62,'Orders Ledger'!$A:$A,'Orders Ledger'!$F:$F,""))</f>
        <v>Digital_Wallet</v>
      </c>
      <c r="G62">
        <f>IF(B62="","",_xlfn.XLOOKUP(B62,'Orders Ledger'!$A:$A,'Orders Ledger'!$N:$N,0))</f>
        <v>574.54999999999995</v>
      </c>
      <c r="I62" s="2" t="s">
        <v>2182</v>
      </c>
      <c r="J62" s="40">
        <v>123</v>
      </c>
    </row>
    <row r="63" spans="2:10" x14ac:dyDescent="0.3">
      <c r="B63" t="str">
        <f t="array" ref="B63">IFERROR(INDEX('Orders Ledger'!$A$2:$A$1501, SMALL(IF(('Orders Ledger'!$J$2:$J$1501="disputed")+('Orders Ledger'!$J$2:$J$1501="PENDING_REVIEW"), ROW('Orders Ledger'!$A$2:$A$1501)-ROW('Orders Ledger'!$A$2)+1), ROW(5:5))), "")</f>
        <v>ORD100029</v>
      </c>
      <c r="C63" s="11" t="str">
        <f>IF(B63="","",_xlfn.XLOOKUP(B63,'Orders Ledger'!$A:$A,'Orders Ledger'!$B:$B,""))</f>
        <v>CUST-1296</v>
      </c>
      <c r="D63" t="str">
        <f>IF(B63="","",_xlfn.XLOOKUP(B63,'Orders Ledger'!$A:$A,'Orders Ledger'!$G:$G,""))</f>
        <v>High-Risk Country Proxy</v>
      </c>
      <c r="E63" t="str">
        <f>IF(B63="","",_xlfn.XLOOKUP(B63,'Orders Ledger'!$A:$A,'Orders Ledger'!$H:$H,""))</f>
        <v>Mobile_Emulator</v>
      </c>
      <c r="F63" t="str">
        <f>IF(B63="","",_xlfn.XLOOKUP(B63,'Orders Ledger'!$A:$A,'Orders Ledger'!$F:$F,""))</f>
        <v>Digital_Wallet</v>
      </c>
      <c r="G63">
        <f>IF(B63="","",_xlfn.XLOOKUP(B63,'Orders Ledger'!$A:$A,'Orders Ledger'!$N:$N,0))</f>
        <v>878.03</v>
      </c>
      <c r="I63" s="2" t="s">
        <v>2149</v>
      </c>
      <c r="J63" s="40">
        <v>1500</v>
      </c>
    </row>
    <row r="64" spans="2:10" x14ac:dyDescent="0.3">
      <c r="B64" t="str">
        <f t="array" ref="B64">IFERROR(INDEX('Orders Ledger'!$A$2:$A$1501, SMALL(IF(('Orders Ledger'!$J$2:$J$1501="disputed")+('Orders Ledger'!$J$2:$J$1501="PENDING_REVIEW"), ROW('Orders Ledger'!$A$2:$A$1501)-ROW('Orders Ledger'!$A$2)+1), ROW(6:6))), "")</f>
        <v>ORD100033</v>
      </c>
      <c r="C64" s="11" t="str">
        <f>IF(B64="","",_xlfn.XLOOKUP(B64,'Orders Ledger'!$A:$A,'Orders Ledger'!$B:$B,""))</f>
        <v>CUST-1192</v>
      </c>
      <c r="D64" t="str">
        <f>IF(B64="","",_xlfn.XLOOKUP(B64,'Orders Ledger'!$A:$A,'Orders Ledger'!$G:$G,""))</f>
        <v>High-Risk Country Proxy</v>
      </c>
      <c r="E64" t="str">
        <f>IF(B64="","",_xlfn.XLOOKUP(B64,'Orders Ledger'!$A:$A,'Orders Ledger'!$H:$H,""))</f>
        <v>Desktop</v>
      </c>
      <c r="F64" t="str">
        <f>IF(B64="","",_xlfn.XLOOKUP(B64,'Orders Ledger'!$A:$A,'Orders Ledger'!$F:$F,""))</f>
        <v>Credit_Card</v>
      </c>
      <c r="G64">
        <f>IF(B64="","",_xlfn.XLOOKUP(B64,'Orders Ledger'!$A:$A,'Orders Ledger'!$N:$N,0))</f>
        <v>34.840000000000003</v>
      </c>
    </row>
    <row r="65" spans="2:7" x14ac:dyDescent="0.3">
      <c r="B65" t="str">
        <f t="array" ref="B65">IFERROR(INDEX('Orders Ledger'!$A$2:$A$1501, SMALL(IF(('Orders Ledger'!$J$2:$J$1501="disputed")+('Orders Ledger'!$J$2:$J$1501="PENDING_REVIEW"), ROW('Orders Ledger'!$A$2:$A$1501)-ROW('Orders Ledger'!$A$2)+1), ROW(7:7))), "")</f>
        <v>ORD100039</v>
      </c>
      <c r="C65" s="11" t="str">
        <f>IF(B65="","",_xlfn.XLOOKUP(B65,'Orders Ledger'!$A:$A,'Orders Ledger'!$B:$B,""))</f>
        <v>CUST-1154</v>
      </c>
      <c r="D65" t="str">
        <f>IF(B65="","",_xlfn.XLOOKUP(B65,'Orders Ledger'!$A:$A,'Orders Ledger'!$G:$G,""))</f>
        <v>Canada</v>
      </c>
      <c r="E65" t="str">
        <f>IF(B65="","",_xlfn.XLOOKUP(B65,'Orders Ledger'!$A:$A,'Orders Ledger'!$H:$H,""))</f>
        <v>Desktop</v>
      </c>
      <c r="F65" t="str">
        <f>IF(B65="","",_xlfn.XLOOKUP(B65,'Orders Ledger'!$A:$A,'Orders Ledger'!$F:$F,""))</f>
        <v>Digital_Wallet</v>
      </c>
      <c r="G65">
        <f>IF(B65="","",_xlfn.XLOOKUP(B65,'Orders Ledger'!$A:$A,'Orders Ledger'!$N:$N,0))</f>
        <v>1599.08</v>
      </c>
    </row>
    <row r="66" spans="2:7" x14ac:dyDescent="0.3">
      <c r="B66" t="str">
        <f t="array" ref="B66">IFERROR(INDEX('Orders Ledger'!$A$2:$A$1501, SMALL(IF(('Orders Ledger'!$J$2:$J$1501="disputed")+('Orders Ledger'!$J$2:$J$1501="PENDING_REVIEW"), ROW('Orders Ledger'!$A$2:$A$1501)-ROW('Orders Ledger'!$A$2)+1), ROW(8:8))), "")</f>
        <v>ORD100041</v>
      </c>
      <c r="C66" s="11" t="str">
        <f>IF(B66="","",_xlfn.XLOOKUP(B66,'Orders Ledger'!$A:$A,'Orders Ledger'!$B:$B,""))</f>
        <v>CUST-1289</v>
      </c>
      <c r="D66" t="str">
        <f>IF(B66="","",_xlfn.XLOOKUP(B66,'Orders Ledger'!$A:$A,'Orders Ledger'!$G:$G,""))</f>
        <v>Unknown Blacklisted Zone</v>
      </c>
      <c r="E66" t="str">
        <f>IF(B66="","",_xlfn.XLOOKUP(B66,'Orders Ledger'!$A:$A,'Orders Ledger'!$H:$H,""))</f>
        <v>Bot_Server</v>
      </c>
      <c r="F66" t="str">
        <f>IF(B66="","",_xlfn.XLOOKUP(B66,'Orders Ledger'!$A:$A,'Orders Ledger'!$F:$F,""))</f>
        <v>Credit_Card</v>
      </c>
      <c r="G66">
        <f>IF(B66="","",_xlfn.XLOOKUP(B66,'Orders Ledger'!$A:$A,'Orders Ledger'!$N:$N,0))</f>
        <v>879.84</v>
      </c>
    </row>
    <row r="67" spans="2:7" x14ac:dyDescent="0.3">
      <c r="B67" t="str">
        <f t="array" ref="B67">IFERROR(INDEX('Orders Ledger'!$A$2:$A$1501, SMALL(IF(('Orders Ledger'!$J$2:$J$1501="disputed")+('Orders Ledger'!$J$2:$J$1501="PENDING_REVIEW"), ROW('Orders Ledger'!$A$2:$A$1501)-ROW('Orders Ledger'!$A$2)+1), ROW(9:9))), "")</f>
        <v>ORD100051</v>
      </c>
      <c r="C67" s="11" t="str">
        <f>IF(B67="","",_xlfn.XLOOKUP(B67,'Orders Ledger'!$A:$A,'Orders Ledger'!$B:$B,""))</f>
        <v>CUST-1215</v>
      </c>
      <c r="D67" t="str">
        <f>IF(B67="","",_xlfn.XLOOKUP(B67,'Orders Ledger'!$A:$A,'Orders Ledger'!$G:$G,""))</f>
        <v>United States</v>
      </c>
      <c r="E67" t="str">
        <f>IF(B67="","",_xlfn.XLOOKUP(B67,'Orders Ledger'!$A:$A,'Orders Ledger'!$H:$H,""))</f>
        <v>Mobile_Emulator</v>
      </c>
      <c r="F67" t="str">
        <f>IF(B67="","",_xlfn.XLOOKUP(B67,'Orders Ledger'!$A:$A,'Orders Ledger'!$F:$F,""))</f>
        <v>Credit_Card</v>
      </c>
      <c r="G67">
        <f>IF(B67="","",_xlfn.XLOOKUP(B67,'Orders Ledger'!$A:$A,'Orders Ledger'!$N:$N,0))</f>
        <v>7521.44</v>
      </c>
    </row>
    <row r="68" spans="2:7" x14ac:dyDescent="0.3">
      <c r="B68" t="str">
        <f t="array" ref="B68">IFERROR(INDEX('Orders Ledger'!$A$2:$A$1501, SMALL(IF(('Orders Ledger'!$J$2:$J$1501="disputed")+('Orders Ledger'!$J$2:$J$1501="PENDING_REVIEW"), ROW('Orders Ledger'!$A$2:$A$1501)-ROW('Orders Ledger'!$A$2)+1), ROW(10:10))), "")</f>
        <v>ORD100056</v>
      </c>
      <c r="C68" s="11" t="str">
        <f>IF(B68="","",_xlfn.XLOOKUP(B68,'Orders Ledger'!$A:$A,'Orders Ledger'!$B:$B,""))</f>
        <v>CUST-1235</v>
      </c>
      <c r="D68" t="str">
        <f>IF(B68="","",_xlfn.XLOOKUP(B68,'Orders Ledger'!$A:$A,'Orders Ledger'!$G:$G,""))</f>
        <v>Unknown Blacklisted Zone</v>
      </c>
      <c r="E68" t="str">
        <f>IF(B68="","",_xlfn.XLOOKUP(B68,'Orders Ledger'!$A:$A,'Orders Ledger'!$H:$H,""))</f>
        <v>Mobile_Emulator</v>
      </c>
      <c r="F68" t="str">
        <f>IF(B68="","",_xlfn.XLOOKUP(B68,'Orders Ledger'!$A:$A,'Orders Ledger'!$F:$F,""))</f>
        <v>Digital_Wallet</v>
      </c>
      <c r="G68">
        <f>IF(B68="","",_xlfn.XLOOKUP(B68,'Orders Ledger'!$A:$A,'Orders Ledger'!$N:$N,0))</f>
        <v>5359.52</v>
      </c>
    </row>
    <row r="69" spans="2:7" x14ac:dyDescent="0.3">
      <c r="B69" t="str">
        <f t="array" ref="B69">IFERROR(INDEX('Orders Ledger'!$A$2:$A$1501, SMALL(IF(('Orders Ledger'!$J$2:$J$1501="disputed")+('Orders Ledger'!$J$2:$J$1501="PENDING_REVIEW"), ROW('Orders Ledger'!$A$2:$A$1501)-ROW('Orders Ledger'!$A$2)+1), ROW(11:11))), "")</f>
        <v>ORD100057</v>
      </c>
      <c r="C69" s="11" t="str">
        <f>IF(B69="","",_xlfn.XLOOKUP(B69,'Orders Ledger'!$A:$A,'Orders Ledger'!$B:$B,""))</f>
        <v>CUST-1078</v>
      </c>
      <c r="D69" t="str">
        <f>IF(B69="","",_xlfn.XLOOKUP(B69,'Orders Ledger'!$A:$A,'Orders Ledger'!$G:$G,""))</f>
        <v>United Kingdom</v>
      </c>
      <c r="E69" t="str">
        <f>IF(B69="","",_xlfn.XLOOKUP(B69,'Orders Ledger'!$A:$A,'Orders Ledger'!$H:$H,""))</f>
        <v>Bot_Server</v>
      </c>
      <c r="F69" t="str">
        <f>IF(B69="","",_xlfn.XLOOKUP(B69,'Orders Ledger'!$A:$A,'Orders Ledger'!$F:$F,""))</f>
        <v>Crypto_Proxy</v>
      </c>
      <c r="G69">
        <f>IF(B69="","",_xlfn.XLOOKUP(B69,'Orders Ledger'!$A:$A,'Orders Ledger'!$N:$N,0))</f>
        <v>425.14</v>
      </c>
    </row>
    <row r="70" spans="2:7" x14ac:dyDescent="0.3">
      <c r="B70" t="str">
        <f t="array" ref="B70">IFERROR(INDEX('Orders Ledger'!$A$2:$A$1501, SMALL(IF(('Orders Ledger'!$J$2:$J$1501="disputed")+('Orders Ledger'!$J$2:$J$1501="PENDING_REVIEW"), ROW('Orders Ledger'!$A$2:$A$1501)-ROW('Orders Ledger'!$A$2)+1), ROW(12:12))), "")</f>
        <v>ORD100060</v>
      </c>
      <c r="C70" s="11" t="str">
        <f>IF(B70="","",_xlfn.XLOOKUP(B70,'Orders Ledger'!$A:$A,'Orders Ledger'!$B:$B,""))</f>
        <v>CUST-1267</v>
      </c>
      <c r="D70" t="str">
        <f>IF(B70="","",_xlfn.XLOOKUP(B70,'Orders Ledger'!$A:$A,'Orders Ledger'!$G:$G,""))</f>
        <v>France</v>
      </c>
      <c r="E70" t="str">
        <f>IF(B70="","",_xlfn.XLOOKUP(B70,'Orders Ledger'!$A:$A,'Orders Ledger'!$H:$H,""))</f>
        <v>Mobile_App</v>
      </c>
      <c r="F70" t="str">
        <f>IF(B70="","",_xlfn.XLOOKUP(B70,'Orders Ledger'!$A:$A,'Orders Ledger'!$F:$F,""))</f>
        <v>Credit_Card</v>
      </c>
      <c r="G70">
        <f>IF(B70="","",_xlfn.XLOOKUP(B70,'Orders Ledger'!$A:$A,'Orders Ledger'!$N:$N,0))</f>
        <v>30.18</v>
      </c>
    </row>
    <row r="71" spans="2:7" x14ac:dyDescent="0.3">
      <c r="B71" t="str">
        <f t="array" ref="B71">IFERROR(INDEX('Orders Ledger'!$A$2:$A$1501, SMALL(IF(('Orders Ledger'!$J$2:$J$1501="disputed")+('Orders Ledger'!$J$2:$J$1501="PENDING_REVIEW"), ROW('Orders Ledger'!$A$2:$A$1501)-ROW('Orders Ledger'!$A$2)+1), ROW(13:13))), "")</f>
        <v>ORD100063</v>
      </c>
      <c r="C71" s="11" t="str">
        <f>IF(B71="","",_xlfn.XLOOKUP(B71,'Orders Ledger'!$A:$A,'Orders Ledger'!$B:$B,""))</f>
        <v>CUST-1247</v>
      </c>
      <c r="D71" t="str">
        <f>IF(B71="","",_xlfn.XLOOKUP(B71,'Orders Ledger'!$A:$A,'Orders Ledger'!$G:$G,""))</f>
        <v>Unknown Blacklisted Zone</v>
      </c>
      <c r="E71" t="str">
        <f>IF(B71="","",_xlfn.XLOOKUP(B71,'Orders Ledger'!$A:$A,'Orders Ledger'!$H:$H,""))</f>
        <v>Bot_Server</v>
      </c>
      <c r="F71" t="str">
        <f>IF(B71="","",_xlfn.XLOOKUP(B71,'Orders Ledger'!$A:$A,'Orders Ledger'!$F:$F,""))</f>
        <v>Stolen_Card_Sim</v>
      </c>
      <c r="G71">
        <f>IF(B71="","",_xlfn.XLOOKUP(B71,'Orders Ledger'!$A:$A,'Orders Ledger'!$N:$N,0))</f>
        <v>6440</v>
      </c>
    </row>
    <row r="72" spans="2:7" x14ac:dyDescent="0.3">
      <c r="B72" t="str">
        <f t="array" ref="B72">IFERROR(INDEX('Orders Ledger'!$A$2:$A$1501, SMALL(IF(('Orders Ledger'!$J$2:$J$1501="disputed")+('Orders Ledger'!$J$2:$J$1501="PENDING_REVIEW"), ROW('Orders Ledger'!$A$2:$A$1501)-ROW('Orders Ledger'!$A$2)+1), ROW(14:14))), "")</f>
        <v>ORD100067</v>
      </c>
      <c r="C72" s="11" t="str">
        <f>IF(B72="","",_xlfn.XLOOKUP(B72,'Orders Ledger'!$A:$A,'Orders Ledger'!$B:$B,""))</f>
        <v>CUST-1165</v>
      </c>
      <c r="D72" t="str">
        <f>IF(B72="","",_xlfn.XLOOKUP(B72,'Orders Ledger'!$A:$A,'Orders Ledger'!$G:$G,""))</f>
        <v>Canada</v>
      </c>
      <c r="E72" t="str">
        <f>IF(B72="","",_xlfn.XLOOKUP(B72,'Orders Ledger'!$A:$A,'Orders Ledger'!$H:$H,""))</f>
        <v>Desktop</v>
      </c>
      <c r="F72" t="str">
        <f>IF(B72="","",_xlfn.XLOOKUP(B72,'Orders Ledger'!$A:$A,'Orders Ledger'!$F:$F,""))</f>
        <v>Credit_Card</v>
      </c>
      <c r="G72">
        <f>IF(B72="","",_xlfn.XLOOKUP(B72,'Orders Ledger'!$A:$A,'Orders Ledger'!$N:$N,0))</f>
        <v>21.11</v>
      </c>
    </row>
    <row r="73" spans="2:7" x14ac:dyDescent="0.3">
      <c r="B73" t="str">
        <f t="array" ref="B73">IFERROR(INDEX('Orders Ledger'!$A$2:$A$1501, SMALL(IF(('Orders Ledger'!$J$2:$J$1501="disputed")+('Orders Ledger'!$J$2:$J$1501="PENDING_REVIEW"), ROW('Orders Ledger'!$A$2:$A$1501)-ROW('Orders Ledger'!$A$2)+1), ROW(15:15))), "")</f>
        <v>ORD100068</v>
      </c>
      <c r="C73" s="11" t="str">
        <f>IF(B73="","",_xlfn.XLOOKUP(B73,'Orders Ledger'!$A:$A,'Orders Ledger'!$B:$B,""))</f>
        <v>CUST-1125</v>
      </c>
      <c r="D73" t="str">
        <f>IF(B73="","",_xlfn.XLOOKUP(B73,'Orders Ledger'!$A:$A,'Orders Ledger'!$G:$G,""))</f>
        <v>Canada</v>
      </c>
      <c r="E73" t="str">
        <f>IF(B73="","",_xlfn.XLOOKUP(B73,'Orders Ledger'!$A:$A,'Orders Ledger'!$H:$H,""))</f>
        <v>Mobile_App</v>
      </c>
      <c r="F73" t="str">
        <f>IF(B73="","",_xlfn.XLOOKUP(B73,'Orders Ledger'!$A:$A,'Orders Ledger'!$F:$F,""))</f>
        <v>Credit_Card</v>
      </c>
      <c r="G73">
        <f>IF(B73="","",_xlfn.XLOOKUP(B73,'Orders Ledger'!$A:$A,'Orders Ledger'!$N:$N,0))</f>
        <v>75.400000000000006</v>
      </c>
    </row>
    <row r="74" spans="2:7" x14ac:dyDescent="0.3">
      <c r="B74" t="str">
        <f t="array" ref="B74">IFERROR(INDEX('Orders Ledger'!$A$2:$A$1501, SMALL(IF(('Orders Ledger'!$J$2:$J$1501="disputed")+('Orders Ledger'!$J$2:$J$1501="PENDING_REVIEW"), ROW('Orders Ledger'!$A$2:$A$1501)-ROW('Orders Ledger'!$A$2)+1), ROW(16:16))), "")</f>
        <v>ORD100070</v>
      </c>
      <c r="C74" s="11" t="str">
        <f>IF(B74="","",_xlfn.XLOOKUP(B74,'Orders Ledger'!$A:$A,'Orders Ledger'!$B:$B,""))</f>
        <v>CUST-1142</v>
      </c>
      <c r="D74" t="str">
        <f>IF(B74="","",_xlfn.XLOOKUP(B74,'Orders Ledger'!$A:$A,'Orders Ledger'!$G:$G,""))</f>
        <v>High-Risk Country Proxy</v>
      </c>
      <c r="E74" t="str">
        <f>IF(B74="","",_xlfn.XLOOKUP(B74,'Orders Ledger'!$A:$A,'Orders Ledger'!$H:$H,""))</f>
        <v>Bot_Server</v>
      </c>
      <c r="F74" t="str">
        <f>IF(B74="","",_xlfn.XLOOKUP(B74,'Orders Ledger'!$A:$A,'Orders Ledger'!$F:$F,""))</f>
        <v>Crypto_Proxy</v>
      </c>
      <c r="G74">
        <f>IF(B74="","",_xlfn.XLOOKUP(B74,'Orders Ledger'!$A:$A,'Orders Ledger'!$N:$N,0))</f>
        <v>47.23</v>
      </c>
    </row>
    <row r="75" spans="2:7" x14ac:dyDescent="0.3">
      <c r="B75" t="str">
        <f t="array" ref="B75">IFERROR(INDEX('Orders Ledger'!$A$2:$A$1501, SMALL(IF(('Orders Ledger'!$J$2:$J$1501="disputed")+('Orders Ledger'!$J$2:$J$1501="PENDING_REVIEW"), ROW('Orders Ledger'!$A$2:$A$1501)-ROW('Orders Ledger'!$A$2)+1), ROW(17:17))), "")</f>
        <v>ORD100071</v>
      </c>
      <c r="C75" s="11" t="str">
        <f>IF(B75="","",_xlfn.XLOOKUP(B75,'Orders Ledger'!$A:$A,'Orders Ledger'!$B:$B,""))</f>
        <v>CUST-1230</v>
      </c>
      <c r="D75" t="str">
        <f>IF(B75="","",_xlfn.XLOOKUP(B75,'Orders Ledger'!$A:$A,'Orders Ledger'!$G:$G,""))</f>
        <v>High-Risk Country Proxy</v>
      </c>
      <c r="E75" t="str">
        <f>IF(B75="","",_xlfn.XLOOKUP(B75,'Orders Ledger'!$A:$A,'Orders Ledger'!$H:$H,""))</f>
        <v>Desktop</v>
      </c>
      <c r="F75" t="str">
        <f>IF(B75="","",_xlfn.XLOOKUP(B75,'Orders Ledger'!$A:$A,'Orders Ledger'!$F:$F,""))</f>
        <v>Stolen_Card_Sim</v>
      </c>
      <c r="G75">
        <f>IF(B75="","",_xlfn.XLOOKUP(B75,'Orders Ledger'!$A:$A,'Orders Ledger'!$N:$N,0))</f>
        <v>212.2</v>
      </c>
    </row>
    <row r="76" spans="2:7" x14ac:dyDescent="0.3">
      <c r="B76" t="str">
        <f t="array" ref="B76">IFERROR(INDEX('Orders Ledger'!$A$2:$A$1501, SMALL(IF(('Orders Ledger'!$J$2:$J$1501="disputed")+('Orders Ledger'!$J$2:$J$1501="PENDING_REVIEW"), ROW('Orders Ledger'!$A$2:$A$1501)-ROW('Orders Ledger'!$A$2)+1), ROW(18:18))), "")</f>
        <v>ORD100079</v>
      </c>
      <c r="C76" s="11" t="str">
        <f>IF(B76="","",_xlfn.XLOOKUP(B76,'Orders Ledger'!$A:$A,'Orders Ledger'!$B:$B,""))</f>
        <v>CUST-1166</v>
      </c>
      <c r="D76" t="str">
        <f>IF(B76="","",_xlfn.XLOOKUP(B76,'Orders Ledger'!$A:$A,'Orders Ledger'!$G:$G,""))</f>
        <v>Germany</v>
      </c>
      <c r="E76" t="str">
        <f>IF(B76="","",_xlfn.XLOOKUP(B76,'Orders Ledger'!$A:$A,'Orders Ledger'!$H:$H,""))</f>
        <v>Bot_Server</v>
      </c>
      <c r="F76" t="str">
        <f>IF(B76="","",_xlfn.XLOOKUP(B76,'Orders Ledger'!$A:$A,'Orders Ledger'!$F:$F,""))</f>
        <v>Stolen_Card_Sim</v>
      </c>
      <c r="G76">
        <f>IF(B76="","",_xlfn.XLOOKUP(B76,'Orders Ledger'!$A:$A,'Orders Ledger'!$N:$N,0))</f>
        <v>6961.4</v>
      </c>
    </row>
    <row r="77" spans="2:7" x14ac:dyDescent="0.3">
      <c r="B77" t="str">
        <f t="array" ref="B77">IFERROR(INDEX('Orders Ledger'!$A$2:$A$1501, SMALL(IF(('Orders Ledger'!$J$2:$J$1501="disputed")+('Orders Ledger'!$J$2:$J$1501="PENDING_REVIEW"), ROW('Orders Ledger'!$A$2:$A$1501)-ROW('Orders Ledger'!$A$2)+1), ROW(19:19))), "")</f>
        <v>ORD100082</v>
      </c>
      <c r="C77" s="11" t="str">
        <f>IF(B77="","",_xlfn.XLOOKUP(B77,'Orders Ledger'!$A:$A,'Orders Ledger'!$B:$B,""))</f>
        <v>CUST-1108</v>
      </c>
      <c r="D77" t="str">
        <f>IF(B77="","",_xlfn.XLOOKUP(B77,'Orders Ledger'!$A:$A,'Orders Ledger'!$G:$G,""))</f>
        <v>France</v>
      </c>
      <c r="E77" t="str">
        <f>IF(B77="","",_xlfn.XLOOKUP(B77,'Orders Ledger'!$A:$A,'Orders Ledger'!$H:$H,""))</f>
        <v>Mobile_App</v>
      </c>
      <c r="F77" t="str">
        <f>IF(B77="","",_xlfn.XLOOKUP(B77,'Orders Ledger'!$A:$A,'Orders Ledger'!$F:$F,""))</f>
        <v>Digital_Wallet</v>
      </c>
      <c r="G77">
        <f>IF(B77="","",_xlfn.XLOOKUP(B77,'Orders Ledger'!$A:$A,'Orders Ledger'!$N:$N,0))</f>
        <v>186.13</v>
      </c>
    </row>
    <row r="78" spans="2:7" x14ac:dyDescent="0.3">
      <c r="B78" t="str">
        <f t="array" ref="B78">IFERROR(INDEX('Orders Ledger'!$A$2:$A$1501, SMALL(IF(('Orders Ledger'!$J$2:$J$1501="disputed")+('Orders Ledger'!$J$2:$J$1501="PENDING_REVIEW"), ROW('Orders Ledger'!$A$2:$A$1501)-ROW('Orders Ledger'!$A$2)+1), ROW(20:20))), "")</f>
        <v>ORD100083</v>
      </c>
      <c r="C78" s="11" t="str">
        <f>IF(B78="","",_xlfn.XLOOKUP(B78,'Orders Ledger'!$A:$A,'Orders Ledger'!$B:$B,""))</f>
        <v>CUST-1181</v>
      </c>
      <c r="D78" t="str">
        <f>IF(B78="","",_xlfn.XLOOKUP(B78,'Orders Ledger'!$A:$A,'Orders Ledger'!$G:$G,""))</f>
        <v>Unknown Blacklisted Zone</v>
      </c>
      <c r="E78" t="str">
        <f>IF(B78="","",_xlfn.XLOOKUP(B78,'Orders Ledger'!$A:$A,'Orders Ledger'!$H:$H,""))</f>
        <v>Desktop</v>
      </c>
      <c r="F78" t="str">
        <f>IF(B78="","",_xlfn.XLOOKUP(B78,'Orders Ledger'!$A:$A,'Orders Ledger'!$F:$F,""))</f>
        <v>Digital_Wallet</v>
      </c>
      <c r="G78">
        <f>IF(B78="","",_xlfn.XLOOKUP(B78,'Orders Ledger'!$A:$A,'Orders Ledger'!$N:$N,0))</f>
        <v>204.37</v>
      </c>
    </row>
    <row r="79" spans="2:7" x14ac:dyDescent="0.3">
      <c r="B79" t="str">
        <f t="array" ref="B79">IFERROR(INDEX('Orders Ledger'!$A$2:$A$1501, SMALL(IF(('Orders Ledger'!$J$2:$J$1501="disputed")+('Orders Ledger'!$J$2:$J$1501="PENDING_REVIEW"), ROW('Orders Ledger'!$A$2:$A$1501)-ROW('Orders Ledger'!$A$2)+1), ROW(21:21))), "")</f>
        <v>ORD100104</v>
      </c>
      <c r="C79" s="11" t="str">
        <f>IF(B79="","",_xlfn.XLOOKUP(B79,'Orders Ledger'!$A:$A,'Orders Ledger'!$B:$B,""))</f>
        <v>CUST-1113</v>
      </c>
      <c r="D79" t="str">
        <f>IF(B79="","",_xlfn.XLOOKUP(B79,'Orders Ledger'!$A:$A,'Orders Ledger'!$G:$G,""))</f>
        <v>High-Risk Country Proxy</v>
      </c>
      <c r="E79" t="str">
        <f>IF(B79="","",_xlfn.XLOOKUP(B79,'Orders Ledger'!$A:$A,'Orders Ledger'!$H:$H,""))</f>
        <v>Desktop</v>
      </c>
      <c r="F79" t="str">
        <f>IF(B79="","",_xlfn.XLOOKUP(B79,'Orders Ledger'!$A:$A,'Orders Ledger'!$F:$F,""))</f>
        <v>Credit_Card</v>
      </c>
      <c r="G79">
        <f>IF(B79="","",_xlfn.XLOOKUP(B79,'Orders Ledger'!$A:$A,'Orders Ledger'!$N:$N,0))</f>
        <v>164.06</v>
      </c>
    </row>
    <row r="80" spans="2:7" x14ac:dyDescent="0.3">
      <c r="B80" t="str">
        <f t="array" ref="B80">IFERROR(INDEX('Orders Ledger'!$A$2:$A$1501, SMALL(IF(('Orders Ledger'!$J$2:$J$1501="disputed")+('Orders Ledger'!$J$2:$J$1501="PENDING_REVIEW"), ROW('Orders Ledger'!$A$2:$A$1501)-ROW('Orders Ledger'!$A$2)+1), ROW(22:22))), "")</f>
        <v>ORD100108</v>
      </c>
      <c r="C80" s="11" t="str">
        <f>IF(B80="","",_xlfn.XLOOKUP(B80,'Orders Ledger'!$A:$A,'Orders Ledger'!$B:$B,""))</f>
        <v>CUST-1297</v>
      </c>
      <c r="D80" t="str">
        <f>IF(B80="","",_xlfn.XLOOKUP(B80,'Orders Ledger'!$A:$A,'Orders Ledger'!$G:$G,""))</f>
        <v>Canada</v>
      </c>
      <c r="E80" t="str">
        <f>IF(B80="","",_xlfn.XLOOKUP(B80,'Orders Ledger'!$A:$A,'Orders Ledger'!$H:$H,""))</f>
        <v>Mobile_Web</v>
      </c>
      <c r="F80" t="str">
        <f>IF(B80="","",_xlfn.XLOOKUP(B80,'Orders Ledger'!$A:$A,'Orders Ledger'!$F:$F,""))</f>
        <v>Credit_Card</v>
      </c>
      <c r="G80">
        <f>IF(B80="","",_xlfn.XLOOKUP(B80,'Orders Ledger'!$A:$A,'Orders Ledger'!$N:$N,0))</f>
        <v>80.59</v>
      </c>
    </row>
    <row r="81" spans="2:7" x14ac:dyDescent="0.3">
      <c r="B81" t="str">
        <f t="array" ref="B81">IFERROR(INDEX('Orders Ledger'!$A$2:$A$1501, SMALL(IF(('Orders Ledger'!$J$2:$J$1501="disputed")+('Orders Ledger'!$J$2:$J$1501="PENDING_REVIEW"), ROW('Orders Ledger'!$A$2:$A$1501)-ROW('Orders Ledger'!$A$2)+1), ROW(23:23))), "")</f>
        <v>ORD100109</v>
      </c>
      <c r="C81" s="11" t="str">
        <f>IF(B81="","",_xlfn.XLOOKUP(B81,'Orders Ledger'!$A:$A,'Orders Ledger'!$B:$B,""))</f>
        <v>CUST-1188</v>
      </c>
      <c r="D81" t="str">
        <f>IF(B81="","",_xlfn.XLOOKUP(B81,'Orders Ledger'!$A:$A,'Orders Ledger'!$G:$G,""))</f>
        <v>Germany</v>
      </c>
      <c r="E81" t="str">
        <f>IF(B81="","",_xlfn.XLOOKUP(B81,'Orders Ledger'!$A:$A,'Orders Ledger'!$H:$H,""))</f>
        <v>Bot_Server</v>
      </c>
      <c r="F81" t="str">
        <f>IF(B81="","",_xlfn.XLOOKUP(B81,'Orders Ledger'!$A:$A,'Orders Ledger'!$F:$F,""))</f>
        <v>Credit_Card</v>
      </c>
      <c r="G81">
        <f>IF(B81="","",_xlfn.XLOOKUP(B81,'Orders Ledger'!$A:$A,'Orders Ledger'!$N:$N,0))</f>
        <v>1263.28</v>
      </c>
    </row>
    <row r="82" spans="2:7" x14ac:dyDescent="0.3">
      <c r="B82" t="str">
        <f t="array" ref="B82">IFERROR(INDEX('Orders Ledger'!$A$2:$A$1501, SMALL(IF(('Orders Ledger'!$J$2:$J$1501="disputed")+('Orders Ledger'!$J$2:$J$1501="PENDING_REVIEW"), ROW('Orders Ledger'!$A$2:$A$1501)-ROW('Orders Ledger'!$A$2)+1), ROW(24:24))), "")</f>
        <v>ORD100111</v>
      </c>
      <c r="C82" s="11" t="str">
        <f>IF(B82="","",_xlfn.XLOOKUP(B82,'Orders Ledger'!$A:$A,'Orders Ledger'!$B:$B,""))</f>
        <v>CUST-1283</v>
      </c>
      <c r="D82" t="str">
        <f>IF(B82="","",_xlfn.XLOOKUP(B82,'Orders Ledger'!$A:$A,'Orders Ledger'!$G:$G,""))</f>
        <v>High-Risk Country Proxy</v>
      </c>
      <c r="E82" t="str">
        <f>IF(B82="","",_xlfn.XLOOKUP(B82,'Orders Ledger'!$A:$A,'Orders Ledger'!$H:$H,""))</f>
        <v>Mobile_Emulator</v>
      </c>
      <c r="F82" t="str">
        <f>IF(B82="","",_xlfn.XLOOKUP(B82,'Orders Ledger'!$A:$A,'Orders Ledger'!$F:$F,""))</f>
        <v>Digital_Wallet</v>
      </c>
      <c r="G82">
        <f>IF(B82="","",_xlfn.XLOOKUP(B82,'Orders Ledger'!$A:$A,'Orders Ledger'!$N:$N,0))</f>
        <v>149.5</v>
      </c>
    </row>
    <row r="83" spans="2:7" x14ac:dyDescent="0.3">
      <c r="B83" t="str">
        <f t="array" ref="B83">IFERROR(INDEX('Orders Ledger'!$A$2:$A$1501, SMALL(IF(('Orders Ledger'!$J$2:$J$1501="disputed")+('Orders Ledger'!$J$2:$J$1501="PENDING_REVIEW"), ROW('Orders Ledger'!$A$2:$A$1501)-ROW('Orders Ledger'!$A$2)+1), ROW(25:25))), "")</f>
        <v>ORD100113</v>
      </c>
      <c r="C83" s="11" t="str">
        <f>IF(B83="","",_xlfn.XLOOKUP(B83,'Orders Ledger'!$A:$A,'Orders Ledger'!$B:$B,""))</f>
        <v>CUST-1176</v>
      </c>
      <c r="D83" t="str">
        <f>IF(B83="","",_xlfn.XLOOKUP(B83,'Orders Ledger'!$A:$A,'Orders Ledger'!$G:$G,""))</f>
        <v>Unknown Blacklisted Zone</v>
      </c>
      <c r="E83" t="str">
        <f>IF(B83="","",_xlfn.XLOOKUP(B83,'Orders Ledger'!$A:$A,'Orders Ledger'!$H:$H,""))</f>
        <v>Mobile_Emulator</v>
      </c>
      <c r="F83" t="str">
        <f>IF(B83="","",_xlfn.XLOOKUP(B83,'Orders Ledger'!$A:$A,'Orders Ledger'!$F:$F,""))</f>
        <v>Digital_Wallet</v>
      </c>
      <c r="G83">
        <f>IF(B83="","",_xlfn.XLOOKUP(B83,'Orders Ledger'!$A:$A,'Orders Ledger'!$N:$N,0))</f>
        <v>149.08000000000001</v>
      </c>
    </row>
    <row r="84" spans="2:7" x14ac:dyDescent="0.3">
      <c r="B84" t="str">
        <f t="array" ref="B84">IFERROR(INDEX('Orders Ledger'!$A$2:$A$1501, SMALL(IF(('Orders Ledger'!$J$2:$J$1501="disputed")+('Orders Ledger'!$J$2:$J$1501="PENDING_REVIEW"), ROW('Orders Ledger'!$A$2:$A$1501)-ROW('Orders Ledger'!$A$2)+1), ROW(26:26))), "")</f>
        <v>ORD100115</v>
      </c>
      <c r="C84" s="11" t="str">
        <f>IF(B84="","",_xlfn.XLOOKUP(B84,'Orders Ledger'!$A:$A,'Orders Ledger'!$B:$B,""))</f>
        <v>CUST-1281</v>
      </c>
      <c r="D84" t="str">
        <f>IF(B84="","",_xlfn.XLOOKUP(B84,'Orders Ledger'!$A:$A,'Orders Ledger'!$G:$G,""))</f>
        <v>United States</v>
      </c>
      <c r="E84" t="str">
        <f>IF(B84="","",_xlfn.XLOOKUP(B84,'Orders Ledger'!$A:$A,'Orders Ledger'!$H:$H,""))</f>
        <v>Desktop</v>
      </c>
      <c r="F84" t="str">
        <f>IF(B84="","",_xlfn.XLOOKUP(B84,'Orders Ledger'!$A:$A,'Orders Ledger'!$F:$F,""))</f>
        <v>Digital_Wallet</v>
      </c>
      <c r="G84">
        <f>IF(B84="","",_xlfn.XLOOKUP(B84,'Orders Ledger'!$A:$A,'Orders Ledger'!$N:$N,0))</f>
        <v>184.18</v>
      </c>
    </row>
    <row r="85" spans="2:7" x14ac:dyDescent="0.3">
      <c r="B85" t="str">
        <f t="array" ref="B85">IFERROR(INDEX('Orders Ledger'!$A$2:$A$1501, SMALL(IF(('Orders Ledger'!$J$2:$J$1501="disputed")+('Orders Ledger'!$J$2:$J$1501="PENDING_REVIEW"), ROW('Orders Ledger'!$A$2:$A$1501)-ROW('Orders Ledger'!$A$2)+1), ROW(27:27))), "")</f>
        <v>ORD100127</v>
      </c>
      <c r="C85" s="11" t="str">
        <f>IF(B85="","",_xlfn.XLOOKUP(B85,'Orders Ledger'!$A:$A,'Orders Ledger'!$B:$B,""))</f>
        <v>CUST-1274</v>
      </c>
      <c r="D85" t="str">
        <f>IF(B85="","",_xlfn.XLOOKUP(B85,'Orders Ledger'!$A:$A,'Orders Ledger'!$G:$G,""))</f>
        <v>United States</v>
      </c>
      <c r="E85" t="str">
        <f>IF(B85="","",_xlfn.XLOOKUP(B85,'Orders Ledger'!$A:$A,'Orders Ledger'!$H:$H,""))</f>
        <v>Bot_Server</v>
      </c>
      <c r="F85" t="str">
        <f>IF(B85="","",_xlfn.XLOOKUP(B85,'Orders Ledger'!$A:$A,'Orders Ledger'!$F:$F,""))</f>
        <v>Crypto_Proxy</v>
      </c>
      <c r="G85">
        <f>IF(B85="","",_xlfn.XLOOKUP(B85,'Orders Ledger'!$A:$A,'Orders Ledger'!$N:$N,0))</f>
        <v>1339.88</v>
      </c>
    </row>
    <row r="86" spans="2:7" x14ac:dyDescent="0.3">
      <c r="B86" t="str">
        <f t="array" ref="B86">IFERROR(INDEX('Orders Ledger'!$A$2:$A$1501, SMALL(IF(('Orders Ledger'!$J$2:$J$1501="disputed")+('Orders Ledger'!$J$2:$J$1501="PENDING_REVIEW"), ROW('Orders Ledger'!$A$2:$A$1501)-ROW('Orders Ledger'!$A$2)+1), ROW(28:28))), "")</f>
        <v>ORD100131</v>
      </c>
      <c r="C86" s="11" t="str">
        <f>IF(B86="","",_xlfn.XLOOKUP(B86,'Orders Ledger'!$A:$A,'Orders Ledger'!$B:$B,""))</f>
        <v>CUST-1247</v>
      </c>
      <c r="D86" t="str">
        <f>IF(B86="","",_xlfn.XLOOKUP(B86,'Orders Ledger'!$A:$A,'Orders Ledger'!$G:$G,""))</f>
        <v>Unknown Blacklisted Zone</v>
      </c>
      <c r="E86" t="str">
        <f>IF(B86="","",_xlfn.XLOOKUP(B86,'Orders Ledger'!$A:$A,'Orders Ledger'!$H:$H,""))</f>
        <v>Desktop</v>
      </c>
      <c r="F86" t="str">
        <f>IF(B86="","",_xlfn.XLOOKUP(B86,'Orders Ledger'!$A:$A,'Orders Ledger'!$F:$F,""))</f>
        <v>Stolen_Card_Sim</v>
      </c>
      <c r="G86">
        <f>IF(B86="","",_xlfn.XLOOKUP(B86,'Orders Ledger'!$A:$A,'Orders Ledger'!$N:$N,0))</f>
        <v>30.08</v>
      </c>
    </row>
    <row r="87" spans="2:7" x14ac:dyDescent="0.3">
      <c r="B87" t="str">
        <f t="array" ref="B87">IFERROR(INDEX('Orders Ledger'!$A$2:$A$1501, SMALL(IF(('Orders Ledger'!$J$2:$J$1501="disputed")+('Orders Ledger'!$J$2:$J$1501="PENDING_REVIEW"), ROW('Orders Ledger'!$A$2:$A$1501)-ROW('Orders Ledger'!$A$2)+1), ROW(29:29))), "")</f>
        <v>ORD100135</v>
      </c>
      <c r="C87" s="11" t="str">
        <f>IF(B87="","",_xlfn.XLOOKUP(B87,'Orders Ledger'!$A:$A,'Orders Ledger'!$B:$B,""))</f>
        <v>CUST-1051</v>
      </c>
      <c r="D87" t="str">
        <f>IF(B87="","",_xlfn.XLOOKUP(B87,'Orders Ledger'!$A:$A,'Orders Ledger'!$G:$G,""))</f>
        <v>United Kingdom</v>
      </c>
      <c r="E87" t="str">
        <f>IF(B87="","",_xlfn.XLOOKUP(B87,'Orders Ledger'!$A:$A,'Orders Ledger'!$H:$H,""))</f>
        <v>Mobile_Emulator</v>
      </c>
      <c r="F87" t="str">
        <f>IF(B87="","",_xlfn.XLOOKUP(B87,'Orders Ledger'!$A:$A,'Orders Ledger'!$F:$F,""))</f>
        <v>Credit_Card</v>
      </c>
      <c r="G87">
        <f>IF(B87="","",_xlfn.XLOOKUP(B87,'Orders Ledger'!$A:$A,'Orders Ledger'!$N:$N,0))</f>
        <v>878.03</v>
      </c>
    </row>
    <row r="88" spans="2:7" x14ac:dyDescent="0.3">
      <c r="B88" t="str">
        <f t="array" ref="B88">IFERROR(INDEX('Orders Ledger'!$A$2:$A$1501, SMALL(IF(('Orders Ledger'!$J$2:$J$1501="disputed")+('Orders Ledger'!$J$2:$J$1501="PENDING_REVIEW"), ROW('Orders Ledger'!$A$2:$A$1501)-ROW('Orders Ledger'!$A$2)+1), ROW(30:30))), "")</f>
        <v>ORD100138</v>
      </c>
      <c r="C88" s="11" t="str">
        <f>IF(B88="","",_xlfn.XLOOKUP(B88,'Orders Ledger'!$A:$A,'Orders Ledger'!$B:$B,""))</f>
        <v>CUST-1116</v>
      </c>
      <c r="D88" t="str">
        <f>IF(B88="","",_xlfn.XLOOKUP(B88,'Orders Ledger'!$A:$A,'Orders Ledger'!$G:$G,""))</f>
        <v>High-Risk Country Proxy</v>
      </c>
      <c r="E88" t="str">
        <f>IF(B88="","",_xlfn.XLOOKUP(B88,'Orders Ledger'!$A:$A,'Orders Ledger'!$H:$H,""))</f>
        <v>Desktop</v>
      </c>
      <c r="F88" t="str">
        <f>IF(B88="","",_xlfn.XLOOKUP(B88,'Orders Ledger'!$A:$A,'Orders Ledger'!$F:$F,""))</f>
        <v>Crypto_Proxy</v>
      </c>
      <c r="G88">
        <f>IF(B88="","",_xlfn.XLOOKUP(B88,'Orders Ledger'!$A:$A,'Orders Ledger'!$N:$N,0))</f>
        <v>55.69</v>
      </c>
    </row>
    <row r="89" spans="2:7" x14ac:dyDescent="0.3">
      <c r="B89" t="str">
        <f t="array" ref="B89">IFERROR(INDEX('Orders Ledger'!$A$2:$A$1501, SMALL(IF(('Orders Ledger'!$J$2:$J$1501="disputed")+('Orders Ledger'!$J$2:$J$1501="PENDING_REVIEW"), ROW('Orders Ledger'!$A$2:$A$1501)-ROW('Orders Ledger'!$A$2)+1), ROW(31:31))), "")</f>
        <v>ORD100145</v>
      </c>
      <c r="C89" s="11" t="str">
        <f>IF(B89="","",_xlfn.XLOOKUP(B89,'Orders Ledger'!$A:$A,'Orders Ledger'!$B:$B,""))</f>
        <v>CUST-1140</v>
      </c>
      <c r="D89" t="str">
        <f>IF(B89="","",_xlfn.XLOOKUP(B89,'Orders Ledger'!$A:$A,'Orders Ledger'!$G:$G,""))</f>
        <v>High-Risk Country Proxy</v>
      </c>
      <c r="E89" t="str">
        <f>IF(B89="","",_xlfn.XLOOKUP(B89,'Orders Ledger'!$A:$A,'Orders Ledger'!$H:$H,""))</f>
        <v>Mobile_Emulator</v>
      </c>
      <c r="F89" t="str">
        <f>IF(B89="","",_xlfn.XLOOKUP(B89,'Orders Ledger'!$A:$A,'Orders Ledger'!$F:$F,""))</f>
        <v>Stolen_Card_Sim</v>
      </c>
      <c r="G89">
        <f>IF(B89="","",_xlfn.XLOOKUP(B89,'Orders Ledger'!$A:$A,'Orders Ledger'!$N:$N,0))</f>
        <v>209.14999999999998</v>
      </c>
    </row>
    <row r="90" spans="2:7" x14ac:dyDescent="0.3">
      <c r="B90" t="str">
        <f t="array" ref="B90">IFERROR(INDEX('Orders Ledger'!$A$2:$A$1501, SMALL(IF(('Orders Ledger'!$J$2:$J$1501="disputed")+('Orders Ledger'!$J$2:$J$1501="PENDING_REVIEW"), ROW('Orders Ledger'!$A$2:$A$1501)-ROW('Orders Ledger'!$A$2)+1), ROW(32:32))), "")</f>
        <v>ORD100148</v>
      </c>
      <c r="C90" s="11" t="str">
        <f>IF(B90="","",_xlfn.XLOOKUP(B90,'Orders Ledger'!$A:$A,'Orders Ledger'!$B:$B,""))</f>
        <v>CUST-1283</v>
      </c>
      <c r="D90" t="str">
        <f>IF(B90="","",_xlfn.XLOOKUP(B90,'Orders Ledger'!$A:$A,'Orders Ledger'!$G:$G,""))</f>
        <v>Germany</v>
      </c>
      <c r="E90" t="str">
        <f>IF(B90="","",_xlfn.XLOOKUP(B90,'Orders Ledger'!$A:$A,'Orders Ledger'!$H:$H,""))</f>
        <v>Mobile_Emulator</v>
      </c>
      <c r="F90" t="str">
        <f>IF(B90="","",_xlfn.XLOOKUP(B90,'Orders Ledger'!$A:$A,'Orders Ledger'!$F:$F,""))</f>
        <v>Crypto_Proxy</v>
      </c>
      <c r="G90">
        <f>IF(B90="","",_xlfn.XLOOKUP(B90,'Orders Ledger'!$A:$A,'Orders Ledger'!$N:$N,0))</f>
        <v>3202.75</v>
      </c>
    </row>
    <row r="91" spans="2:7" x14ac:dyDescent="0.3">
      <c r="B91" t="str">
        <f t="array" ref="B91">IFERROR(INDEX('Orders Ledger'!$A$2:$A$1501, SMALL(IF(('Orders Ledger'!$J$2:$J$1501="disputed")+('Orders Ledger'!$J$2:$J$1501="PENDING_REVIEW"), ROW('Orders Ledger'!$A$2:$A$1501)-ROW('Orders Ledger'!$A$2)+1), ROW(33:33))), "")</f>
        <v>ORD100157</v>
      </c>
      <c r="C91" s="11" t="str">
        <f>IF(B91="","",_xlfn.XLOOKUP(B91,'Orders Ledger'!$A:$A,'Orders Ledger'!$B:$B,""))</f>
        <v>CUST-1245</v>
      </c>
      <c r="D91" t="str">
        <f>IF(B91="","",_xlfn.XLOOKUP(B91,'Orders Ledger'!$A:$A,'Orders Ledger'!$G:$G,""))</f>
        <v>High-Risk Country Proxy</v>
      </c>
      <c r="E91" t="str">
        <f>IF(B91="","",_xlfn.XLOOKUP(B91,'Orders Ledger'!$A:$A,'Orders Ledger'!$H:$H,""))</f>
        <v>Bot_Server</v>
      </c>
      <c r="F91" t="str">
        <f>IF(B91="","",_xlfn.XLOOKUP(B91,'Orders Ledger'!$A:$A,'Orders Ledger'!$F:$F,""))</f>
        <v>Digital_Wallet</v>
      </c>
      <c r="G91">
        <f>IF(B91="","",_xlfn.XLOOKUP(B91,'Orders Ledger'!$A:$A,'Orders Ledger'!$N:$N,0))</f>
        <v>775.95</v>
      </c>
    </row>
    <row r="92" spans="2:7" x14ac:dyDescent="0.3">
      <c r="B92" t="str">
        <f t="array" ref="B92">IFERROR(INDEX('Orders Ledger'!$A$2:$A$1501, SMALL(IF(('Orders Ledger'!$J$2:$J$1501="disputed")+('Orders Ledger'!$J$2:$J$1501="PENDING_REVIEW"), ROW('Orders Ledger'!$A$2:$A$1501)-ROW('Orders Ledger'!$A$2)+1), ROW(34:34))), "")</f>
        <v>ORD100162</v>
      </c>
      <c r="C92" s="11" t="str">
        <f>IF(B92="","",_xlfn.XLOOKUP(B92,'Orders Ledger'!$A:$A,'Orders Ledger'!$B:$B,""))</f>
        <v>CUST-1129</v>
      </c>
      <c r="D92" t="str">
        <f>IF(B92="","",_xlfn.XLOOKUP(B92,'Orders Ledger'!$A:$A,'Orders Ledger'!$G:$G,""))</f>
        <v>United States</v>
      </c>
      <c r="E92" t="str">
        <f>IF(B92="","",_xlfn.XLOOKUP(B92,'Orders Ledger'!$A:$A,'Orders Ledger'!$H:$H,""))</f>
        <v>Bot_Server</v>
      </c>
      <c r="F92" t="str">
        <f>IF(B92="","",_xlfn.XLOOKUP(B92,'Orders Ledger'!$A:$A,'Orders Ledger'!$F:$F,""))</f>
        <v>Crypto_Proxy</v>
      </c>
      <c r="G92">
        <f>IF(B92="","",_xlfn.XLOOKUP(B92,'Orders Ledger'!$A:$A,'Orders Ledger'!$N:$N,0))</f>
        <v>2562.1999999999998</v>
      </c>
    </row>
    <row r="93" spans="2:7" x14ac:dyDescent="0.3">
      <c r="B93" t="str">
        <f t="array" ref="B93">IFERROR(INDEX('Orders Ledger'!$A$2:$A$1501, SMALL(IF(('Orders Ledger'!$J$2:$J$1501="disputed")+('Orders Ledger'!$J$2:$J$1501="PENDING_REVIEW"), ROW('Orders Ledger'!$A$2:$A$1501)-ROW('Orders Ledger'!$A$2)+1), ROW(35:35))), "")</f>
        <v>ORD100167</v>
      </c>
      <c r="C93" s="11" t="str">
        <f>IF(B93="","",_xlfn.XLOOKUP(B93,'Orders Ledger'!$A:$A,'Orders Ledger'!$B:$B,""))</f>
        <v>CUST-1251</v>
      </c>
      <c r="D93" t="str">
        <f>IF(B93="","",_xlfn.XLOOKUP(B93,'Orders Ledger'!$A:$A,'Orders Ledger'!$G:$G,""))</f>
        <v>Unknown Blacklisted Zone</v>
      </c>
      <c r="E93" t="str">
        <f>IF(B93="","",_xlfn.XLOOKUP(B93,'Orders Ledger'!$A:$A,'Orders Ledger'!$H:$H,""))</f>
        <v>Mobile_Emulator</v>
      </c>
      <c r="F93" t="str">
        <f>IF(B93="","",_xlfn.XLOOKUP(B93,'Orders Ledger'!$A:$A,'Orders Ledger'!$F:$F,""))</f>
        <v>Crypto_Proxy</v>
      </c>
      <c r="G93">
        <f>IF(B93="","",_xlfn.XLOOKUP(B93,'Orders Ledger'!$A:$A,'Orders Ledger'!$N:$N,0))</f>
        <v>188.92</v>
      </c>
    </row>
    <row r="94" spans="2:7" x14ac:dyDescent="0.3">
      <c r="B94" t="str">
        <f t="array" ref="B94">IFERROR(INDEX('Orders Ledger'!$A$2:$A$1501, SMALL(IF(('Orders Ledger'!$J$2:$J$1501="disputed")+('Orders Ledger'!$J$2:$J$1501="PENDING_REVIEW"), ROW('Orders Ledger'!$A$2:$A$1501)-ROW('Orders Ledger'!$A$2)+1), ROW(36:36))), "")</f>
        <v>ORD100170</v>
      </c>
      <c r="C94" s="11" t="str">
        <f>IF(B94="","",_xlfn.XLOOKUP(B94,'Orders Ledger'!$A:$A,'Orders Ledger'!$B:$B,""))</f>
        <v>CUST-1027</v>
      </c>
      <c r="D94" t="str">
        <f>IF(B94="","",_xlfn.XLOOKUP(B94,'Orders Ledger'!$A:$A,'Orders Ledger'!$G:$G,""))</f>
        <v>High-Risk Country Proxy</v>
      </c>
      <c r="E94" t="str">
        <f>IF(B94="","",_xlfn.XLOOKUP(B94,'Orders Ledger'!$A:$A,'Orders Ledger'!$H:$H,""))</f>
        <v>Bot_Server</v>
      </c>
      <c r="F94" t="str">
        <f>IF(B94="","",_xlfn.XLOOKUP(B94,'Orders Ledger'!$A:$A,'Orders Ledger'!$F:$F,""))</f>
        <v>Crypto_Proxy</v>
      </c>
      <c r="G94">
        <f>IF(B94="","",_xlfn.XLOOKUP(B94,'Orders Ledger'!$A:$A,'Orders Ledger'!$N:$N,0))</f>
        <v>647.79999999999995</v>
      </c>
    </row>
    <row r="95" spans="2:7" x14ac:dyDescent="0.3">
      <c r="B95" t="str">
        <f t="array" ref="B95">IFERROR(INDEX('Orders Ledger'!$A$2:$A$1501, SMALL(IF(('Orders Ledger'!$J$2:$J$1501="disputed")+('Orders Ledger'!$J$2:$J$1501="PENDING_REVIEW"), ROW('Orders Ledger'!$A$2:$A$1501)-ROW('Orders Ledger'!$A$2)+1), ROW(37:37))), "")</f>
        <v>ORD100173</v>
      </c>
      <c r="C95" s="11" t="str">
        <f>IF(B95="","",_xlfn.XLOOKUP(B95,'Orders Ledger'!$A:$A,'Orders Ledger'!$B:$B,""))</f>
        <v>CUST-1288</v>
      </c>
      <c r="D95" t="str">
        <f>IF(B95="","",_xlfn.XLOOKUP(B95,'Orders Ledger'!$A:$A,'Orders Ledger'!$G:$G,""))</f>
        <v>United States</v>
      </c>
      <c r="E95" t="str">
        <f>IF(B95="","",_xlfn.XLOOKUP(B95,'Orders Ledger'!$A:$A,'Orders Ledger'!$H:$H,""))</f>
        <v>Desktop</v>
      </c>
      <c r="F95" t="str">
        <f>IF(B95="","",_xlfn.XLOOKUP(B95,'Orders Ledger'!$A:$A,'Orders Ledger'!$F:$F,""))</f>
        <v>Stolen_Card_Sim</v>
      </c>
      <c r="G95">
        <f>IF(B95="","",_xlfn.XLOOKUP(B95,'Orders Ledger'!$A:$A,'Orders Ledger'!$N:$N,0))</f>
        <v>3688</v>
      </c>
    </row>
    <row r="96" spans="2:7" x14ac:dyDescent="0.3">
      <c r="B96" t="str">
        <f t="array" ref="B96">IFERROR(INDEX('Orders Ledger'!$A$2:$A$1501, SMALL(IF(('Orders Ledger'!$J$2:$J$1501="disputed")+('Orders Ledger'!$J$2:$J$1501="PENDING_REVIEW"), ROW('Orders Ledger'!$A$2:$A$1501)-ROW('Orders Ledger'!$A$2)+1), ROW(38:38))), "")</f>
        <v>ORD100179</v>
      </c>
      <c r="C96" s="11" t="str">
        <f>IF(B96="","",_xlfn.XLOOKUP(B96,'Orders Ledger'!$A:$A,'Orders Ledger'!$B:$B,""))</f>
        <v>CUST-1213</v>
      </c>
      <c r="D96" t="str">
        <f>IF(B96="","",_xlfn.XLOOKUP(B96,'Orders Ledger'!$A:$A,'Orders Ledger'!$G:$G,""))</f>
        <v>Unknown Blacklisted Zone</v>
      </c>
      <c r="E96" t="str">
        <f>IF(B96="","",_xlfn.XLOOKUP(B96,'Orders Ledger'!$A:$A,'Orders Ledger'!$H:$H,""))</f>
        <v>Bot_Server</v>
      </c>
      <c r="F96" t="str">
        <f>IF(B96="","",_xlfn.XLOOKUP(B96,'Orders Ledger'!$A:$A,'Orders Ledger'!$F:$F,""))</f>
        <v>Credit_Card</v>
      </c>
      <c r="G96">
        <f>IF(B96="","",_xlfn.XLOOKUP(B96,'Orders Ledger'!$A:$A,'Orders Ledger'!$N:$N,0))</f>
        <v>168.25</v>
      </c>
    </row>
    <row r="97" spans="2:7" x14ac:dyDescent="0.3">
      <c r="B97" t="str">
        <f t="array" ref="B97">IFERROR(INDEX('Orders Ledger'!$A$2:$A$1501, SMALL(IF(('Orders Ledger'!$J$2:$J$1501="disputed")+('Orders Ledger'!$J$2:$J$1501="PENDING_REVIEW"), ROW('Orders Ledger'!$A$2:$A$1501)-ROW('Orders Ledger'!$A$2)+1), ROW(39:39))), "")</f>
        <v>ORD100182</v>
      </c>
      <c r="C97" s="11" t="str">
        <f>IF(B97="","",_xlfn.XLOOKUP(B97,'Orders Ledger'!$A:$A,'Orders Ledger'!$B:$B,""))</f>
        <v>CUST-1194</v>
      </c>
      <c r="D97" t="str">
        <f>IF(B97="","",_xlfn.XLOOKUP(B97,'Orders Ledger'!$A:$A,'Orders Ledger'!$G:$G,""))</f>
        <v>High-Risk Country Proxy</v>
      </c>
      <c r="E97" t="str">
        <f>IF(B97="","",_xlfn.XLOOKUP(B97,'Orders Ledger'!$A:$A,'Orders Ledger'!$H:$H,""))</f>
        <v>Bot_Server</v>
      </c>
      <c r="F97" t="str">
        <f>IF(B97="","",_xlfn.XLOOKUP(B97,'Orders Ledger'!$A:$A,'Orders Ledger'!$F:$F,""))</f>
        <v>Stolen_Card_Sim</v>
      </c>
      <c r="G97">
        <f>IF(B97="","",_xlfn.XLOOKUP(B97,'Orders Ledger'!$A:$A,'Orders Ledger'!$N:$N,0))</f>
        <v>229.76</v>
      </c>
    </row>
    <row r="98" spans="2:7" x14ac:dyDescent="0.3">
      <c r="B98" t="str">
        <f t="array" ref="B98">IFERROR(INDEX('Orders Ledger'!$A$2:$A$1501, SMALL(IF(('Orders Ledger'!$J$2:$J$1501="disputed")+('Orders Ledger'!$J$2:$J$1501="PENDING_REVIEW"), ROW('Orders Ledger'!$A$2:$A$1501)-ROW('Orders Ledger'!$A$2)+1), ROW(40:40))), "")</f>
        <v>ORD100188</v>
      </c>
      <c r="C98" s="11" t="str">
        <f>IF(B98="","",_xlfn.XLOOKUP(B98,'Orders Ledger'!$A:$A,'Orders Ledger'!$B:$B,""))</f>
        <v>CUST-1291</v>
      </c>
      <c r="D98" t="str">
        <f>IF(B98="","",_xlfn.XLOOKUP(B98,'Orders Ledger'!$A:$A,'Orders Ledger'!$G:$G,""))</f>
        <v>Unknown Blacklisted Zone</v>
      </c>
      <c r="E98" t="str">
        <f>IF(B98="","",_xlfn.XLOOKUP(B98,'Orders Ledger'!$A:$A,'Orders Ledger'!$H:$H,""))</f>
        <v>Mobile_Emulator</v>
      </c>
      <c r="F98" t="str">
        <f>IF(B98="","",_xlfn.XLOOKUP(B98,'Orders Ledger'!$A:$A,'Orders Ledger'!$F:$F,""))</f>
        <v>Digital_Wallet</v>
      </c>
      <c r="G98">
        <f>IF(B98="","",_xlfn.XLOOKUP(B98,'Orders Ledger'!$A:$A,'Orders Ledger'!$N:$N,0))</f>
        <v>13.87</v>
      </c>
    </row>
    <row r="99" spans="2:7" x14ac:dyDescent="0.3">
      <c r="B99" t="str">
        <f t="array" ref="B99">IFERROR(INDEX('Orders Ledger'!$A$2:$A$1501, SMALL(IF(('Orders Ledger'!$J$2:$J$1501="disputed")+('Orders Ledger'!$J$2:$J$1501="PENDING_REVIEW"), ROW('Orders Ledger'!$A$2:$A$1501)-ROW('Orders Ledger'!$A$2)+1), ROW(41:41))), "")</f>
        <v>ORD100193</v>
      </c>
      <c r="C99" s="11" t="str">
        <f>IF(B99="","",_xlfn.XLOOKUP(B99,'Orders Ledger'!$A:$A,'Orders Ledger'!$B:$B,""))</f>
        <v>CUST-1135</v>
      </c>
      <c r="D99" t="str">
        <f>IF(B99="","",_xlfn.XLOOKUP(B99,'Orders Ledger'!$A:$A,'Orders Ledger'!$G:$G,""))</f>
        <v>Unknown Blacklisted Zone</v>
      </c>
      <c r="E99" t="str">
        <f>IF(B99="","",_xlfn.XLOOKUP(B99,'Orders Ledger'!$A:$A,'Orders Ledger'!$H:$H,""))</f>
        <v>Mobile_Emulator</v>
      </c>
      <c r="F99" t="str">
        <f>IF(B99="","",_xlfn.XLOOKUP(B99,'Orders Ledger'!$A:$A,'Orders Ledger'!$F:$F,""))</f>
        <v>Crypto_Proxy</v>
      </c>
      <c r="G99">
        <f>IF(B99="","",_xlfn.XLOOKUP(B99,'Orders Ledger'!$A:$A,'Orders Ledger'!$N:$N,0))</f>
        <v>887.8</v>
      </c>
    </row>
    <row r="100" spans="2:7" x14ac:dyDescent="0.3">
      <c r="B100" t="str">
        <f t="array" ref="B100">IFERROR(INDEX('Orders Ledger'!$A$2:$A$1501, SMALL(IF(('Orders Ledger'!$J$2:$J$1501="disputed")+('Orders Ledger'!$J$2:$J$1501="PENDING_REVIEW"), ROW('Orders Ledger'!$A$2:$A$1501)-ROW('Orders Ledger'!$A$2)+1), ROW(42:42))), "")</f>
        <v>ORD100195</v>
      </c>
      <c r="C100" s="11" t="str">
        <f>IF(B100="","",_xlfn.XLOOKUP(B100,'Orders Ledger'!$A:$A,'Orders Ledger'!$B:$B,""))</f>
        <v>CUST-1080</v>
      </c>
      <c r="D100" t="str">
        <f>IF(B100="","",_xlfn.XLOOKUP(B100,'Orders Ledger'!$A:$A,'Orders Ledger'!$G:$G,""))</f>
        <v>High-Risk Country Proxy</v>
      </c>
      <c r="E100" t="str">
        <f>IF(B100="","",_xlfn.XLOOKUP(B100,'Orders Ledger'!$A:$A,'Orders Ledger'!$H:$H,""))</f>
        <v>Bot_Server</v>
      </c>
      <c r="F100" t="str">
        <f>IF(B100="","",_xlfn.XLOOKUP(B100,'Orders Ledger'!$A:$A,'Orders Ledger'!$F:$F,""))</f>
        <v>Credit_Card</v>
      </c>
      <c r="G100">
        <f>IF(B100="","",_xlfn.XLOOKUP(B100,'Orders Ledger'!$A:$A,'Orders Ledger'!$N:$N,0))</f>
        <v>570.79999999999995</v>
      </c>
    </row>
    <row r="101" spans="2:7" x14ac:dyDescent="0.3">
      <c r="B101" t="str">
        <f t="array" ref="B101">IFERROR(INDEX('Orders Ledger'!$A$2:$A$1501, SMALL(IF(('Orders Ledger'!$J$2:$J$1501="disputed")+('Orders Ledger'!$J$2:$J$1501="PENDING_REVIEW"), ROW('Orders Ledger'!$A$2:$A$1501)-ROW('Orders Ledger'!$A$2)+1), ROW(43:43))), "")</f>
        <v>ORD100203</v>
      </c>
      <c r="C101" s="11" t="str">
        <f>IF(B101="","",_xlfn.XLOOKUP(B101,'Orders Ledger'!$A:$A,'Orders Ledger'!$B:$B,""))</f>
        <v>CUST-1230</v>
      </c>
      <c r="D101" t="str">
        <f>IF(B101="","",_xlfn.XLOOKUP(B101,'Orders Ledger'!$A:$A,'Orders Ledger'!$G:$G,""))</f>
        <v>High-Risk Country Proxy</v>
      </c>
      <c r="E101" t="str">
        <f>IF(B101="","",_xlfn.XLOOKUP(B101,'Orders Ledger'!$A:$A,'Orders Ledger'!$H:$H,""))</f>
        <v>Bot_Server</v>
      </c>
      <c r="F101" t="str">
        <f>IF(B101="","",_xlfn.XLOOKUP(B101,'Orders Ledger'!$A:$A,'Orders Ledger'!$F:$F,""))</f>
        <v>Crypto_Proxy</v>
      </c>
      <c r="G101">
        <f>IF(B101="","",_xlfn.XLOOKUP(B101,'Orders Ledger'!$A:$A,'Orders Ledger'!$N:$N,0))</f>
        <v>146.80000000000001</v>
      </c>
    </row>
    <row r="102" spans="2:7" x14ac:dyDescent="0.3">
      <c r="B102" t="str">
        <f t="array" ref="B102">IFERROR(INDEX('Orders Ledger'!$A$2:$A$1501, SMALL(IF(('Orders Ledger'!$J$2:$J$1501="disputed")+('Orders Ledger'!$J$2:$J$1501="PENDING_REVIEW"), ROW('Orders Ledger'!$A$2:$A$1501)-ROW('Orders Ledger'!$A$2)+1), ROW(44:44))), "")</f>
        <v>ORD100205</v>
      </c>
      <c r="C102" s="11" t="str">
        <f>IF(B102="","",_xlfn.XLOOKUP(B102,'Orders Ledger'!$A:$A,'Orders Ledger'!$B:$B,""))</f>
        <v>CUST-1149</v>
      </c>
      <c r="D102" t="str">
        <f>IF(B102="","",_xlfn.XLOOKUP(B102,'Orders Ledger'!$A:$A,'Orders Ledger'!$G:$G,""))</f>
        <v>United Kingdom</v>
      </c>
      <c r="E102" t="str">
        <f>IF(B102="","",_xlfn.XLOOKUP(B102,'Orders Ledger'!$A:$A,'Orders Ledger'!$H:$H,""))</f>
        <v>Desktop</v>
      </c>
      <c r="F102" t="str">
        <f>IF(B102="","",_xlfn.XLOOKUP(B102,'Orders Ledger'!$A:$A,'Orders Ledger'!$F:$F,""))</f>
        <v>Digital_Wallet</v>
      </c>
      <c r="G102">
        <f>IF(B102="","",_xlfn.XLOOKUP(B102,'Orders Ledger'!$A:$A,'Orders Ledger'!$N:$N,0))</f>
        <v>164.06</v>
      </c>
    </row>
    <row r="103" spans="2:7" x14ac:dyDescent="0.3">
      <c r="B103" t="str">
        <f t="array" ref="B103">IFERROR(INDEX('Orders Ledger'!$A$2:$A$1501, SMALL(IF(('Orders Ledger'!$J$2:$J$1501="disputed")+('Orders Ledger'!$J$2:$J$1501="PENDING_REVIEW"), ROW('Orders Ledger'!$A$2:$A$1501)-ROW('Orders Ledger'!$A$2)+1), ROW(45:45))), "")</f>
        <v>ORD100209</v>
      </c>
      <c r="C103" s="11" t="str">
        <f>IF(B103="","",_xlfn.XLOOKUP(B103,'Orders Ledger'!$A:$A,'Orders Ledger'!$B:$B,""))</f>
        <v>CUST-1144</v>
      </c>
      <c r="D103" t="str">
        <f>IF(B103="","",_xlfn.XLOOKUP(B103,'Orders Ledger'!$A:$A,'Orders Ledger'!$G:$G,""))</f>
        <v>United Kingdom</v>
      </c>
      <c r="E103" t="str">
        <f>IF(B103="","",_xlfn.XLOOKUP(B103,'Orders Ledger'!$A:$A,'Orders Ledger'!$H:$H,""))</f>
        <v>Bot_Server</v>
      </c>
      <c r="F103" t="str">
        <f>IF(B103="","",_xlfn.XLOOKUP(B103,'Orders Ledger'!$A:$A,'Orders Ledger'!$F:$F,""))</f>
        <v>Crypto_Proxy</v>
      </c>
      <c r="G103">
        <f>IF(B103="","",_xlfn.XLOOKUP(B103,'Orders Ledger'!$A:$A,'Orders Ledger'!$N:$N,0))</f>
        <v>3874.08</v>
      </c>
    </row>
    <row r="104" spans="2:7" x14ac:dyDescent="0.3">
      <c r="B104" t="str">
        <f t="array" ref="B104">IFERROR(INDEX('Orders Ledger'!$A$2:$A$1501, SMALL(IF(('Orders Ledger'!$J$2:$J$1501="disputed")+('Orders Ledger'!$J$2:$J$1501="PENDING_REVIEW"), ROW('Orders Ledger'!$A$2:$A$1501)-ROW('Orders Ledger'!$A$2)+1), ROW(46:46))), "")</f>
        <v>ORD100212</v>
      </c>
      <c r="C104" s="11" t="str">
        <f>IF(B104="","",_xlfn.XLOOKUP(B104,'Orders Ledger'!$A:$A,'Orders Ledger'!$B:$B,""))</f>
        <v>CUST-1119</v>
      </c>
      <c r="D104" t="str">
        <f>IF(B104="","",_xlfn.XLOOKUP(B104,'Orders Ledger'!$A:$A,'Orders Ledger'!$G:$G,""))</f>
        <v>Unknown Blacklisted Zone</v>
      </c>
      <c r="E104" t="str">
        <f>IF(B104="","",_xlfn.XLOOKUP(B104,'Orders Ledger'!$A:$A,'Orders Ledger'!$H:$H,""))</f>
        <v>Mobile_Emulator</v>
      </c>
      <c r="F104" t="str">
        <f>IF(B104="","",_xlfn.XLOOKUP(B104,'Orders Ledger'!$A:$A,'Orders Ledger'!$F:$F,""))</f>
        <v>Credit_Card</v>
      </c>
      <c r="G104">
        <f>IF(B104="","",_xlfn.XLOOKUP(B104,'Orders Ledger'!$A:$A,'Orders Ledger'!$N:$N,0))</f>
        <v>425.14</v>
      </c>
    </row>
    <row r="105" spans="2:7" x14ac:dyDescent="0.3">
      <c r="B105" t="str">
        <f t="array" ref="B105">IFERROR(INDEX('Orders Ledger'!$A$2:$A$1501, SMALL(IF(('Orders Ledger'!$J$2:$J$1501="disputed")+('Orders Ledger'!$J$2:$J$1501="PENDING_REVIEW"), ROW('Orders Ledger'!$A$2:$A$1501)-ROW('Orders Ledger'!$A$2)+1), ROW(47:47))), "")</f>
        <v>ORD100215</v>
      </c>
      <c r="C105" s="11" t="str">
        <f>IF(B105="","",_xlfn.XLOOKUP(B105,'Orders Ledger'!$A:$A,'Orders Ledger'!$B:$B,""))</f>
        <v>CUST-1217</v>
      </c>
      <c r="D105" t="str">
        <f>IF(B105="","",_xlfn.XLOOKUP(B105,'Orders Ledger'!$A:$A,'Orders Ledger'!$G:$G,""))</f>
        <v>France</v>
      </c>
      <c r="E105" t="str">
        <f>IF(B105="","",_xlfn.XLOOKUP(B105,'Orders Ledger'!$A:$A,'Orders Ledger'!$H:$H,""))</f>
        <v>Mobile_Emulator</v>
      </c>
      <c r="F105" t="str">
        <f>IF(B105="","",_xlfn.XLOOKUP(B105,'Orders Ledger'!$A:$A,'Orders Ledger'!$F:$F,""))</f>
        <v>Crypto_Proxy</v>
      </c>
      <c r="G105">
        <f>IF(B105="","",_xlfn.XLOOKUP(B105,'Orders Ledger'!$A:$A,'Orders Ledger'!$N:$N,0))</f>
        <v>7500.96</v>
      </c>
    </row>
    <row r="106" spans="2:7" x14ac:dyDescent="0.3">
      <c r="B106" t="str">
        <f t="array" ref="B106">IFERROR(INDEX('Orders Ledger'!$A$2:$A$1501, SMALL(IF(('Orders Ledger'!$J$2:$J$1501="disputed")+('Orders Ledger'!$J$2:$J$1501="PENDING_REVIEW"), ROW('Orders Ledger'!$A$2:$A$1501)-ROW('Orders Ledger'!$A$2)+1), ROW(48:48))), "")</f>
        <v>ORD100222</v>
      </c>
      <c r="C106" s="11" t="str">
        <f>IF(B106="","",_xlfn.XLOOKUP(B106,'Orders Ledger'!$A:$A,'Orders Ledger'!$B:$B,""))</f>
        <v>CUST-1036</v>
      </c>
      <c r="D106" t="str">
        <f>IF(B106="","",_xlfn.XLOOKUP(B106,'Orders Ledger'!$A:$A,'Orders Ledger'!$G:$G,""))</f>
        <v>High-Risk Country Proxy</v>
      </c>
      <c r="E106" t="str">
        <f>IF(B106="","",_xlfn.XLOOKUP(B106,'Orders Ledger'!$A:$A,'Orders Ledger'!$H:$H,""))</f>
        <v>Bot_Server</v>
      </c>
      <c r="F106" t="str">
        <f>IF(B106="","",_xlfn.XLOOKUP(B106,'Orders Ledger'!$A:$A,'Orders Ledger'!$F:$F,""))</f>
        <v>Stolen_Card_Sim</v>
      </c>
      <c r="G106">
        <f>IF(B106="","",_xlfn.XLOOKUP(B106,'Orders Ledger'!$A:$A,'Orders Ledger'!$N:$N,0))</f>
        <v>1263.28</v>
      </c>
    </row>
    <row r="107" spans="2:7" x14ac:dyDescent="0.3">
      <c r="B107" t="str">
        <f t="array" ref="B107">IFERROR(INDEX('Orders Ledger'!$A$2:$A$1501, SMALL(IF(('Orders Ledger'!$J$2:$J$1501="disputed")+('Orders Ledger'!$J$2:$J$1501="PENDING_REVIEW"), ROW('Orders Ledger'!$A$2:$A$1501)-ROW('Orders Ledger'!$A$2)+1), ROW(49:49))), "")</f>
        <v>ORD100224</v>
      </c>
      <c r="C107" s="11" t="str">
        <f>IF(B107="","",_xlfn.XLOOKUP(B107,'Orders Ledger'!$A:$A,'Orders Ledger'!$B:$B,""))</f>
        <v>CUST-1084</v>
      </c>
      <c r="D107" t="str">
        <f>IF(B107="","",_xlfn.XLOOKUP(B107,'Orders Ledger'!$A:$A,'Orders Ledger'!$G:$G,""))</f>
        <v>High-Risk Country Proxy</v>
      </c>
      <c r="E107" t="str">
        <f>IF(B107="","",_xlfn.XLOOKUP(B107,'Orders Ledger'!$A:$A,'Orders Ledger'!$H:$H,""))</f>
        <v>Mobile_Emulator</v>
      </c>
      <c r="F107" t="str">
        <f>IF(B107="","",_xlfn.XLOOKUP(B107,'Orders Ledger'!$A:$A,'Orders Ledger'!$F:$F,""))</f>
        <v>Crypto_Proxy</v>
      </c>
      <c r="G107">
        <f>IF(B107="","",_xlfn.XLOOKUP(B107,'Orders Ledger'!$A:$A,'Orders Ledger'!$N:$N,0))</f>
        <v>141.34</v>
      </c>
    </row>
    <row r="108" spans="2:7" x14ac:dyDescent="0.3">
      <c r="B108" t="str">
        <f t="array" ref="B108">IFERROR(INDEX('Orders Ledger'!$A$2:$A$1501, SMALL(IF(('Orders Ledger'!$J$2:$J$1501="disputed")+('Orders Ledger'!$J$2:$J$1501="PENDING_REVIEW"), ROW('Orders Ledger'!$A$2:$A$1501)-ROW('Orders Ledger'!$A$2)+1), ROW(50:50))), "")</f>
        <v>ORD100227</v>
      </c>
      <c r="C108" s="11" t="str">
        <f>IF(B108="","",_xlfn.XLOOKUP(B108,'Orders Ledger'!$A:$A,'Orders Ledger'!$B:$B,""))</f>
        <v>CUST-1147</v>
      </c>
      <c r="D108" t="str">
        <f>IF(B108="","",_xlfn.XLOOKUP(B108,'Orders Ledger'!$A:$A,'Orders Ledger'!$G:$G,""))</f>
        <v>High-Risk Country Proxy</v>
      </c>
      <c r="E108" t="str">
        <f>IF(B108="","",_xlfn.XLOOKUP(B108,'Orders Ledger'!$A:$A,'Orders Ledger'!$H:$H,""))</f>
        <v>Bot_Server</v>
      </c>
      <c r="F108" t="str">
        <f>IF(B108="","",_xlfn.XLOOKUP(B108,'Orders Ledger'!$A:$A,'Orders Ledger'!$F:$F,""))</f>
        <v>Crypto_Proxy</v>
      </c>
      <c r="G108">
        <f>IF(B108="","",_xlfn.XLOOKUP(B108,'Orders Ledger'!$A:$A,'Orders Ledger'!$N:$N,0))</f>
        <v>91.18</v>
      </c>
    </row>
    <row r="109" spans="2:7" x14ac:dyDescent="0.3">
      <c r="B109" t="str">
        <f t="array" ref="B109">IFERROR(INDEX('Orders Ledger'!$A$2:$A$1501, SMALL(IF(('Orders Ledger'!$J$2:$J$1501="disputed")+('Orders Ledger'!$J$2:$J$1501="PENDING_REVIEW"), ROW('Orders Ledger'!$A$2:$A$1501)-ROW('Orders Ledger'!$A$2)+1), ROW(51:51))), "")</f>
        <v>ORD100230</v>
      </c>
      <c r="C109" s="11" t="str">
        <f>IF(B109="","",_xlfn.XLOOKUP(B109,'Orders Ledger'!$A:$A,'Orders Ledger'!$B:$B,""))</f>
        <v>CUST-1239</v>
      </c>
      <c r="D109" t="str">
        <f>IF(B109="","",_xlfn.XLOOKUP(B109,'Orders Ledger'!$A:$A,'Orders Ledger'!$G:$G,""))</f>
        <v>Unknown Blacklisted Zone</v>
      </c>
      <c r="E109" t="str">
        <f>IF(B109="","",_xlfn.XLOOKUP(B109,'Orders Ledger'!$A:$A,'Orders Ledger'!$H:$H,""))</f>
        <v>Mobile_Emulator</v>
      </c>
      <c r="F109" t="str">
        <f>IF(B109="","",_xlfn.XLOOKUP(B109,'Orders Ledger'!$A:$A,'Orders Ledger'!$F:$F,""))</f>
        <v>Stolen_Card_Sim</v>
      </c>
      <c r="G109">
        <f>IF(B109="","",_xlfn.XLOOKUP(B109,'Orders Ledger'!$A:$A,'Orders Ledger'!$N:$N,0))</f>
        <v>7521.44</v>
      </c>
    </row>
    <row r="110" spans="2:7" x14ac:dyDescent="0.3">
      <c r="B110" t="str">
        <f t="array" ref="B110">IFERROR(INDEX('Orders Ledger'!$A$2:$A$1501, SMALL(IF(('Orders Ledger'!$J$2:$J$1501="disputed")+('Orders Ledger'!$J$2:$J$1501="PENDING_REVIEW"), ROW('Orders Ledger'!$A$2:$A$1501)-ROW('Orders Ledger'!$A$2)+1), ROW(52:52))), "")</f>
        <v>ORD100231</v>
      </c>
      <c r="C110" s="11" t="str">
        <f>IF(B110="","",_xlfn.XLOOKUP(B110,'Orders Ledger'!$A:$A,'Orders Ledger'!$B:$B,""))</f>
        <v>CUST-1155</v>
      </c>
      <c r="D110" t="str">
        <f>IF(B110="","",_xlfn.XLOOKUP(B110,'Orders Ledger'!$A:$A,'Orders Ledger'!$G:$G,""))</f>
        <v>High-Risk Country Proxy</v>
      </c>
      <c r="E110" t="str">
        <f>IF(B110="","",_xlfn.XLOOKUP(B110,'Orders Ledger'!$A:$A,'Orders Ledger'!$H:$H,""))</f>
        <v>Desktop</v>
      </c>
      <c r="F110" t="str">
        <f>IF(B110="","",_xlfn.XLOOKUP(B110,'Orders Ledger'!$A:$A,'Orders Ledger'!$F:$F,""))</f>
        <v>Credit_Card</v>
      </c>
      <c r="G110">
        <f>IF(B110="","",_xlfn.XLOOKUP(B110,'Orders Ledger'!$A:$A,'Orders Ledger'!$N:$N,0))</f>
        <v>83.9</v>
      </c>
    </row>
    <row r="111" spans="2:7" x14ac:dyDescent="0.3">
      <c r="B111" t="str">
        <f t="array" ref="B111">IFERROR(INDEX('Orders Ledger'!$A$2:$A$1501, SMALL(IF(('Orders Ledger'!$J$2:$J$1501="disputed")+('Orders Ledger'!$J$2:$J$1501="PENDING_REVIEW"), ROW('Orders Ledger'!$A$2:$A$1501)-ROW('Orders Ledger'!$A$2)+1), ROW(53:53))), "")</f>
        <v>ORD100237</v>
      </c>
      <c r="C111" s="11" t="str">
        <f>IF(B111="","",_xlfn.XLOOKUP(B111,'Orders Ledger'!$A:$A,'Orders Ledger'!$B:$B,""))</f>
        <v>CUST-1224</v>
      </c>
      <c r="D111" t="str">
        <f>IF(B111="","",_xlfn.XLOOKUP(B111,'Orders Ledger'!$A:$A,'Orders Ledger'!$G:$G,""))</f>
        <v>High-Risk Country Proxy</v>
      </c>
      <c r="E111" t="str">
        <f>IF(B111="","",_xlfn.XLOOKUP(B111,'Orders Ledger'!$A:$A,'Orders Ledger'!$H:$H,""))</f>
        <v>Bot_Server</v>
      </c>
      <c r="F111" t="str">
        <f>IF(B111="","",_xlfn.XLOOKUP(B111,'Orders Ledger'!$A:$A,'Orders Ledger'!$F:$F,""))</f>
        <v>Digital_Wallet</v>
      </c>
      <c r="G111">
        <f>IF(B111="","",_xlfn.XLOOKUP(B111,'Orders Ledger'!$A:$A,'Orders Ledger'!$N:$N,0))</f>
        <v>5496.4</v>
      </c>
    </row>
    <row r="112" spans="2:7" x14ac:dyDescent="0.3">
      <c r="B112" t="str">
        <f t="array" ref="B112">IFERROR(INDEX('Orders Ledger'!$A$2:$A$1501, SMALL(IF(('Orders Ledger'!$J$2:$J$1501="disputed")+('Orders Ledger'!$J$2:$J$1501="PENDING_REVIEW"), ROW('Orders Ledger'!$A$2:$A$1501)-ROW('Orders Ledger'!$A$2)+1), ROW(54:54))), "")</f>
        <v>ORD100240</v>
      </c>
      <c r="C112" s="11" t="str">
        <f>IF(B112="","",_xlfn.XLOOKUP(B112,'Orders Ledger'!$A:$A,'Orders Ledger'!$B:$B,""))</f>
        <v>CUST-1221</v>
      </c>
      <c r="D112" t="str">
        <f>IF(B112="","",_xlfn.XLOOKUP(B112,'Orders Ledger'!$A:$A,'Orders Ledger'!$G:$G,""))</f>
        <v>High-Risk Country Proxy</v>
      </c>
      <c r="E112" t="str">
        <f>IF(B112="","",_xlfn.XLOOKUP(B112,'Orders Ledger'!$A:$A,'Orders Ledger'!$H:$H,""))</f>
        <v>Desktop</v>
      </c>
      <c r="F112" t="str">
        <f>IF(B112="","",_xlfn.XLOOKUP(B112,'Orders Ledger'!$A:$A,'Orders Ledger'!$F:$F,""))</f>
        <v>Digital_Wallet</v>
      </c>
      <c r="G112">
        <f>IF(B112="","",_xlfn.XLOOKUP(B112,'Orders Ledger'!$A:$A,'Orders Ledger'!$N:$N,0))</f>
        <v>204.7</v>
      </c>
    </row>
    <row r="113" spans="2:7" x14ac:dyDescent="0.3">
      <c r="B113" t="str">
        <f t="array" ref="B113">IFERROR(INDEX('Orders Ledger'!$A$2:$A$1501, SMALL(IF(('Orders Ledger'!$J$2:$J$1501="disputed")+('Orders Ledger'!$J$2:$J$1501="PENDING_REVIEW"), ROW('Orders Ledger'!$A$2:$A$1501)-ROW('Orders Ledger'!$A$2)+1), ROW(55:55))), "")</f>
        <v>ORD100241</v>
      </c>
      <c r="C113" s="11" t="str">
        <f>IF(B113="","",_xlfn.XLOOKUP(B113,'Orders Ledger'!$A:$A,'Orders Ledger'!$B:$B,""))</f>
        <v>CUST-1165</v>
      </c>
      <c r="D113" t="str">
        <f>IF(B113="","",_xlfn.XLOOKUP(B113,'Orders Ledger'!$A:$A,'Orders Ledger'!$G:$G,""))</f>
        <v>Unknown Blacklisted Zone</v>
      </c>
      <c r="E113" t="str">
        <f>IF(B113="","",_xlfn.XLOOKUP(B113,'Orders Ledger'!$A:$A,'Orders Ledger'!$H:$H,""))</f>
        <v>Mobile_Emulator</v>
      </c>
      <c r="F113" t="str">
        <f>IF(B113="","",_xlfn.XLOOKUP(B113,'Orders Ledger'!$A:$A,'Orders Ledger'!$F:$F,""))</f>
        <v>Stolen_Card_Sim</v>
      </c>
      <c r="G113">
        <f>IF(B113="","",_xlfn.XLOOKUP(B113,'Orders Ledger'!$A:$A,'Orders Ledger'!$N:$N,0))</f>
        <v>143.15</v>
      </c>
    </row>
    <row r="114" spans="2:7" x14ac:dyDescent="0.3">
      <c r="B114" t="str">
        <f t="array" ref="B114">IFERROR(INDEX('Orders Ledger'!$A$2:$A$1501, SMALL(IF(('Orders Ledger'!$J$2:$J$1501="disputed")+('Orders Ledger'!$J$2:$J$1501="PENDING_REVIEW"), ROW('Orders Ledger'!$A$2:$A$1501)-ROW('Orders Ledger'!$A$2)+1), ROW(56:56))), "")</f>
        <v>ORD100248</v>
      </c>
      <c r="C114" s="11" t="str">
        <f>IF(B114="","",_xlfn.XLOOKUP(B114,'Orders Ledger'!$A:$A,'Orders Ledger'!$B:$B,""))</f>
        <v>CUST-1010</v>
      </c>
      <c r="D114" t="str">
        <f>IF(B114="","",_xlfn.XLOOKUP(B114,'Orders Ledger'!$A:$A,'Orders Ledger'!$G:$G,""))</f>
        <v>Unknown Blacklisted Zone</v>
      </c>
      <c r="E114" t="str">
        <f>IF(B114="","",_xlfn.XLOOKUP(B114,'Orders Ledger'!$A:$A,'Orders Ledger'!$H:$H,""))</f>
        <v>Mobile_Emulator</v>
      </c>
      <c r="F114" t="str">
        <f>IF(B114="","",_xlfn.XLOOKUP(B114,'Orders Ledger'!$A:$A,'Orders Ledger'!$F:$F,""))</f>
        <v>Credit_Card</v>
      </c>
      <c r="G114">
        <f>IF(B114="","",_xlfn.XLOOKUP(B114,'Orders Ledger'!$A:$A,'Orders Ledger'!$N:$N,0))</f>
        <v>119.6</v>
      </c>
    </row>
    <row r="115" spans="2:7" x14ac:dyDescent="0.3">
      <c r="B115" t="str">
        <f t="array" ref="B115">IFERROR(INDEX('Orders Ledger'!$A$2:$A$1501, SMALL(IF(('Orders Ledger'!$J$2:$J$1501="disputed")+('Orders Ledger'!$J$2:$J$1501="PENDING_REVIEW"), ROW('Orders Ledger'!$A$2:$A$1501)-ROW('Orders Ledger'!$A$2)+1), ROW(57:57))), "")</f>
        <v>ORD100254</v>
      </c>
      <c r="C115" s="11" t="str">
        <f>IF(B115="","",_xlfn.XLOOKUP(B115,'Orders Ledger'!$A:$A,'Orders Ledger'!$B:$B,""))</f>
        <v>CUST-1265</v>
      </c>
      <c r="D115" t="str">
        <f>IF(B115="","",_xlfn.XLOOKUP(B115,'Orders Ledger'!$A:$A,'Orders Ledger'!$G:$G,""))</f>
        <v>Unknown Blacklisted Zone</v>
      </c>
      <c r="E115" t="str">
        <f>IF(B115="","",_xlfn.XLOOKUP(B115,'Orders Ledger'!$A:$A,'Orders Ledger'!$H:$H,""))</f>
        <v>Mobile_Emulator</v>
      </c>
      <c r="F115" t="str">
        <f>IF(B115="","",_xlfn.XLOOKUP(B115,'Orders Ledger'!$A:$A,'Orders Ledger'!$F:$F,""))</f>
        <v>Crypto_Proxy</v>
      </c>
      <c r="G115">
        <f>IF(B115="","",_xlfn.XLOOKUP(B115,'Orders Ledger'!$A:$A,'Orders Ledger'!$N:$N,0))</f>
        <v>62.86</v>
      </c>
    </row>
    <row r="116" spans="2:7" x14ac:dyDescent="0.3">
      <c r="B116" t="str">
        <f t="array" ref="B116">IFERROR(INDEX('Orders Ledger'!$A$2:$A$1501, SMALL(IF(('Orders Ledger'!$J$2:$J$1501="disputed")+('Orders Ledger'!$J$2:$J$1501="PENDING_REVIEW"), ROW('Orders Ledger'!$A$2:$A$1501)-ROW('Orders Ledger'!$A$2)+1), ROW(58:58))), "")</f>
        <v>ORD100255</v>
      </c>
      <c r="C116" s="11" t="str">
        <f>IF(B116="","",_xlfn.XLOOKUP(B116,'Orders Ledger'!$A:$A,'Orders Ledger'!$B:$B,""))</f>
        <v>CUST-1226</v>
      </c>
      <c r="D116" t="str">
        <f>IF(B116="","",_xlfn.XLOOKUP(B116,'Orders Ledger'!$A:$A,'Orders Ledger'!$G:$G,""))</f>
        <v>United Kingdom</v>
      </c>
      <c r="E116" t="str">
        <f>IF(B116="","",_xlfn.XLOOKUP(B116,'Orders Ledger'!$A:$A,'Orders Ledger'!$H:$H,""))</f>
        <v>Mobile_Emulator</v>
      </c>
      <c r="F116" t="str">
        <f>IF(B116="","",_xlfn.XLOOKUP(B116,'Orders Ledger'!$A:$A,'Orders Ledger'!$F:$F,""))</f>
        <v>Crypto_Proxy</v>
      </c>
      <c r="G116">
        <f>IF(B116="","",_xlfn.XLOOKUP(B116,'Orders Ledger'!$A:$A,'Orders Ledger'!$N:$N,0))</f>
        <v>8846.5</v>
      </c>
    </row>
    <row r="117" spans="2:7" x14ac:dyDescent="0.3">
      <c r="B117" t="str">
        <f t="array" ref="B117">IFERROR(INDEX('Orders Ledger'!$A$2:$A$1501, SMALL(IF(('Orders Ledger'!$J$2:$J$1501="disputed")+('Orders Ledger'!$J$2:$J$1501="PENDING_REVIEW"), ROW('Orders Ledger'!$A$2:$A$1501)-ROW('Orders Ledger'!$A$2)+1), ROW(59:59))), "")</f>
        <v>ORD100277</v>
      </c>
      <c r="C117" s="11" t="str">
        <f>IF(B117="","",_xlfn.XLOOKUP(B117,'Orders Ledger'!$A:$A,'Orders Ledger'!$B:$B,""))</f>
        <v>CUST-1045</v>
      </c>
      <c r="D117" t="str">
        <f>IF(B117="","",_xlfn.XLOOKUP(B117,'Orders Ledger'!$A:$A,'Orders Ledger'!$G:$G,""))</f>
        <v>High-Risk Country Proxy</v>
      </c>
      <c r="E117" t="str">
        <f>IF(B117="","",_xlfn.XLOOKUP(B117,'Orders Ledger'!$A:$A,'Orders Ledger'!$H:$H,""))</f>
        <v>Mobile_Emulator</v>
      </c>
      <c r="F117" t="str">
        <f>IF(B117="","",_xlfn.XLOOKUP(B117,'Orders Ledger'!$A:$A,'Orders Ledger'!$F:$F,""))</f>
        <v>Crypto_Proxy</v>
      </c>
      <c r="G117">
        <f>IF(B117="","",_xlfn.XLOOKUP(B117,'Orders Ledger'!$A:$A,'Orders Ledger'!$N:$N,0))</f>
        <v>2423.4</v>
      </c>
    </row>
    <row r="118" spans="2:7" x14ac:dyDescent="0.3">
      <c r="B118" t="str">
        <f t="array" ref="B118">IFERROR(INDEX('Orders Ledger'!$A$2:$A$1501, SMALL(IF(('Orders Ledger'!$J$2:$J$1501="disputed")+('Orders Ledger'!$J$2:$J$1501="PENDING_REVIEW"), ROW('Orders Ledger'!$A$2:$A$1501)-ROW('Orders Ledger'!$A$2)+1), ROW(60:60))), "")</f>
        <v>ORD100279</v>
      </c>
      <c r="C118" s="11" t="str">
        <f>IF(B118="","",_xlfn.XLOOKUP(B118,'Orders Ledger'!$A:$A,'Orders Ledger'!$B:$B,""))</f>
        <v>CUST-1129</v>
      </c>
      <c r="D118" t="str">
        <f>IF(B118="","",_xlfn.XLOOKUP(B118,'Orders Ledger'!$A:$A,'Orders Ledger'!$G:$G,""))</f>
        <v>High-Risk Country Proxy</v>
      </c>
      <c r="E118" t="str">
        <f>IF(B118="","",_xlfn.XLOOKUP(B118,'Orders Ledger'!$A:$A,'Orders Ledger'!$H:$H,""))</f>
        <v>Bot_Server</v>
      </c>
      <c r="F118" t="str">
        <f>IF(B118="","",_xlfn.XLOOKUP(B118,'Orders Ledger'!$A:$A,'Orders Ledger'!$F:$F,""))</f>
        <v>Stolen_Card_Sim</v>
      </c>
      <c r="G118">
        <f>IF(B118="","",_xlfn.XLOOKUP(B118,'Orders Ledger'!$A:$A,'Orders Ledger'!$N:$N,0))</f>
        <v>377.25</v>
      </c>
    </row>
    <row r="119" spans="2:7" x14ac:dyDescent="0.3">
      <c r="B119" t="str">
        <f t="array" ref="B119">IFERROR(INDEX('Orders Ledger'!$A$2:$A$1501, SMALL(IF(('Orders Ledger'!$J$2:$J$1501="disputed")+('Orders Ledger'!$J$2:$J$1501="PENDING_REVIEW"), ROW('Orders Ledger'!$A$2:$A$1501)-ROW('Orders Ledger'!$A$2)+1), ROW(61:61))), "")</f>
        <v>ORD100288</v>
      </c>
      <c r="C119" s="11" t="str">
        <f>IF(B119="","",_xlfn.XLOOKUP(B119,'Orders Ledger'!$A:$A,'Orders Ledger'!$B:$B,""))</f>
        <v>CUST-1027</v>
      </c>
      <c r="D119" t="str">
        <f>IF(B119="","",_xlfn.XLOOKUP(B119,'Orders Ledger'!$A:$A,'Orders Ledger'!$G:$G,""))</f>
        <v>United States</v>
      </c>
      <c r="E119" t="str">
        <f>IF(B119="","",_xlfn.XLOOKUP(B119,'Orders Ledger'!$A:$A,'Orders Ledger'!$H:$H,""))</f>
        <v>Mobile_Emulator</v>
      </c>
      <c r="F119" t="str">
        <f>IF(B119="","",_xlfn.XLOOKUP(B119,'Orders Ledger'!$A:$A,'Orders Ledger'!$F:$F,""))</f>
        <v>Digital_Wallet</v>
      </c>
      <c r="G119">
        <f>IF(B119="","",_xlfn.XLOOKUP(B119,'Orders Ledger'!$A:$A,'Orders Ledger'!$N:$N,0))</f>
        <v>2950.4</v>
      </c>
    </row>
    <row r="120" spans="2:7" x14ac:dyDescent="0.3">
      <c r="B120" t="str">
        <f t="array" ref="B120">IFERROR(INDEX('Orders Ledger'!$A$2:$A$1501, SMALL(IF(('Orders Ledger'!$J$2:$J$1501="disputed")+('Orders Ledger'!$J$2:$J$1501="PENDING_REVIEW"), ROW('Orders Ledger'!$A$2:$A$1501)-ROW('Orders Ledger'!$A$2)+1), ROW(62:62))), "")</f>
        <v>ORD100289</v>
      </c>
      <c r="C120" s="11" t="str">
        <f>IF(B120="","",_xlfn.XLOOKUP(B120,'Orders Ledger'!$A:$A,'Orders Ledger'!$B:$B,""))</f>
        <v>CUST-1096</v>
      </c>
      <c r="D120" t="str">
        <f>IF(B120="","",_xlfn.XLOOKUP(B120,'Orders Ledger'!$A:$A,'Orders Ledger'!$G:$G,""))</f>
        <v>Unknown Blacklisted Zone</v>
      </c>
      <c r="E120" t="str">
        <f>IF(B120="","",_xlfn.XLOOKUP(B120,'Orders Ledger'!$A:$A,'Orders Ledger'!$H:$H,""))</f>
        <v>Bot_Server</v>
      </c>
      <c r="F120" t="str">
        <f>IF(B120="","",_xlfn.XLOOKUP(B120,'Orders Ledger'!$A:$A,'Orders Ledger'!$F:$F,""))</f>
        <v>Crypto_Proxy</v>
      </c>
      <c r="G120">
        <f>IF(B120="","",_xlfn.XLOOKUP(B120,'Orders Ledger'!$A:$A,'Orders Ledger'!$N:$N,0))</f>
        <v>92.76</v>
      </c>
    </row>
    <row r="121" spans="2:7" x14ac:dyDescent="0.3">
      <c r="B121" t="str">
        <f t="array" ref="B121">IFERROR(INDEX('Orders Ledger'!$A$2:$A$1501, SMALL(IF(('Orders Ledger'!$J$2:$J$1501="disputed")+('Orders Ledger'!$J$2:$J$1501="PENDING_REVIEW"), ROW('Orders Ledger'!$A$2:$A$1501)-ROW('Orders Ledger'!$A$2)+1), ROW(63:63))), "")</f>
        <v>ORD100290</v>
      </c>
      <c r="C121" s="11" t="str">
        <f>IF(B121="","",_xlfn.XLOOKUP(B121,'Orders Ledger'!$A:$A,'Orders Ledger'!$B:$B,""))</f>
        <v>CUST-1265</v>
      </c>
      <c r="D121" t="str">
        <f>IF(B121="","",_xlfn.XLOOKUP(B121,'Orders Ledger'!$A:$A,'Orders Ledger'!$G:$G,""))</f>
        <v>United States</v>
      </c>
      <c r="E121" t="str">
        <f>IF(B121="","",_xlfn.XLOOKUP(B121,'Orders Ledger'!$A:$A,'Orders Ledger'!$H:$H,""))</f>
        <v>Mobile_Emulator</v>
      </c>
      <c r="F121" t="str">
        <f>IF(B121="","",_xlfn.XLOOKUP(B121,'Orders Ledger'!$A:$A,'Orders Ledger'!$F:$F,""))</f>
        <v>Digital_Wallet</v>
      </c>
      <c r="G121">
        <f>IF(B121="","",_xlfn.XLOOKUP(B121,'Orders Ledger'!$A:$A,'Orders Ledger'!$N:$N,0))</f>
        <v>1245.53</v>
      </c>
    </row>
    <row r="122" spans="2:7" x14ac:dyDescent="0.3">
      <c r="B122" t="str">
        <f t="array" ref="B122">IFERROR(INDEX('Orders Ledger'!$A$2:$A$1501, SMALL(IF(('Orders Ledger'!$J$2:$J$1501="disputed")+('Orders Ledger'!$J$2:$J$1501="PENDING_REVIEW"), ROW('Orders Ledger'!$A$2:$A$1501)-ROW('Orders Ledger'!$A$2)+1), ROW(64:64))), "")</f>
        <v>ORD100293</v>
      </c>
      <c r="C122" s="11" t="str">
        <f>IF(B122="","",_xlfn.XLOOKUP(B122,'Orders Ledger'!$A:$A,'Orders Ledger'!$B:$B,""))</f>
        <v>CUST-1226</v>
      </c>
      <c r="D122" t="str">
        <f>IF(B122="","",_xlfn.XLOOKUP(B122,'Orders Ledger'!$A:$A,'Orders Ledger'!$G:$G,""))</f>
        <v>United States</v>
      </c>
      <c r="E122" t="str">
        <f>IF(B122="","",_xlfn.XLOOKUP(B122,'Orders Ledger'!$A:$A,'Orders Ledger'!$H:$H,""))</f>
        <v>Bot_Server</v>
      </c>
      <c r="F122" t="str">
        <f>IF(B122="","",_xlfn.XLOOKUP(B122,'Orders Ledger'!$A:$A,'Orders Ledger'!$F:$F,""))</f>
        <v>Stolen_Card_Sim</v>
      </c>
      <c r="G122">
        <f>IF(B122="","",_xlfn.XLOOKUP(B122,'Orders Ledger'!$A:$A,'Orders Ledger'!$N:$N,0))</f>
        <v>7963.68</v>
      </c>
    </row>
    <row r="123" spans="2:7" x14ac:dyDescent="0.3">
      <c r="B123" t="str">
        <f t="array" ref="B123">IFERROR(INDEX('Orders Ledger'!$A$2:$A$1501, SMALL(IF(('Orders Ledger'!$J$2:$J$1501="disputed")+('Orders Ledger'!$J$2:$J$1501="PENDING_REVIEW"), ROW('Orders Ledger'!$A$2:$A$1501)-ROW('Orders Ledger'!$A$2)+1), ROW(65:65))), "")</f>
        <v>ORD100296</v>
      </c>
      <c r="C123" s="11" t="str">
        <f>IF(B123="","",_xlfn.XLOOKUP(B123,'Orders Ledger'!$A:$A,'Orders Ledger'!$B:$B,""))</f>
        <v>CUST-1136</v>
      </c>
      <c r="D123" t="str">
        <f>IF(B123="","",_xlfn.XLOOKUP(B123,'Orders Ledger'!$A:$A,'Orders Ledger'!$G:$G,""))</f>
        <v>High-Risk Country Proxy</v>
      </c>
      <c r="E123" t="str">
        <f>IF(B123="","",_xlfn.XLOOKUP(B123,'Orders Ledger'!$A:$A,'Orders Ledger'!$H:$H,""))</f>
        <v>Desktop</v>
      </c>
      <c r="F123" t="str">
        <f>IF(B123="","",_xlfn.XLOOKUP(B123,'Orders Ledger'!$A:$A,'Orders Ledger'!$F:$F,""))</f>
        <v>Stolen_Card_Sim</v>
      </c>
      <c r="G123">
        <f>IF(B123="","",_xlfn.XLOOKUP(B123,'Orders Ledger'!$A:$A,'Orders Ledger'!$N:$N,0))</f>
        <v>1610</v>
      </c>
    </row>
    <row r="124" spans="2:7" x14ac:dyDescent="0.3">
      <c r="B124" t="str">
        <f t="array" ref="B124">IFERROR(INDEX('Orders Ledger'!$A$2:$A$1501, SMALL(IF(('Orders Ledger'!$J$2:$J$1501="disputed")+('Orders Ledger'!$J$2:$J$1501="PENDING_REVIEW"), ROW('Orders Ledger'!$A$2:$A$1501)-ROW('Orders Ledger'!$A$2)+1), ROW(66:66))), "")</f>
        <v>ORD100297</v>
      </c>
      <c r="C124" s="11" t="str">
        <f>IF(B124="","",_xlfn.XLOOKUP(B124,'Orders Ledger'!$A:$A,'Orders Ledger'!$B:$B,""))</f>
        <v>CUST-1281</v>
      </c>
      <c r="D124" t="str">
        <f>IF(B124="","",_xlfn.XLOOKUP(B124,'Orders Ledger'!$A:$A,'Orders Ledger'!$G:$G,""))</f>
        <v>High-Risk Country Proxy</v>
      </c>
      <c r="E124" t="str">
        <f>IF(B124="","",_xlfn.XLOOKUP(B124,'Orders Ledger'!$A:$A,'Orders Ledger'!$H:$H,""))</f>
        <v>Mobile_Emulator</v>
      </c>
      <c r="F124" t="str">
        <f>IF(B124="","",_xlfn.XLOOKUP(B124,'Orders Ledger'!$A:$A,'Orders Ledger'!$F:$F,""))</f>
        <v>Stolen_Card_Sim</v>
      </c>
      <c r="G124">
        <f>IF(B124="","",_xlfn.XLOOKUP(B124,'Orders Ledger'!$A:$A,'Orders Ledger'!$N:$N,0))</f>
        <v>412.84999999999997</v>
      </c>
    </row>
    <row r="125" spans="2:7" x14ac:dyDescent="0.3">
      <c r="B125" t="str">
        <f t="array" ref="B125">IFERROR(INDEX('Orders Ledger'!$A$2:$A$1501, SMALL(IF(('Orders Ledger'!$J$2:$J$1501="disputed")+('Orders Ledger'!$J$2:$J$1501="PENDING_REVIEW"), ROW('Orders Ledger'!$A$2:$A$1501)-ROW('Orders Ledger'!$A$2)+1), ROW(67:67))), "")</f>
        <v>ORD100298</v>
      </c>
      <c r="C125" s="11" t="str">
        <f>IF(B125="","",_xlfn.XLOOKUP(B125,'Orders Ledger'!$A:$A,'Orders Ledger'!$B:$B,""))</f>
        <v>CUST-1067</v>
      </c>
      <c r="D125" t="str">
        <f>IF(B125="","",_xlfn.XLOOKUP(B125,'Orders Ledger'!$A:$A,'Orders Ledger'!$G:$G,""))</f>
        <v>Canada</v>
      </c>
      <c r="E125" t="str">
        <f>IF(B125="","",_xlfn.XLOOKUP(B125,'Orders Ledger'!$A:$A,'Orders Ledger'!$H:$H,""))</f>
        <v>Mobile_App</v>
      </c>
      <c r="F125" t="str">
        <f>IF(B125="","",_xlfn.XLOOKUP(B125,'Orders Ledger'!$A:$A,'Orders Ledger'!$F:$F,""))</f>
        <v>Credit_Card</v>
      </c>
      <c r="G125">
        <f>IF(B125="","",_xlfn.XLOOKUP(B125,'Orders Ledger'!$A:$A,'Orders Ledger'!$N:$N,0))</f>
        <v>64.290000000000006</v>
      </c>
    </row>
    <row r="126" spans="2:7" x14ac:dyDescent="0.3">
      <c r="B126" t="str">
        <f t="array" ref="B126">IFERROR(INDEX('Orders Ledger'!$A$2:$A$1501, SMALL(IF(('Orders Ledger'!$J$2:$J$1501="disputed")+('Orders Ledger'!$J$2:$J$1501="PENDING_REVIEW"), ROW('Orders Ledger'!$A$2:$A$1501)-ROW('Orders Ledger'!$A$2)+1), ROW(68:68))), "")</f>
        <v>ORD100304</v>
      </c>
      <c r="C126" s="11" t="str">
        <f>IF(B126="","",_xlfn.XLOOKUP(B126,'Orders Ledger'!$A:$A,'Orders Ledger'!$B:$B,""))</f>
        <v>CUST-1122</v>
      </c>
      <c r="D126" t="str">
        <f>IF(B126="","",_xlfn.XLOOKUP(B126,'Orders Ledger'!$A:$A,'Orders Ledger'!$G:$G,""))</f>
        <v>United States</v>
      </c>
      <c r="E126" t="str">
        <f>IF(B126="","",_xlfn.XLOOKUP(B126,'Orders Ledger'!$A:$A,'Orders Ledger'!$H:$H,""))</f>
        <v>Mobile_Emulator</v>
      </c>
      <c r="F126" t="str">
        <f>IF(B126="","",_xlfn.XLOOKUP(B126,'Orders Ledger'!$A:$A,'Orders Ledger'!$F:$F,""))</f>
        <v>Crypto_Proxy</v>
      </c>
      <c r="G126">
        <f>IF(B126="","",_xlfn.XLOOKUP(B126,'Orders Ledger'!$A:$A,'Orders Ledger'!$N:$N,0))</f>
        <v>3688</v>
      </c>
    </row>
    <row r="127" spans="2:7" x14ac:dyDescent="0.3">
      <c r="B127" t="str">
        <f t="array" ref="B127">IFERROR(INDEX('Orders Ledger'!$A$2:$A$1501, SMALL(IF(('Orders Ledger'!$J$2:$J$1501="disputed")+('Orders Ledger'!$J$2:$J$1501="PENDING_REVIEW"), ROW('Orders Ledger'!$A$2:$A$1501)-ROW('Orders Ledger'!$A$2)+1), ROW(69:69))), "")</f>
        <v>ORD100311</v>
      </c>
      <c r="C127" s="11" t="str">
        <f>IF(B127="","",_xlfn.XLOOKUP(B127,'Orders Ledger'!$A:$A,'Orders Ledger'!$B:$B,""))</f>
        <v>CUST-1047</v>
      </c>
      <c r="D127" t="str">
        <f>IF(B127="","",_xlfn.XLOOKUP(B127,'Orders Ledger'!$A:$A,'Orders Ledger'!$G:$G,""))</f>
        <v>Unknown Blacklisted Zone</v>
      </c>
      <c r="E127" t="str">
        <f>IF(B127="","",_xlfn.XLOOKUP(B127,'Orders Ledger'!$A:$A,'Orders Ledger'!$H:$H,""))</f>
        <v>Desktop</v>
      </c>
      <c r="F127" t="str">
        <f>IF(B127="","",_xlfn.XLOOKUP(B127,'Orders Ledger'!$A:$A,'Orders Ledger'!$F:$F,""))</f>
        <v>Digital_Wallet</v>
      </c>
      <c r="G127">
        <f>IF(B127="","",_xlfn.XLOOKUP(B127,'Orders Ledger'!$A:$A,'Orders Ledger'!$N:$N,0))</f>
        <v>257.16000000000003</v>
      </c>
    </row>
    <row r="128" spans="2:7" x14ac:dyDescent="0.3">
      <c r="B128" t="str">
        <f t="array" ref="B128">IFERROR(INDEX('Orders Ledger'!$A$2:$A$1501, SMALL(IF(('Orders Ledger'!$J$2:$J$1501="disputed")+('Orders Ledger'!$J$2:$J$1501="PENDING_REVIEW"), ROW('Orders Ledger'!$A$2:$A$1501)-ROW('Orders Ledger'!$A$2)+1), ROW(70:70))), "")</f>
        <v>ORD100312</v>
      </c>
      <c r="C128" s="11" t="str">
        <f>IF(B128="","",_xlfn.XLOOKUP(B128,'Orders Ledger'!$A:$A,'Orders Ledger'!$B:$B,""))</f>
        <v>CUST-1115</v>
      </c>
      <c r="D128" t="str">
        <f>IF(B128="","",_xlfn.XLOOKUP(B128,'Orders Ledger'!$A:$A,'Orders Ledger'!$G:$G,""))</f>
        <v>High-Risk Country Proxy</v>
      </c>
      <c r="E128" t="str">
        <f>IF(B128="","",_xlfn.XLOOKUP(B128,'Orders Ledger'!$A:$A,'Orders Ledger'!$H:$H,""))</f>
        <v>Desktop</v>
      </c>
      <c r="F128" t="str">
        <f>IF(B128="","",_xlfn.XLOOKUP(B128,'Orders Ledger'!$A:$A,'Orders Ledger'!$F:$F,""))</f>
        <v>Digital_Wallet</v>
      </c>
      <c r="G128">
        <f>IF(B128="","",_xlfn.XLOOKUP(B128,'Orders Ledger'!$A:$A,'Orders Ledger'!$N:$N,0))</f>
        <v>204.7</v>
      </c>
    </row>
    <row r="129" spans="2:7" x14ac:dyDescent="0.3">
      <c r="B129" t="str">
        <f t="array" ref="B129">IFERROR(INDEX('Orders Ledger'!$A$2:$A$1501, SMALL(IF(('Orders Ledger'!$J$2:$J$1501="disputed")+('Orders Ledger'!$J$2:$J$1501="PENDING_REVIEW"), ROW('Orders Ledger'!$A$2:$A$1501)-ROW('Orders Ledger'!$A$2)+1), ROW(71:71))), "")</f>
        <v>ORD100316</v>
      </c>
      <c r="C129" s="11" t="str">
        <f>IF(B129="","",_xlfn.XLOOKUP(B129,'Orders Ledger'!$A:$A,'Orders Ledger'!$B:$B,""))</f>
        <v>CUST-1078</v>
      </c>
      <c r="D129" t="str">
        <f>IF(B129="","",_xlfn.XLOOKUP(B129,'Orders Ledger'!$A:$A,'Orders Ledger'!$G:$G,""))</f>
        <v>Unknown Blacklisted Zone</v>
      </c>
      <c r="E129" t="str">
        <f>IF(B129="","",_xlfn.XLOOKUP(B129,'Orders Ledger'!$A:$A,'Orders Ledger'!$H:$H,""))</f>
        <v>Bot_Server</v>
      </c>
      <c r="F129" t="str">
        <f>IF(B129="","",_xlfn.XLOOKUP(B129,'Orders Ledger'!$A:$A,'Orders Ledger'!$F:$F,""))</f>
        <v>Digital_Wallet</v>
      </c>
      <c r="G129">
        <f>IF(B129="","",_xlfn.XLOOKUP(B129,'Orders Ledger'!$A:$A,'Orders Ledger'!$N:$N,0))</f>
        <v>22.87</v>
      </c>
    </row>
    <row r="130" spans="2:7" x14ac:dyDescent="0.3">
      <c r="B130" t="str">
        <f t="array" ref="B130">IFERROR(INDEX('Orders Ledger'!$A$2:$A$1501, SMALL(IF(('Orders Ledger'!$J$2:$J$1501="disputed")+('Orders Ledger'!$J$2:$J$1501="PENDING_REVIEW"), ROW('Orders Ledger'!$A$2:$A$1501)-ROW('Orders Ledger'!$A$2)+1), ROW(72:72))), "")</f>
        <v>ORD100318</v>
      </c>
      <c r="C130" s="11" t="str">
        <f>IF(B130="","",_xlfn.XLOOKUP(B130,'Orders Ledger'!$A:$A,'Orders Ledger'!$B:$B,""))</f>
        <v>CUST-1149</v>
      </c>
      <c r="D130" t="str">
        <f>IF(B130="","",_xlfn.XLOOKUP(B130,'Orders Ledger'!$A:$A,'Orders Ledger'!$G:$G,""))</f>
        <v>High-Risk Country Proxy</v>
      </c>
      <c r="E130" t="str">
        <f>IF(B130="","",_xlfn.XLOOKUP(B130,'Orders Ledger'!$A:$A,'Orders Ledger'!$H:$H,""))</f>
        <v>Bot_Server</v>
      </c>
      <c r="F130" t="str">
        <f>IF(B130="","",_xlfn.XLOOKUP(B130,'Orders Ledger'!$A:$A,'Orders Ledger'!$F:$F,""))</f>
        <v>Digital_Wallet</v>
      </c>
      <c r="G130">
        <f>IF(B130="","",_xlfn.XLOOKUP(B130,'Orders Ledger'!$A:$A,'Orders Ledger'!$N:$N,0))</f>
        <v>47.44</v>
      </c>
    </row>
    <row r="131" spans="2:7" x14ac:dyDescent="0.3">
      <c r="B131" t="str">
        <f t="array" ref="B131">IFERROR(INDEX('Orders Ledger'!$A$2:$A$1501, SMALL(IF(('Orders Ledger'!$J$2:$J$1501="disputed")+('Orders Ledger'!$J$2:$J$1501="PENDING_REVIEW"), ROW('Orders Ledger'!$A$2:$A$1501)-ROW('Orders Ledger'!$A$2)+1), ROW(73:73))), "")</f>
        <v>ORD100321</v>
      </c>
      <c r="C131" s="11" t="str">
        <f>IF(B131="","",_xlfn.XLOOKUP(B131,'Orders Ledger'!$A:$A,'Orders Ledger'!$B:$B,""))</f>
        <v>CUST-1212</v>
      </c>
      <c r="D131" t="str">
        <f>IF(B131="","",_xlfn.XLOOKUP(B131,'Orders Ledger'!$A:$A,'Orders Ledger'!$G:$G,""))</f>
        <v>France</v>
      </c>
      <c r="E131" t="str">
        <f>IF(B131="","",_xlfn.XLOOKUP(B131,'Orders Ledger'!$A:$A,'Orders Ledger'!$H:$H,""))</f>
        <v>Mobile_App</v>
      </c>
      <c r="F131" t="str">
        <f>IF(B131="","",_xlfn.XLOOKUP(B131,'Orders Ledger'!$A:$A,'Orders Ledger'!$F:$F,""))</f>
        <v>Digital_Wallet</v>
      </c>
      <c r="G131">
        <f>IF(B131="","",_xlfn.XLOOKUP(B131,'Orders Ledger'!$A:$A,'Orders Ledger'!$N:$N,0))</f>
        <v>504.75</v>
      </c>
    </row>
    <row r="132" spans="2:7" x14ac:dyDescent="0.3">
      <c r="B132" t="str">
        <f t="array" ref="B132">IFERROR(INDEX('Orders Ledger'!$A$2:$A$1501, SMALL(IF(('Orders Ledger'!$J$2:$J$1501="disputed")+('Orders Ledger'!$J$2:$J$1501="PENDING_REVIEW"), ROW('Orders Ledger'!$A$2:$A$1501)-ROW('Orders Ledger'!$A$2)+1), ROW(74:74))), "")</f>
        <v>ORD100329</v>
      </c>
      <c r="C132" s="11" t="str">
        <f>IF(B132="","",_xlfn.XLOOKUP(B132,'Orders Ledger'!$A:$A,'Orders Ledger'!$B:$B,""))</f>
        <v>CUST-1097</v>
      </c>
      <c r="D132" t="str">
        <f>IF(B132="","",_xlfn.XLOOKUP(B132,'Orders Ledger'!$A:$A,'Orders Ledger'!$G:$G,""))</f>
        <v>Unknown Blacklisted Zone</v>
      </c>
      <c r="E132" t="str">
        <f>IF(B132="","",_xlfn.XLOOKUP(B132,'Orders Ledger'!$A:$A,'Orders Ledger'!$H:$H,""))</f>
        <v>Desktop</v>
      </c>
      <c r="F132" t="str">
        <f>IF(B132="","",_xlfn.XLOOKUP(B132,'Orders Ledger'!$A:$A,'Orders Ledger'!$F:$F,""))</f>
        <v>Stolen_Card_Sim</v>
      </c>
      <c r="G132">
        <f>IF(B132="","",_xlfn.XLOOKUP(B132,'Orders Ledger'!$A:$A,'Orders Ledger'!$N:$N,0))</f>
        <v>842.8</v>
      </c>
    </row>
    <row r="133" spans="2:7" x14ac:dyDescent="0.3">
      <c r="B133" t="str">
        <f t="array" ref="B133">IFERROR(INDEX('Orders Ledger'!$A$2:$A$1501, SMALL(IF(('Orders Ledger'!$J$2:$J$1501="disputed")+('Orders Ledger'!$J$2:$J$1501="PENDING_REVIEW"), ROW('Orders Ledger'!$A$2:$A$1501)-ROW('Orders Ledger'!$A$2)+1), ROW(75:75))), "")</f>
        <v>ORD100331</v>
      </c>
      <c r="C133" s="11" t="str">
        <f>IF(B133="","",_xlfn.XLOOKUP(B133,'Orders Ledger'!$A:$A,'Orders Ledger'!$B:$B,""))</f>
        <v>CUST-1069</v>
      </c>
      <c r="D133" t="str">
        <f>IF(B133="","",_xlfn.XLOOKUP(B133,'Orders Ledger'!$A:$A,'Orders Ledger'!$G:$G,""))</f>
        <v>High-Risk Country Proxy</v>
      </c>
      <c r="E133" t="str">
        <f>IF(B133="","",_xlfn.XLOOKUP(B133,'Orders Ledger'!$A:$A,'Orders Ledger'!$H:$H,""))</f>
        <v>Bot_Server</v>
      </c>
      <c r="F133" t="str">
        <f>IF(B133="","",_xlfn.XLOOKUP(B133,'Orders Ledger'!$A:$A,'Orders Ledger'!$F:$F,""))</f>
        <v>Crypto_Proxy</v>
      </c>
      <c r="G133">
        <f>IF(B133="","",_xlfn.XLOOKUP(B133,'Orders Ledger'!$A:$A,'Orders Ledger'!$N:$N,0))</f>
        <v>887.8</v>
      </c>
    </row>
    <row r="134" spans="2:7" x14ac:dyDescent="0.3">
      <c r="B134" t="str">
        <f t="array" ref="B134">IFERROR(INDEX('Orders Ledger'!$A$2:$A$1501, SMALL(IF(('Orders Ledger'!$J$2:$J$1501="disputed")+('Orders Ledger'!$J$2:$J$1501="PENDING_REVIEW"), ROW('Orders Ledger'!$A$2:$A$1501)-ROW('Orders Ledger'!$A$2)+1), ROW(76:76))), "")</f>
        <v>ORD100333</v>
      </c>
      <c r="C134" s="11" t="str">
        <f>IF(B134="","",_xlfn.XLOOKUP(B134,'Orders Ledger'!$A:$A,'Orders Ledger'!$B:$B,""))</f>
        <v>CUST-1141</v>
      </c>
      <c r="D134" t="str">
        <f>IF(B134="","",_xlfn.XLOOKUP(B134,'Orders Ledger'!$A:$A,'Orders Ledger'!$G:$G,""))</f>
        <v>United States</v>
      </c>
      <c r="E134" t="str">
        <f>IF(B134="","",_xlfn.XLOOKUP(B134,'Orders Ledger'!$A:$A,'Orders Ledger'!$H:$H,""))</f>
        <v>Desktop</v>
      </c>
      <c r="F134" t="str">
        <f>IF(B134="","",_xlfn.XLOOKUP(B134,'Orders Ledger'!$A:$A,'Orders Ledger'!$F:$F,""))</f>
        <v>Crypto_Proxy</v>
      </c>
      <c r="G134">
        <f>IF(B134="","",_xlfn.XLOOKUP(B134,'Orders Ledger'!$A:$A,'Orders Ledger'!$N:$N,0))</f>
        <v>6396.32</v>
      </c>
    </row>
    <row r="135" spans="2:7" x14ac:dyDescent="0.3">
      <c r="B135" t="str">
        <f t="array" ref="B135">IFERROR(INDEX('Orders Ledger'!$A$2:$A$1501, SMALL(IF(('Orders Ledger'!$J$2:$J$1501="disputed")+('Orders Ledger'!$J$2:$J$1501="PENDING_REVIEW"), ROW('Orders Ledger'!$A$2:$A$1501)-ROW('Orders Ledger'!$A$2)+1), ROW(77:77))), "")</f>
        <v>ORD100336</v>
      </c>
      <c r="C135" s="11" t="str">
        <f>IF(B135="","",_xlfn.XLOOKUP(B135,'Orders Ledger'!$A:$A,'Orders Ledger'!$B:$B,""))</f>
        <v>CUST-1259</v>
      </c>
      <c r="D135" t="str">
        <f>IF(B135="","",_xlfn.XLOOKUP(B135,'Orders Ledger'!$A:$A,'Orders Ledger'!$G:$G,""))</f>
        <v>United States</v>
      </c>
      <c r="E135" t="str">
        <f>IF(B135="","",_xlfn.XLOOKUP(B135,'Orders Ledger'!$A:$A,'Orders Ledger'!$H:$H,""))</f>
        <v>Desktop</v>
      </c>
      <c r="F135" t="str">
        <f>IF(B135="","",_xlfn.XLOOKUP(B135,'Orders Ledger'!$A:$A,'Orders Ledger'!$F:$F,""))</f>
        <v>Bank_Transfer</v>
      </c>
      <c r="G135">
        <f>IF(B135="","",_xlfn.XLOOKUP(B135,'Orders Ledger'!$A:$A,'Orders Ledger'!$N:$N,0))</f>
        <v>84.01</v>
      </c>
    </row>
    <row r="136" spans="2:7" x14ac:dyDescent="0.3">
      <c r="B136" t="str">
        <f t="array" ref="B136">IFERROR(INDEX('Orders Ledger'!$A$2:$A$1501, SMALL(IF(('Orders Ledger'!$J$2:$J$1501="disputed")+('Orders Ledger'!$J$2:$J$1501="PENDING_REVIEW"), ROW('Orders Ledger'!$A$2:$A$1501)-ROW('Orders Ledger'!$A$2)+1), ROW(78:78))), "")</f>
        <v>ORD100337</v>
      </c>
      <c r="C136" s="11" t="str">
        <f>IF(B136="","",_xlfn.XLOOKUP(B136,'Orders Ledger'!$A:$A,'Orders Ledger'!$B:$B,""))</f>
        <v>CUST-1136</v>
      </c>
      <c r="D136" t="str">
        <f>IF(B136="","",_xlfn.XLOOKUP(B136,'Orders Ledger'!$A:$A,'Orders Ledger'!$G:$G,""))</f>
        <v>Unknown Blacklisted Zone</v>
      </c>
      <c r="E136" t="str">
        <f>IF(B136="","",_xlfn.XLOOKUP(B136,'Orders Ledger'!$A:$A,'Orders Ledger'!$H:$H,""))</f>
        <v>Bot_Server</v>
      </c>
      <c r="F136" t="str">
        <f>IF(B136="","",_xlfn.XLOOKUP(B136,'Orders Ledger'!$A:$A,'Orders Ledger'!$F:$F,""))</f>
        <v>Digital_Wallet</v>
      </c>
      <c r="G136">
        <f>IF(B136="","",_xlfn.XLOOKUP(B136,'Orders Ledger'!$A:$A,'Orders Ledger'!$N:$N,0))</f>
        <v>143.15</v>
      </c>
    </row>
    <row r="137" spans="2:7" x14ac:dyDescent="0.3">
      <c r="B137" t="str">
        <f t="array" ref="B137">IFERROR(INDEX('Orders Ledger'!$A$2:$A$1501, SMALL(IF(('Orders Ledger'!$J$2:$J$1501="disputed")+('Orders Ledger'!$J$2:$J$1501="PENDING_REVIEW"), ROW('Orders Ledger'!$A$2:$A$1501)-ROW('Orders Ledger'!$A$2)+1), ROW(79:79))), "")</f>
        <v>ORD100338</v>
      </c>
      <c r="C137" s="11" t="str">
        <f>IF(B137="","",_xlfn.XLOOKUP(B137,'Orders Ledger'!$A:$A,'Orders Ledger'!$B:$B,""))</f>
        <v>CUST-1001</v>
      </c>
      <c r="D137" t="str">
        <f>IF(B137="","",_xlfn.XLOOKUP(B137,'Orders Ledger'!$A:$A,'Orders Ledger'!$G:$G,""))</f>
        <v>France</v>
      </c>
      <c r="E137" t="str">
        <f>IF(B137="","",_xlfn.XLOOKUP(B137,'Orders Ledger'!$A:$A,'Orders Ledger'!$H:$H,""))</f>
        <v>Desktop</v>
      </c>
      <c r="F137" t="str">
        <f>IF(B137="","",_xlfn.XLOOKUP(B137,'Orders Ledger'!$A:$A,'Orders Ledger'!$F:$F,""))</f>
        <v>Digital_Wallet</v>
      </c>
      <c r="G137">
        <f>IF(B137="","",_xlfn.XLOOKUP(B137,'Orders Ledger'!$A:$A,'Orders Ledger'!$N:$N,0))</f>
        <v>164.06</v>
      </c>
    </row>
    <row r="138" spans="2:7" x14ac:dyDescent="0.3">
      <c r="B138" t="str">
        <f t="array" ref="B138">IFERROR(INDEX('Orders Ledger'!$A$2:$A$1501, SMALL(IF(('Orders Ledger'!$J$2:$J$1501="disputed")+('Orders Ledger'!$J$2:$J$1501="PENDING_REVIEW"), ROW('Orders Ledger'!$A$2:$A$1501)-ROW('Orders Ledger'!$A$2)+1), ROW(80:80))), "")</f>
        <v>ORD100339</v>
      </c>
      <c r="C138" s="11" t="str">
        <f>IF(B138="","",_xlfn.XLOOKUP(B138,'Orders Ledger'!$A:$A,'Orders Ledger'!$B:$B,""))</f>
        <v>CUST-1144</v>
      </c>
      <c r="D138" t="str">
        <f>IF(B138="","",_xlfn.XLOOKUP(B138,'Orders Ledger'!$A:$A,'Orders Ledger'!$G:$G,""))</f>
        <v>Unknown Blacklisted Zone</v>
      </c>
      <c r="E138" t="str">
        <f>IF(B138="","",_xlfn.XLOOKUP(B138,'Orders Ledger'!$A:$A,'Orders Ledger'!$H:$H,""))</f>
        <v>Bot_Server</v>
      </c>
      <c r="F138" t="str">
        <f>IF(B138="","",_xlfn.XLOOKUP(B138,'Orders Ledger'!$A:$A,'Orders Ledger'!$F:$F,""))</f>
        <v>Crypto_Proxy</v>
      </c>
      <c r="G138">
        <f>IF(B138="","",_xlfn.XLOOKUP(B138,'Orders Ledger'!$A:$A,'Orders Ledger'!$N:$N,0))</f>
        <v>752.36</v>
      </c>
    </row>
    <row r="139" spans="2:7" x14ac:dyDescent="0.3">
      <c r="B139" t="str">
        <f t="array" ref="B139">IFERROR(INDEX('Orders Ledger'!$A$2:$A$1501, SMALL(IF(('Orders Ledger'!$J$2:$J$1501="disputed")+('Orders Ledger'!$J$2:$J$1501="PENDING_REVIEW"), ROW('Orders Ledger'!$A$2:$A$1501)-ROW('Orders Ledger'!$A$2)+1), ROW(81:81))), "")</f>
        <v>ORD100349</v>
      </c>
      <c r="C139" s="11" t="str">
        <f>IF(B139="","",_xlfn.XLOOKUP(B139,'Orders Ledger'!$A:$A,'Orders Ledger'!$B:$B,""))</f>
        <v>CUST-1170</v>
      </c>
      <c r="D139" t="str">
        <f>IF(B139="","",_xlfn.XLOOKUP(B139,'Orders Ledger'!$A:$A,'Orders Ledger'!$G:$G,""))</f>
        <v>Unknown Blacklisted Zone</v>
      </c>
      <c r="E139" t="str">
        <f>IF(B139="","",_xlfn.XLOOKUP(B139,'Orders Ledger'!$A:$A,'Orders Ledger'!$H:$H,""))</f>
        <v>Bot_Server</v>
      </c>
      <c r="F139" t="str">
        <f>IF(B139="","",_xlfn.XLOOKUP(B139,'Orders Ledger'!$A:$A,'Orders Ledger'!$F:$F,""))</f>
        <v>Crypto_Proxy</v>
      </c>
      <c r="G139">
        <f>IF(B139="","",_xlfn.XLOOKUP(B139,'Orders Ledger'!$A:$A,'Orders Ledger'!$N:$N,0))</f>
        <v>109.58</v>
      </c>
    </row>
    <row r="140" spans="2:7" x14ac:dyDescent="0.3">
      <c r="B140" t="str">
        <f t="array" ref="B140">IFERROR(INDEX('Orders Ledger'!$A$2:$A$1501, SMALL(IF(('Orders Ledger'!$J$2:$J$1501="disputed")+('Orders Ledger'!$J$2:$J$1501="PENDING_REVIEW"), ROW('Orders Ledger'!$A$2:$A$1501)-ROW('Orders Ledger'!$A$2)+1), ROW(82:82))), "")</f>
        <v>ORD100353</v>
      </c>
      <c r="C140" s="11" t="str">
        <f>IF(B140="","",_xlfn.XLOOKUP(B140,'Orders Ledger'!$A:$A,'Orders Ledger'!$B:$B,""))</f>
        <v>CUST-1233</v>
      </c>
      <c r="D140" t="str">
        <f>IF(B140="","",_xlfn.XLOOKUP(B140,'Orders Ledger'!$A:$A,'Orders Ledger'!$G:$G,""))</f>
        <v>Unknown Blacklisted Zone</v>
      </c>
      <c r="E140" t="str">
        <f>IF(B140="","",_xlfn.XLOOKUP(B140,'Orders Ledger'!$A:$A,'Orders Ledger'!$H:$H,""))</f>
        <v>Mobile_Emulator</v>
      </c>
      <c r="F140" t="str">
        <f>IF(B140="","",_xlfn.XLOOKUP(B140,'Orders Ledger'!$A:$A,'Orders Ledger'!$F:$F,""))</f>
        <v>Crypto_Proxy</v>
      </c>
      <c r="G140">
        <f>IF(B140="","",_xlfn.XLOOKUP(B140,'Orders Ledger'!$A:$A,'Orders Ledger'!$N:$N,0))</f>
        <v>222.76</v>
      </c>
    </row>
    <row r="141" spans="2:7" x14ac:dyDescent="0.3">
      <c r="B141" t="str">
        <f t="array" ref="B141">IFERROR(INDEX('Orders Ledger'!$A$2:$A$1501, SMALL(IF(('Orders Ledger'!$J$2:$J$1501="disputed")+('Orders Ledger'!$J$2:$J$1501="PENDING_REVIEW"), ROW('Orders Ledger'!$A$2:$A$1501)-ROW('Orders Ledger'!$A$2)+1), ROW(83:83))), "")</f>
        <v>ORD100355</v>
      </c>
      <c r="C141" s="11" t="str">
        <f>IF(B141="","",_xlfn.XLOOKUP(B141,'Orders Ledger'!$A:$A,'Orders Ledger'!$B:$B,""))</f>
        <v>CUST-1096</v>
      </c>
      <c r="D141" t="str">
        <f>IF(B141="","",_xlfn.XLOOKUP(B141,'Orders Ledger'!$A:$A,'Orders Ledger'!$G:$G,""))</f>
        <v>Unknown Blacklisted Zone</v>
      </c>
      <c r="E141" t="str">
        <f>IF(B141="","",_xlfn.XLOOKUP(B141,'Orders Ledger'!$A:$A,'Orders Ledger'!$H:$H,""))</f>
        <v>Mobile_Emulator</v>
      </c>
      <c r="F141" t="str">
        <f>IF(B141="","",_xlfn.XLOOKUP(B141,'Orders Ledger'!$A:$A,'Orders Ledger'!$F:$F,""))</f>
        <v>Digital_Wallet</v>
      </c>
      <c r="G141">
        <f>IF(B141="","",_xlfn.XLOOKUP(B141,'Orders Ledger'!$A:$A,'Orders Ledger'!$N:$N,0))</f>
        <v>4262.3500000000004</v>
      </c>
    </row>
    <row r="142" spans="2:7" x14ac:dyDescent="0.3">
      <c r="B142" t="str">
        <f t="array" ref="B142">IFERROR(INDEX('Orders Ledger'!$A$2:$A$1501, SMALL(IF(('Orders Ledger'!$J$2:$J$1501="disputed")+('Orders Ledger'!$J$2:$J$1501="PENDING_REVIEW"), ROW('Orders Ledger'!$A$2:$A$1501)-ROW('Orders Ledger'!$A$2)+1), ROW(84:84))), "")</f>
        <v>ORD100357</v>
      </c>
      <c r="C142" s="11" t="str">
        <f>IF(B142="","",_xlfn.XLOOKUP(B142,'Orders Ledger'!$A:$A,'Orders Ledger'!$B:$B,""))</f>
        <v>CUST-1292</v>
      </c>
      <c r="D142" t="str">
        <f>IF(B142="","",_xlfn.XLOOKUP(B142,'Orders Ledger'!$A:$A,'Orders Ledger'!$G:$G,""))</f>
        <v>High-Risk Country Proxy</v>
      </c>
      <c r="E142" t="str">
        <f>IF(B142="","",_xlfn.XLOOKUP(B142,'Orders Ledger'!$A:$A,'Orders Ledger'!$H:$H,""))</f>
        <v>Bot_Server</v>
      </c>
      <c r="F142" t="str">
        <f>IF(B142="","",_xlfn.XLOOKUP(B142,'Orders Ledger'!$A:$A,'Orders Ledger'!$F:$F,""))</f>
        <v>Digital_Wallet</v>
      </c>
      <c r="G142">
        <f>IF(B142="","",_xlfn.XLOOKUP(B142,'Orders Ledger'!$A:$A,'Orders Ledger'!$N:$N,0))</f>
        <v>16.73</v>
      </c>
    </row>
    <row r="143" spans="2:7" x14ac:dyDescent="0.3">
      <c r="B143" t="str">
        <f t="array" ref="B143">IFERROR(INDEX('Orders Ledger'!$A$2:$A$1501, SMALL(IF(('Orders Ledger'!$J$2:$J$1501="disputed")+('Orders Ledger'!$J$2:$J$1501="PENDING_REVIEW"), ROW('Orders Ledger'!$A$2:$A$1501)-ROW('Orders Ledger'!$A$2)+1), ROW(85:85))), "")</f>
        <v>ORD100375</v>
      </c>
      <c r="C143" s="11" t="str">
        <f>IF(B143="","",_xlfn.XLOOKUP(B143,'Orders Ledger'!$A:$A,'Orders Ledger'!$B:$B,""))</f>
        <v>CUST-1269</v>
      </c>
      <c r="D143" t="str">
        <f>IF(B143="","",_xlfn.XLOOKUP(B143,'Orders Ledger'!$A:$A,'Orders Ledger'!$G:$G,""))</f>
        <v>High-Risk Country Proxy</v>
      </c>
      <c r="E143" t="str">
        <f>IF(B143="","",_xlfn.XLOOKUP(B143,'Orders Ledger'!$A:$A,'Orders Ledger'!$H:$H,""))</f>
        <v>Bot_Server</v>
      </c>
      <c r="F143" t="str">
        <f>IF(B143="","",_xlfn.XLOOKUP(B143,'Orders Ledger'!$A:$A,'Orders Ledger'!$F:$F,""))</f>
        <v>Credit_Card</v>
      </c>
      <c r="G143">
        <f>IF(B143="","",_xlfn.XLOOKUP(B143,'Orders Ledger'!$A:$A,'Orders Ledger'!$N:$N,0))</f>
        <v>277.95000000000005</v>
      </c>
    </row>
    <row r="144" spans="2:7" x14ac:dyDescent="0.3">
      <c r="B144" t="str">
        <f t="array" ref="B144">IFERROR(INDEX('Orders Ledger'!$A$2:$A$1501, SMALL(IF(('Orders Ledger'!$J$2:$J$1501="disputed")+('Orders Ledger'!$J$2:$J$1501="PENDING_REVIEW"), ROW('Orders Ledger'!$A$2:$A$1501)-ROW('Orders Ledger'!$A$2)+1), ROW(86:86))), "")</f>
        <v>ORD100376</v>
      </c>
      <c r="C144" s="11" t="str">
        <f>IF(B144="","",_xlfn.XLOOKUP(B144,'Orders Ledger'!$A:$A,'Orders Ledger'!$B:$B,""))</f>
        <v>CUST-1233</v>
      </c>
      <c r="D144" t="str">
        <f>IF(B144="","",_xlfn.XLOOKUP(B144,'Orders Ledger'!$A:$A,'Orders Ledger'!$G:$G,""))</f>
        <v>Unknown Blacklisted Zone</v>
      </c>
      <c r="E144" t="str">
        <f>IF(B144="","",_xlfn.XLOOKUP(B144,'Orders Ledger'!$A:$A,'Orders Ledger'!$H:$H,""))</f>
        <v>Bot_Server</v>
      </c>
      <c r="F144" t="str">
        <f>IF(B144="","",_xlfn.XLOOKUP(B144,'Orders Ledger'!$A:$A,'Orders Ledger'!$F:$F,""))</f>
        <v>Stolen_Card_Sim</v>
      </c>
      <c r="G144">
        <f>IF(B144="","",_xlfn.XLOOKUP(B144,'Orders Ledger'!$A:$A,'Orders Ledger'!$N:$N,0))</f>
        <v>564.45000000000005</v>
      </c>
    </row>
    <row r="145" spans="2:7" x14ac:dyDescent="0.3">
      <c r="B145" t="str">
        <f t="array" ref="B145">IFERROR(INDEX('Orders Ledger'!$A$2:$A$1501, SMALL(IF(('Orders Ledger'!$J$2:$J$1501="disputed")+('Orders Ledger'!$J$2:$J$1501="PENDING_REVIEW"), ROW('Orders Ledger'!$A$2:$A$1501)-ROW('Orders Ledger'!$A$2)+1), ROW(87:87))), "")</f>
        <v>ORD100381</v>
      </c>
      <c r="C145" s="11" t="str">
        <f>IF(B145="","",_xlfn.XLOOKUP(B145,'Orders Ledger'!$A:$A,'Orders Ledger'!$B:$B,""))</f>
        <v>CUST-1038</v>
      </c>
      <c r="D145" t="str">
        <f>IF(B145="","",_xlfn.XLOOKUP(B145,'Orders Ledger'!$A:$A,'Orders Ledger'!$G:$G,""))</f>
        <v>Unknown Blacklisted Zone</v>
      </c>
      <c r="E145" t="str">
        <f>IF(B145="","",_xlfn.XLOOKUP(B145,'Orders Ledger'!$A:$A,'Orders Ledger'!$H:$H,""))</f>
        <v>Bot_Server</v>
      </c>
      <c r="F145" t="str">
        <f>IF(B145="","",_xlfn.XLOOKUP(B145,'Orders Ledger'!$A:$A,'Orders Ledger'!$F:$F,""))</f>
        <v>Digital_Wallet</v>
      </c>
      <c r="G145">
        <f>IF(B145="","",_xlfn.XLOOKUP(B145,'Orders Ledger'!$A:$A,'Orders Ledger'!$N:$N,0))</f>
        <v>117.44</v>
      </c>
    </row>
    <row r="146" spans="2:7" x14ac:dyDescent="0.3">
      <c r="B146" t="str">
        <f t="array" ref="B146">IFERROR(INDEX('Orders Ledger'!$A$2:$A$1501, SMALL(IF(('Orders Ledger'!$J$2:$J$1501="disputed")+('Orders Ledger'!$J$2:$J$1501="PENDING_REVIEW"), ROW('Orders Ledger'!$A$2:$A$1501)-ROW('Orders Ledger'!$A$2)+1), ROW(88:88))), "")</f>
        <v>ORD100382</v>
      </c>
      <c r="C146" s="11" t="str">
        <f>IF(B146="","",_xlfn.XLOOKUP(B146,'Orders Ledger'!$A:$A,'Orders Ledger'!$B:$B,""))</f>
        <v>CUST-1240</v>
      </c>
      <c r="D146" t="str">
        <f>IF(B146="","",_xlfn.XLOOKUP(B146,'Orders Ledger'!$A:$A,'Orders Ledger'!$G:$G,""))</f>
        <v>Germany</v>
      </c>
      <c r="E146" t="str">
        <f>IF(B146="","",_xlfn.XLOOKUP(B146,'Orders Ledger'!$A:$A,'Orders Ledger'!$H:$H,""))</f>
        <v>Mobile_App</v>
      </c>
      <c r="F146" t="str">
        <f>IF(B146="","",_xlfn.XLOOKUP(B146,'Orders Ledger'!$A:$A,'Orders Ledger'!$F:$F,""))</f>
        <v>Credit_Card</v>
      </c>
      <c r="G146">
        <f>IF(B146="","",_xlfn.XLOOKUP(B146,'Orders Ledger'!$A:$A,'Orders Ledger'!$N:$N,0))</f>
        <v>77.150000000000006</v>
      </c>
    </row>
    <row r="147" spans="2:7" x14ac:dyDescent="0.3">
      <c r="B147" t="str">
        <f t="array" ref="B147">IFERROR(INDEX('Orders Ledger'!$A$2:$A$1501, SMALL(IF(('Orders Ledger'!$J$2:$J$1501="disputed")+('Orders Ledger'!$J$2:$J$1501="PENDING_REVIEW"), ROW('Orders Ledger'!$A$2:$A$1501)-ROW('Orders Ledger'!$A$2)+1), ROW(89:89))), "")</f>
        <v>ORD100388</v>
      </c>
      <c r="C147" s="11" t="str">
        <f>IF(B147="","",_xlfn.XLOOKUP(B147,'Orders Ledger'!$A:$A,'Orders Ledger'!$B:$B,""))</f>
        <v>CUST-1273</v>
      </c>
      <c r="D147" t="str">
        <f>IF(B147="","",_xlfn.XLOOKUP(B147,'Orders Ledger'!$A:$A,'Orders Ledger'!$G:$G,""))</f>
        <v>Unknown Blacklisted Zone</v>
      </c>
      <c r="E147" t="str">
        <f>IF(B147="","",_xlfn.XLOOKUP(B147,'Orders Ledger'!$A:$A,'Orders Ledger'!$H:$H,""))</f>
        <v>Mobile_Emulator</v>
      </c>
      <c r="F147" t="str">
        <f>IF(B147="","",_xlfn.XLOOKUP(B147,'Orders Ledger'!$A:$A,'Orders Ledger'!$F:$F,""))</f>
        <v>Credit_Card</v>
      </c>
      <c r="G147">
        <f>IF(B147="","",_xlfn.XLOOKUP(B147,'Orders Ledger'!$A:$A,'Orders Ledger'!$N:$N,0))</f>
        <v>119.6</v>
      </c>
    </row>
    <row r="148" spans="2:7" x14ac:dyDescent="0.3">
      <c r="B148" t="str">
        <f t="array" ref="B148">IFERROR(INDEX('Orders Ledger'!$A$2:$A$1501, SMALL(IF(('Orders Ledger'!$J$2:$J$1501="disputed")+('Orders Ledger'!$J$2:$J$1501="PENDING_REVIEW"), ROW('Orders Ledger'!$A$2:$A$1501)-ROW('Orders Ledger'!$A$2)+1), ROW(90:90))), "")</f>
        <v>ORD100395</v>
      </c>
      <c r="C148" s="11" t="str">
        <f>IF(B148="","",_xlfn.XLOOKUP(B148,'Orders Ledger'!$A:$A,'Orders Ledger'!$B:$B,""))</f>
        <v>CUST-1120</v>
      </c>
      <c r="D148" t="str">
        <f>IF(B148="","",_xlfn.XLOOKUP(B148,'Orders Ledger'!$A:$A,'Orders Ledger'!$G:$G,""))</f>
        <v>Germany</v>
      </c>
      <c r="E148" t="str">
        <f>IF(B148="","",_xlfn.XLOOKUP(B148,'Orders Ledger'!$A:$A,'Orders Ledger'!$H:$H,""))</f>
        <v>Desktop</v>
      </c>
      <c r="F148" t="str">
        <f>IF(B148="","",_xlfn.XLOOKUP(B148,'Orders Ledger'!$A:$A,'Orders Ledger'!$F:$F,""))</f>
        <v>Digital_Wallet</v>
      </c>
      <c r="G148">
        <f>IF(B148="","",_xlfn.XLOOKUP(B148,'Orders Ledger'!$A:$A,'Orders Ledger'!$N:$N,0))</f>
        <v>9030.75</v>
      </c>
    </row>
    <row r="149" spans="2:7" x14ac:dyDescent="0.3">
      <c r="B149" t="str">
        <f t="array" ref="B149">IFERROR(INDEX('Orders Ledger'!$A$2:$A$1501, SMALL(IF(('Orders Ledger'!$J$2:$J$1501="disputed")+('Orders Ledger'!$J$2:$J$1501="PENDING_REVIEW"), ROW('Orders Ledger'!$A$2:$A$1501)-ROW('Orders Ledger'!$A$2)+1), ROW(91:91))), "")</f>
        <v>ORD100402</v>
      </c>
      <c r="C149" s="11" t="str">
        <f>IF(B149="","",_xlfn.XLOOKUP(B149,'Orders Ledger'!$A:$A,'Orders Ledger'!$B:$B,""))</f>
        <v>CUST-1227</v>
      </c>
      <c r="D149" t="str">
        <f>IF(B149="","",_xlfn.XLOOKUP(B149,'Orders Ledger'!$A:$A,'Orders Ledger'!$G:$G,""))</f>
        <v>Unknown Blacklisted Zone</v>
      </c>
      <c r="E149" t="str">
        <f>IF(B149="","",_xlfn.XLOOKUP(B149,'Orders Ledger'!$A:$A,'Orders Ledger'!$H:$H,""))</f>
        <v>Bot_Server</v>
      </c>
      <c r="F149" t="str">
        <f>IF(B149="","",_xlfn.XLOOKUP(B149,'Orders Ledger'!$A:$A,'Orders Ledger'!$F:$F,""))</f>
        <v>Credit_Card</v>
      </c>
      <c r="G149">
        <f>IF(B149="","",_xlfn.XLOOKUP(B149,'Orders Ledger'!$A:$A,'Orders Ledger'!$N:$N,0))</f>
        <v>484.68</v>
      </c>
    </row>
    <row r="150" spans="2:7" x14ac:dyDescent="0.3">
      <c r="B150" t="str">
        <f t="array" ref="B150">IFERROR(INDEX('Orders Ledger'!$A$2:$A$1501, SMALL(IF(('Orders Ledger'!$J$2:$J$1501="disputed")+('Orders Ledger'!$J$2:$J$1501="PENDING_REVIEW"), ROW('Orders Ledger'!$A$2:$A$1501)-ROW('Orders Ledger'!$A$2)+1), ROW(92:92))), "")</f>
        <v>ORD100403</v>
      </c>
      <c r="C150" s="11" t="str">
        <f>IF(B150="","",_xlfn.XLOOKUP(B150,'Orders Ledger'!$A:$A,'Orders Ledger'!$B:$B,""))</f>
        <v>CUST-1085</v>
      </c>
      <c r="D150" t="str">
        <f>IF(B150="","",_xlfn.XLOOKUP(B150,'Orders Ledger'!$A:$A,'Orders Ledger'!$G:$G,""))</f>
        <v>France</v>
      </c>
      <c r="E150" t="str">
        <f>IF(B150="","",_xlfn.XLOOKUP(B150,'Orders Ledger'!$A:$A,'Orders Ledger'!$H:$H,""))</f>
        <v>Desktop</v>
      </c>
      <c r="F150" t="str">
        <f>IF(B150="","",_xlfn.XLOOKUP(B150,'Orders Ledger'!$A:$A,'Orders Ledger'!$F:$F,""))</f>
        <v>Digital_Wallet</v>
      </c>
      <c r="G150">
        <f>IF(B150="","",_xlfn.XLOOKUP(B150,'Orders Ledger'!$A:$A,'Orders Ledger'!$N:$N,0))</f>
        <v>7077.2</v>
      </c>
    </row>
    <row r="151" spans="2:7" x14ac:dyDescent="0.3">
      <c r="B151" t="str">
        <f t="array" ref="B151">IFERROR(INDEX('Orders Ledger'!$A$2:$A$1501, SMALL(IF(('Orders Ledger'!$J$2:$J$1501="disputed")+('Orders Ledger'!$J$2:$J$1501="PENDING_REVIEW"), ROW('Orders Ledger'!$A$2:$A$1501)-ROW('Orders Ledger'!$A$2)+1), ROW(93:93))), "")</f>
        <v>ORD100405</v>
      </c>
      <c r="C151" s="11" t="str">
        <f>IF(B151="","",_xlfn.XLOOKUP(B151,'Orders Ledger'!$A:$A,'Orders Ledger'!$B:$B,""))</f>
        <v>CUST-1014</v>
      </c>
      <c r="D151" t="str">
        <f>IF(B151="","",_xlfn.XLOOKUP(B151,'Orders Ledger'!$A:$A,'Orders Ledger'!$G:$G,""))</f>
        <v>Germany</v>
      </c>
      <c r="E151" t="str">
        <f>IF(B151="","",_xlfn.XLOOKUP(B151,'Orders Ledger'!$A:$A,'Orders Ledger'!$H:$H,""))</f>
        <v>Desktop</v>
      </c>
      <c r="F151" t="str">
        <f>IF(B151="","",_xlfn.XLOOKUP(B151,'Orders Ledger'!$A:$A,'Orders Ledger'!$F:$F,""))</f>
        <v>Credit_Card</v>
      </c>
      <c r="G151">
        <f>IF(B151="","",_xlfn.XLOOKUP(B151,'Orders Ledger'!$A:$A,'Orders Ledger'!$N:$N,0))</f>
        <v>187.9</v>
      </c>
    </row>
    <row r="152" spans="2:7" x14ac:dyDescent="0.3">
      <c r="B152" t="str">
        <f t="array" ref="B152">IFERROR(INDEX('Orders Ledger'!$A$2:$A$1501, SMALL(IF(('Orders Ledger'!$J$2:$J$1501="disputed")+('Orders Ledger'!$J$2:$J$1501="PENDING_REVIEW"), ROW('Orders Ledger'!$A$2:$A$1501)-ROW('Orders Ledger'!$A$2)+1), ROW(94:94))), "")</f>
        <v>ORD100406</v>
      </c>
      <c r="C152" s="11" t="str">
        <f>IF(B152="","",_xlfn.XLOOKUP(B152,'Orders Ledger'!$A:$A,'Orders Ledger'!$B:$B,""))</f>
        <v>CUST-1023</v>
      </c>
      <c r="D152" t="str">
        <f>IF(B152="","",_xlfn.XLOOKUP(B152,'Orders Ledger'!$A:$A,'Orders Ledger'!$G:$G,""))</f>
        <v>France</v>
      </c>
      <c r="E152" t="str">
        <f>IF(B152="","",_xlfn.XLOOKUP(B152,'Orders Ledger'!$A:$A,'Orders Ledger'!$H:$H,""))</f>
        <v>Bot_Server</v>
      </c>
      <c r="F152" t="str">
        <f>IF(B152="","",_xlfn.XLOOKUP(B152,'Orders Ledger'!$A:$A,'Orders Ledger'!$F:$F,""))</f>
        <v>Digital_Wallet</v>
      </c>
      <c r="G152">
        <f>IF(B152="","",_xlfn.XLOOKUP(B152,'Orders Ledger'!$A:$A,'Orders Ledger'!$N:$N,0))</f>
        <v>359.33</v>
      </c>
    </row>
    <row r="153" spans="2:7" x14ac:dyDescent="0.3">
      <c r="B153" t="str">
        <f t="array" ref="B153">IFERROR(INDEX('Orders Ledger'!$A$2:$A$1501, SMALL(IF(('Orders Ledger'!$J$2:$J$1501="disputed")+('Orders Ledger'!$J$2:$J$1501="PENDING_REVIEW"), ROW('Orders Ledger'!$A$2:$A$1501)-ROW('Orders Ledger'!$A$2)+1), ROW(95:95))), "")</f>
        <v>ORD100408</v>
      </c>
      <c r="C153" s="11" t="str">
        <f>IF(B153="","",_xlfn.XLOOKUP(B153,'Orders Ledger'!$A:$A,'Orders Ledger'!$B:$B,""))</f>
        <v>CUST-1028</v>
      </c>
      <c r="D153" t="str">
        <f>IF(B153="","",_xlfn.XLOOKUP(B153,'Orders Ledger'!$A:$A,'Orders Ledger'!$G:$G,""))</f>
        <v>France</v>
      </c>
      <c r="E153" t="str">
        <f>IF(B153="","",_xlfn.XLOOKUP(B153,'Orders Ledger'!$A:$A,'Orders Ledger'!$H:$H,""))</f>
        <v>Mobile_App</v>
      </c>
      <c r="F153" t="str">
        <f>IF(B153="","",_xlfn.XLOOKUP(B153,'Orders Ledger'!$A:$A,'Orders Ledger'!$F:$F,""))</f>
        <v>Credit_Card</v>
      </c>
      <c r="G153">
        <f>IF(B153="","",_xlfn.XLOOKUP(B153,'Orders Ledger'!$A:$A,'Orders Ledger'!$N:$N,0))</f>
        <v>64.290000000000006</v>
      </c>
    </row>
    <row r="154" spans="2:7" x14ac:dyDescent="0.3">
      <c r="B154" t="str">
        <f t="array" ref="B154">IFERROR(INDEX('Orders Ledger'!$A$2:$A$1501, SMALL(IF(('Orders Ledger'!$J$2:$J$1501="disputed")+('Orders Ledger'!$J$2:$J$1501="PENDING_REVIEW"), ROW('Orders Ledger'!$A$2:$A$1501)-ROW('Orders Ledger'!$A$2)+1), ROW(96:96))), "")</f>
        <v>ORD100411</v>
      </c>
      <c r="C154" s="11" t="str">
        <f>IF(B154="","",_xlfn.XLOOKUP(B154,'Orders Ledger'!$A:$A,'Orders Ledger'!$B:$B,""))</f>
        <v>CUST-1191</v>
      </c>
      <c r="D154" t="str">
        <f>IF(B154="","",_xlfn.XLOOKUP(B154,'Orders Ledger'!$A:$A,'Orders Ledger'!$G:$G,""))</f>
        <v>Canada</v>
      </c>
      <c r="E154" t="str">
        <f>IF(B154="","",_xlfn.XLOOKUP(B154,'Orders Ledger'!$A:$A,'Orders Ledger'!$H:$H,""))</f>
        <v>Mobile_Emulator</v>
      </c>
      <c r="F154" t="str">
        <f>IF(B154="","",_xlfn.XLOOKUP(B154,'Orders Ledger'!$A:$A,'Orders Ledger'!$F:$F,""))</f>
        <v>Crypto_Proxy</v>
      </c>
      <c r="G154">
        <f>IF(B154="","",_xlfn.XLOOKUP(B154,'Orders Ledger'!$A:$A,'Orders Ledger'!$N:$N,0))</f>
        <v>2336.6799999999998</v>
      </c>
    </row>
    <row r="155" spans="2:7" x14ac:dyDescent="0.3">
      <c r="B155" t="str">
        <f t="array" ref="B155">IFERROR(INDEX('Orders Ledger'!$A$2:$A$1501, SMALL(IF(('Orders Ledger'!$J$2:$J$1501="disputed")+('Orders Ledger'!$J$2:$J$1501="PENDING_REVIEW"), ROW('Orders Ledger'!$A$2:$A$1501)-ROW('Orders Ledger'!$A$2)+1), ROW(97:97))), "")</f>
        <v>ORD100414</v>
      </c>
      <c r="C155" s="11" t="str">
        <f>IF(B155="","",_xlfn.XLOOKUP(B155,'Orders Ledger'!$A:$A,'Orders Ledger'!$B:$B,""))</f>
        <v>CUST-1125</v>
      </c>
      <c r="D155" t="str">
        <f>IF(B155="","",_xlfn.XLOOKUP(B155,'Orders Ledger'!$A:$A,'Orders Ledger'!$G:$G,""))</f>
        <v>High-Risk Country Proxy</v>
      </c>
      <c r="E155" t="str">
        <f>IF(B155="","",_xlfn.XLOOKUP(B155,'Orders Ledger'!$A:$A,'Orders Ledger'!$H:$H,""))</f>
        <v>Bot_Server</v>
      </c>
      <c r="F155" t="str">
        <f>IF(B155="","",_xlfn.XLOOKUP(B155,'Orders Ledger'!$A:$A,'Orders Ledger'!$F:$F,""))</f>
        <v>Crypto_Proxy</v>
      </c>
      <c r="G155">
        <f>IF(B155="","",_xlfn.XLOOKUP(B155,'Orders Ledger'!$A:$A,'Orders Ledger'!$N:$N,0))</f>
        <v>11683.4</v>
      </c>
    </row>
    <row r="156" spans="2:7" x14ac:dyDescent="0.3">
      <c r="B156" t="str">
        <f t="array" ref="B156">IFERROR(INDEX('Orders Ledger'!$A$2:$A$1501, SMALL(IF(('Orders Ledger'!$J$2:$J$1501="disputed")+('Orders Ledger'!$J$2:$J$1501="PENDING_REVIEW"), ROW('Orders Ledger'!$A$2:$A$1501)-ROW('Orders Ledger'!$A$2)+1), ROW(98:98))), "")</f>
        <v>ORD100416</v>
      </c>
      <c r="C156" s="11" t="str">
        <f>IF(B156="","",_xlfn.XLOOKUP(B156,'Orders Ledger'!$A:$A,'Orders Ledger'!$B:$B,""))</f>
        <v>CUST-1210</v>
      </c>
      <c r="D156" t="str">
        <f>IF(B156="","",_xlfn.XLOOKUP(B156,'Orders Ledger'!$A:$A,'Orders Ledger'!$G:$G,""))</f>
        <v>United Kingdom</v>
      </c>
      <c r="E156" t="str">
        <f>IF(B156="","",_xlfn.XLOOKUP(B156,'Orders Ledger'!$A:$A,'Orders Ledger'!$H:$H,""))</f>
        <v>Mobile_Web</v>
      </c>
      <c r="F156" t="str">
        <f>IF(B156="","",_xlfn.XLOOKUP(B156,'Orders Ledger'!$A:$A,'Orders Ledger'!$F:$F,""))</f>
        <v>Credit_Card</v>
      </c>
      <c r="G156">
        <f>IF(B156="","",_xlfn.XLOOKUP(B156,'Orders Ledger'!$A:$A,'Orders Ledger'!$N:$N,0))</f>
        <v>13.87</v>
      </c>
    </row>
    <row r="157" spans="2:7" x14ac:dyDescent="0.3">
      <c r="B157" t="str">
        <f t="array" ref="B157">IFERROR(INDEX('Orders Ledger'!$A$2:$A$1501, SMALL(IF(('Orders Ledger'!$J$2:$J$1501="disputed")+('Orders Ledger'!$J$2:$J$1501="PENDING_REVIEW"), ROW('Orders Ledger'!$A$2:$A$1501)-ROW('Orders Ledger'!$A$2)+1), ROW(99:99))), "")</f>
        <v>ORD100417</v>
      </c>
      <c r="C157" s="11" t="str">
        <f>IF(B157="","",_xlfn.XLOOKUP(B157,'Orders Ledger'!$A:$A,'Orders Ledger'!$B:$B,""))</f>
        <v>CUST-1289</v>
      </c>
      <c r="D157" t="str">
        <f>IF(B157="","",_xlfn.XLOOKUP(B157,'Orders Ledger'!$A:$A,'Orders Ledger'!$G:$G,""))</f>
        <v>Canada</v>
      </c>
      <c r="E157" t="str">
        <f>IF(B157="","",_xlfn.XLOOKUP(B157,'Orders Ledger'!$A:$A,'Orders Ledger'!$H:$H,""))</f>
        <v>Mobile_Web</v>
      </c>
      <c r="F157" t="str">
        <f>IF(B157="","",_xlfn.XLOOKUP(B157,'Orders Ledger'!$A:$A,'Orders Ledger'!$F:$F,""))</f>
        <v>Credit_Card</v>
      </c>
      <c r="G157">
        <f>IF(B157="","",_xlfn.XLOOKUP(B157,'Orders Ledger'!$A:$A,'Orders Ledger'!$N:$N,0))</f>
        <v>532.26</v>
      </c>
    </row>
    <row r="158" spans="2:7" x14ac:dyDescent="0.3">
      <c r="B158" t="str">
        <f t="array" ref="B158">IFERROR(INDEX('Orders Ledger'!$A$2:$A$1501, SMALL(IF(('Orders Ledger'!$J$2:$J$1501="disputed")+('Orders Ledger'!$J$2:$J$1501="PENDING_REVIEW"), ROW('Orders Ledger'!$A$2:$A$1501)-ROW('Orders Ledger'!$A$2)+1), ROW(100:100))), "")</f>
        <v>ORD100424</v>
      </c>
      <c r="C158" s="11" t="str">
        <f>IF(B158="","",_xlfn.XLOOKUP(B158,'Orders Ledger'!$A:$A,'Orders Ledger'!$B:$B,""))</f>
        <v>CUST-1254</v>
      </c>
      <c r="D158" t="str">
        <f>IF(B158="","",_xlfn.XLOOKUP(B158,'Orders Ledger'!$A:$A,'Orders Ledger'!$G:$G,""))</f>
        <v>Unknown Blacklisted Zone</v>
      </c>
      <c r="E158" t="str">
        <f>IF(B158="","",_xlfn.XLOOKUP(B158,'Orders Ledger'!$A:$A,'Orders Ledger'!$H:$H,""))</f>
        <v>Desktop</v>
      </c>
      <c r="F158" t="str">
        <f>IF(B158="","",_xlfn.XLOOKUP(B158,'Orders Ledger'!$A:$A,'Orders Ledger'!$F:$F,""))</f>
        <v>Credit_Card</v>
      </c>
      <c r="G158">
        <f>IF(B158="","",_xlfn.XLOOKUP(B158,'Orders Ledger'!$A:$A,'Orders Ledger'!$N:$N,0))</f>
        <v>5207.68</v>
      </c>
    </row>
    <row r="159" spans="2:7" x14ac:dyDescent="0.3">
      <c r="B159" t="str">
        <f t="array" ref="B159">IFERROR(INDEX('Orders Ledger'!$A$2:$A$1501, SMALL(IF(('Orders Ledger'!$J$2:$J$1501="disputed")+('Orders Ledger'!$J$2:$J$1501="PENDING_REVIEW"), ROW('Orders Ledger'!$A$2:$A$1501)-ROW('Orders Ledger'!$A$2)+1), ROW(101:101))), "")</f>
        <v>ORD100428</v>
      </c>
      <c r="C159" s="11" t="str">
        <f>IF(B159="","",_xlfn.XLOOKUP(B159,'Orders Ledger'!$A:$A,'Orders Ledger'!$B:$B,""))</f>
        <v>CUST-1236</v>
      </c>
      <c r="D159" t="str">
        <f>IF(B159="","",_xlfn.XLOOKUP(B159,'Orders Ledger'!$A:$A,'Orders Ledger'!$G:$G,""))</f>
        <v>High-Risk Country Proxy</v>
      </c>
      <c r="E159" t="str">
        <f>IF(B159="","",_xlfn.XLOOKUP(B159,'Orders Ledger'!$A:$A,'Orders Ledger'!$H:$H,""))</f>
        <v>Mobile_Emulator</v>
      </c>
      <c r="F159" t="str">
        <f>IF(B159="","",_xlfn.XLOOKUP(B159,'Orders Ledger'!$A:$A,'Orders Ledger'!$F:$F,""))</f>
        <v>Crypto_Proxy</v>
      </c>
      <c r="G159">
        <f>IF(B159="","",_xlfn.XLOOKUP(B159,'Orders Ledger'!$A:$A,'Orders Ledger'!$N:$N,0))</f>
        <v>106.35</v>
      </c>
    </row>
    <row r="160" spans="2:7" x14ac:dyDescent="0.3">
      <c r="B160" t="str">
        <f t="array" ref="B160">IFERROR(INDEX('Orders Ledger'!$A$2:$A$1501, SMALL(IF(('Orders Ledger'!$J$2:$J$1501="disputed")+('Orders Ledger'!$J$2:$J$1501="PENDING_REVIEW"), ROW('Orders Ledger'!$A$2:$A$1501)-ROW('Orders Ledger'!$A$2)+1), ROW(102:102))), "")</f>
        <v>ORD100430</v>
      </c>
      <c r="C160" s="11" t="str">
        <f>IF(B160="","",_xlfn.XLOOKUP(B160,'Orders Ledger'!$A:$A,'Orders Ledger'!$B:$B,""))</f>
        <v>CUST-1235</v>
      </c>
      <c r="D160" t="str">
        <f>IF(B160="","",_xlfn.XLOOKUP(B160,'Orders Ledger'!$A:$A,'Orders Ledger'!$G:$G,""))</f>
        <v>France</v>
      </c>
      <c r="E160" t="str">
        <f>IF(B160="","",_xlfn.XLOOKUP(B160,'Orders Ledger'!$A:$A,'Orders Ledger'!$H:$H,""))</f>
        <v>Bot_Server</v>
      </c>
      <c r="F160" t="str">
        <f>IF(B160="","",_xlfn.XLOOKUP(B160,'Orders Ledger'!$A:$A,'Orders Ledger'!$F:$F,""))</f>
        <v>Crypto_Proxy</v>
      </c>
      <c r="G160">
        <f>IF(B160="","",_xlfn.XLOOKUP(B160,'Orders Ledger'!$A:$A,'Orders Ledger'!$N:$N,0))</f>
        <v>1374.1</v>
      </c>
    </row>
    <row r="161" spans="2:7" x14ac:dyDescent="0.3">
      <c r="B161" t="str">
        <f t="array" ref="B161">IFERROR(INDEX('Orders Ledger'!$A$2:$A$1501, SMALL(IF(('Orders Ledger'!$J$2:$J$1501="disputed")+('Orders Ledger'!$J$2:$J$1501="PENDING_REVIEW"), ROW('Orders Ledger'!$A$2:$A$1501)-ROW('Orders Ledger'!$A$2)+1), ROW(103:103))), "")</f>
        <v>ORD100441</v>
      </c>
      <c r="C161" s="11" t="str">
        <f>IF(B161="","",_xlfn.XLOOKUP(B161,'Orders Ledger'!$A:$A,'Orders Ledger'!$B:$B,""))</f>
        <v>CUST-1153</v>
      </c>
      <c r="D161" t="str">
        <f>IF(B161="","",_xlfn.XLOOKUP(B161,'Orders Ledger'!$A:$A,'Orders Ledger'!$G:$G,""))</f>
        <v>Germany</v>
      </c>
      <c r="E161" t="str">
        <f>IF(B161="","",_xlfn.XLOOKUP(B161,'Orders Ledger'!$A:$A,'Orders Ledger'!$H:$H,""))</f>
        <v>Mobile_Emulator</v>
      </c>
      <c r="F161" t="str">
        <f>IF(B161="","",_xlfn.XLOOKUP(B161,'Orders Ledger'!$A:$A,'Orders Ledger'!$F:$F,""))</f>
        <v>Crypto_Proxy</v>
      </c>
      <c r="G161">
        <f>IF(B161="","",_xlfn.XLOOKUP(B161,'Orders Ledger'!$A:$A,'Orders Ledger'!$N:$N,0))</f>
        <v>878.03</v>
      </c>
    </row>
    <row r="162" spans="2:7" x14ac:dyDescent="0.3">
      <c r="B162" t="str">
        <f t="array" ref="B162">IFERROR(INDEX('Orders Ledger'!$A$2:$A$1501, SMALL(IF(('Orders Ledger'!$J$2:$J$1501="disputed")+('Orders Ledger'!$J$2:$J$1501="PENDING_REVIEW"), ROW('Orders Ledger'!$A$2:$A$1501)-ROW('Orders Ledger'!$A$2)+1), ROW(104:104))), "")</f>
        <v>ORD100442</v>
      </c>
      <c r="C162" s="11" t="str">
        <f>IF(B162="","",_xlfn.XLOOKUP(B162,'Orders Ledger'!$A:$A,'Orders Ledger'!$B:$B,""))</f>
        <v>CUST-1217</v>
      </c>
      <c r="D162" t="str">
        <f>IF(B162="","",_xlfn.XLOOKUP(B162,'Orders Ledger'!$A:$A,'Orders Ledger'!$G:$G,""))</f>
        <v>Germany</v>
      </c>
      <c r="E162" t="str">
        <f>IF(B162="","",_xlfn.XLOOKUP(B162,'Orders Ledger'!$A:$A,'Orders Ledger'!$H:$H,""))</f>
        <v>Desktop</v>
      </c>
      <c r="F162" t="str">
        <f>IF(B162="","",_xlfn.XLOOKUP(B162,'Orders Ledger'!$A:$A,'Orders Ledger'!$F:$F,""))</f>
        <v>Credit_Card</v>
      </c>
      <c r="G162">
        <f>IF(B162="","",_xlfn.XLOOKUP(B162,'Orders Ledger'!$A:$A,'Orders Ledger'!$N:$N,0))</f>
        <v>57.44</v>
      </c>
    </row>
    <row r="163" spans="2:7" x14ac:dyDescent="0.3">
      <c r="B163" t="str">
        <f t="array" ref="B163">IFERROR(INDEX('Orders Ledger'!$A$2:$A$1501, SMALL(IF(('Orders Ledger'!$J$2:$J$1501="disputed")+('Orders Ledger'!$J$2:$J$1501="PENDING_REVIEW"), ROW('Orders Ledger'!$A$2:$A$1501)-ROW('Orders Ledger'!$A$2)+1), ROW(105:105))), "")</f>
        <v>ORD100446</v>
      </c>
      <c r="C163" s="11" t="str">
        <f>IF(B163="","",_xlfn.XLOOKUP(B163,'Orders Ledger'!$A:$A,'Orders Ledger'!$B:$B,""))</f>
        <v>CUST-1101</v>
      </c>
      <c r="D163" t="str">
        <f>IF(B163="","",_xlfn.XLOOKUP(B163,'Orders Ledger'!$A:$A,'Orders Ledger'!$G:$G,""))</f>
        <v>Unknown Blacklisted Zone</v>
      </c>
      <c r="E163" t="str">
        <f>IF(B163="","",_xlfn.XLOOKUP(B163,'Orders Ledger'!$A:$A,'Orders Ledger'!$H:$H,""))</f>
        <v>Desktop</v>
      </c>
      <c r="F163" t="str">
        <f>IF(B163="","",_xlfn.XLOOKUP(B163,'Orders Ledger'!$A:$A,'Orders Ledger'!$F:$F,""))</f>
        <v>Stolen_Card_Sim</v>
      </c>
      <c r="G163">
        <f>IF(B163="","",_xlfn.XLOOKUP(B163,'Orders Ledger'!$A:$A,'Orders Ledger'!$N:$N,0))</f>
        <v>460.45000000000005</v>
      </c>
    </row>
    <row r="164" spans="2:7" x14ac:dyDescent="0.3">
      <c r="B164" t="str">
        <f t="array" ref="B164">IFERROR(INDEX('Orders Ledger'!$A$2:$A$1501, SMALL(IF(('Orders Ledger'!$J$2:$J$1501="disputed")+('Orders Ledger'!$J$2:$J$1501="PENDING_REVIEW"), ROW('Orders Ledger'!$A$2:$A$1501)-ROW('Orders Ledger'!$A$2)+1), ROW(106:106))), "")</f>
        <v>ORD100454</v>
      </c>
      <c r="C164" s="11" t="str">
        <f>IF(B164="","",_xlfn.XLOOKUP(B164,'Orders Ledger'!$A:$A,'Orders Ledger'!$B:$B,""))</f>
        <v>CUST-1294</v>
      </c>
      <c r="D164" t="str">
        <f>IF(B164="","",_xlfn.XLOOKUP(B164,'Orders Ledger'!$A:$A,'Orders Ledger'!$G:$G,""))</f>
        <v>Unknown Blacklisted Zone</v>
      </c>
      <c r="E164" t="str">
        <f>IF(B164="","",_xlfn.XLOOKUP(B164,'Orders Ledger'!$A:$A,'Orders Ledger'!$H:$H,""))</f>
        <v>Mobile_Emulator</v>
      </c>
      <c r="F164" t="str">
        <f>IF(B164="","",_xlfn.XLOOKUP(B164,'Orders Ledger'!$A:$A,'Orders Ledger'!$F:$F,""))</f>
        <v>Digital_Wallet</v>
      </c>
      <c r="G164">
        <f>IF(B164="","",_xlfn.XLOOKUP(B164,'Orders Ledger'!$A:$A,'Orders Ledger'!$N:$N,0))</f>
        <v>15.08</v>
      </c>
    </row>
    <row r="165" spans="2:7" x14ac:dyDescent="0.3">
      <c r="B165" t="str">
        <f t="array" ref="B165">IFERROR(INDEX('Orders Ledger'!$A$2:$A$1501, SMALL(IF(('Orders Ledger'!$J$2:$J$1501="disputed")+('Orders Ledger'!$J$2:$J$1501="PENDING_REVIEW"), ROW('Orders Ledger'!$A$2:$A$1501)-ROW('Orders Ledger'!$A$2)+1), ROW(107:107))), "")</f>
        <v>ORD100461</v>
      </c>
      <c r="C165" s="11" t="str">
        <f>IF(B165="","",_xlfn.XLOOKUP(B165,'Orders Ledger'!$A:$A,'Orders Ledger'!$B:$B,""))</f>
        <v>CUST-1289</v>
      </c>
      <c r="D165" t="str">
        <f>IF(B165="","",_xlfn.XLOOKUP(B165,'Orders Ledger'!$A:$A,'Orders Ledger'!$G:$G,""))</f>
        <v>France</v>
      </c>
      <c r="E165" t="str">
        <f>IF(B165="","",_xlfn.XLOOKUP(B165,'Orders Ledger'!$A:$A,'Orders Ledger'!$H:$H,""))</f>
        <v>Mobile_App</v>
      </c>
      <c r="F165" t="str">
        <f>IF(B165="","",_xlfn.XLOOKUP(B165,'Orders Ledger'!$A:$A,'Orders Ledger'!$F:$F,""))</f>
        <v>Credit_Card</v>
      </c>
      <c r="G165">
        <f>IF(B165="","",_xlfn.XLOOKUP(B165,'Orders Ledger'!$A:$A,'Orders Ledger'!$N:$N,0))</f>
        <v>193.86</v>
      </c>
    </row>
    <row r="166" spans="2:7" x14ac:dyDescent="0.3">
      <c r="B166" t="str">
        <f t="array" ref="B166">IFERROR(INDEX('Orders Ledger'!$A$2:$A$1501, SMALL(IF(('Orders Ledger'!$J$2:$J$1501="disputed")+('Orders Ledger'!$J$2:$J$1501="PENDING_REVIEW"), ROW('Orders Ledger'!$A$2:$A$1501)-ROW('Orders Ledger'!$A$2)+1), ROW(108:108))), "")</f>
        <v>ORD100464</v>
      </c>
      <c r="C166" s="11" t="str">
        <f>IF(B166="","",_xlfn.XLOOKUP(B166,'Orders Ledger'!$A:$A,'Orders Ledger'!$B:$B,""))</f>
        <v>CUST-1146</v>
      </c>
      <c r="D166" t="str">
        <f>IF(B166="","",_xlfn.XLOOKUP(B166,'Orders Ledger'!$A:$A,'Orders Ledger'!$G:$G,""))</f>
        <v>Unknown Blacklisted Zone</v>
      </c>
      <c r="E166" t="str">
        <f>IF(B166="","",_xlfn.XLOOKUP(B166,'Orders Ledger'!$A:$A,'Orders Ledger'!$H:$H,""))</f>
        <v>Bot_Server</v>
      </c>
      <c r="F166" t="str">
        <f>IF(B166="","",_xlfn.XLOOKUP(B166,'Orders Ledger'!$A:$A,'Orders Ledger'!$F:$F,""))</f>
        <v>Stolen_Card_Sim</v>
      </c>
      <c r="G166">
        <f>IF(B166="","",_xlfn.XLOOKUP(B166,'Orders Ledger'!$A:$A,'Orders Ledger'!$N:$N,0))</f>
        <v>1599.08</v>
      </c>
    </row>
    <row r="167" spans="2:7" x14ac:dyDescent="0.3">
      <c r="B167" t="str">
        <f t="array" ref="B167">IFERROR(INDEX('Orders Ledger'!$A$2:$A$1501, SMALL(IF(('Orders Ledger'!$J$2:$J$1501="disputed")+('Orders Ledger'!$J$2:$J$1501="PENDING_REVIEW"), ROW('Orders Ledger'!$A$2:$A$1501)-ROW('Orders Ledger'!$A$2)+1), ROW(109:109))), "")</f>
        <v>ORD100468</v>
      </c>
      <c r="C167" s="11" t="str">
        <f>IF(B167="","",_xlfn.XLOOKUP(B167,'Orders Ledger'!$A:$A,'Orders Ledger'!$B:$B,""))</f>
        <v>CUST-1097</v>
      </c>
      <c r="D167" t="str">
        <f>IF(B167="","",_xlfn.XLOOKUP(B167,'Orders Ledger'!$A:$A,'Orders Ledger'!$G:$G,""))</f>
        <v>Unknown Blacklisted Zone</v>
      </c>
      <c r="E167" t="str">
        <f>IF(B167="","",_xlfn.XLOOKUP(B167,'Orders Ledger'!$A:$A,'Orders Ledger'!$H:$H,""))</f>
        <v>Mobile_Emulator</v>
      </c>
      <c r="F167" t="str">
        <f>IF(B167="","",_xlfn.XLOOKUP(B167,'Orders Ledger'!$A:$A,'Orders Ledger'!$F:$F,""))</f>
        <v>Crypto_Proxy</v>
      </c>
      <c r="G167">
        <f>IF(B167="","",_xlfn.XLOOKUP(B167,'Orders Ledger'!$A:$A,'Orders Ledger'!$N:$N,0))</f>
        <v>79.23</v>
      </c>
    </row>
    <row r="168" spans="2:7" x14ac:dyDescent="0.3">
      <c r="B168" t="str">
        <f t="array" ref="B168">IFERROR(INDEX('Orders Ledger'!$A$2:$A$1501, SMALL(IF(('Orders Ledger'!$J$2:$J$1501="disputed")+('Orders Ledger'!$J$2:$J$1501="PENDING_REVIEW"), ROW('Orders Ledger'!$A$2:$A$1501)-ROW('Orders Ledger'!$A$2)+1), ROW(110:110))), "")</f>
        <v>ORD100469</v>
      </c>
      <c r="C168" s="11" t="str">
        <f>IF(B168="","",_xlfn.XLOOKUP(B168,'Orders Ledger'!$A:$A,'Orders Ledger'!$B:$B,""))</f>
        <v>CUST-1128</v>
      </c>
      <c r="D168" t="str">
        <f>IF(B168="","",_xlfn.XLOOKUP(B168,'Orders Ledger'!$A:$A,'Orders Ledger'!$G:$G,""))</f>
        <v>United States</v>
      </c>
      <c r="E168" t="str">
        <f>IF(B168="","",_xlfn.XLOOKUP(B168,'Orders Ledger'!$A:$A,'Orders Ledger'!$H:$H,""))</f>
        <v>Desktop</v>
      </c>
      <c r="F168" t="str">
        <f>IF(B168="","",_xlfn.XLOOKUP(B168,'Orders Ledger'!$A:$A,'Orders Ledger'!$F:$F,""))</f>
        <v>Credit_Card</v>
      </c>
      <c r="G168">
        <f>IF(B168="","",_xlfn.XLOOKUP(B168,'Orders Ledger'!$A:$A,'Orders Ledger'!$N:$N,0))</f>
        <v>96.93</v>
      </c>
    </row>
    <row r="169" spans="2:7" x14ac:dyDescent="0.3">
      <c r="B169" t="str">
        <f t="array" ref="B169">IFERROR(INDEX('Orders Ledger'!$A$2:$A$1501, SMALL(IF(('Orders Ledger'!$J$2:$J$1501="disputed")+('Orders Ledger'!$J$2:$J$1501="PENDING_REVIEW"), ROW('Orders Ledger'!$A$2:$A$1501)-ROW('Orders Ledger'!$A$2)+1), ROW(111:111))), "")</f>
        <v>ORD100473</v>
      </c>
      <c r="C169" s="11" t="str">
        <f>IF(B169="","",_xlfn.XLOOKUP(B169,'Orders Ledger'!$A:$A,'Orders Ledger'!$B:$B,""))</f>
        <v>CUST-1158</v>
      </c>
      <c r="D169" t="str">
        <f>IF(B169="","",_xlfn.XLOOKUP(B169,'Orders Ledger'!$A:$A,'Orders Ledger'!$G:$G,""))</f>
        <v>High-Risk Country Proxy</v>
      </c>
      <c r="E169" t="str">
        <f>IF(B169="","",_xlfn.XLOOKUP(B169,'Orders Ledger'!$A:$A,'Orders Ledger'!$H:$H,""))</f>
        <v>Desktop</v>
      </c>
      <c r="F169" t="str">
        <f>IF(B169="","",_xlfn.XLOOKUP(B169,'Orders Ledger'!$A:$A,'Orders Ledger'!$F:$F,""))</f>
        <v>Crypto_Proxy</v>
      </c>
      <c r="G169">
        <f>IF(B169="","",_xlfn.XLOOKUP(B169,'Orders Ledger'!$A:$A,'Orders Ledger'!$N:$N,0))</f>
        <v>3071.12</v>
      </c>
    </row>
    <row r="170" spans="2:7" x14ac:dyDescent="0.3">
      <c r="B170" t="str">
        <f t="array" ref="B170">IFERROR(INDEX('Orders Ledger'!$A$2:$A$1501, SMALL(IF(('Orders Ledger'!$J$2:$J$1501="disputed")+('Orders Ledger'!$J$2:$J$1501="PENDING_REVIEW"), ROW('Orders Ledger'!$A$2:$A$1501)-ROW('Orders Ledger'!$A$2)+1), ROW(112:112))), "")</f>
        <v>ORD100485</v>
      </c>
      <c r="C170" s="11" t="str">
        <f>IF(B170="","",_xlfn.XLOOKUP(B170,'Orders Ledger'!$A:$A,'Orders Ledger'!$B:$B,""))</f>
        <v>CUST-1067</v>
      </c>
      <c r="D170" t="str">
        <f>IF(B170="","",_xlfn.XLOOKUP(B170,'Orders Ledger'!$A:$A,'Orders Ledger'!$G:$G,""))</f>
        <v>France</v>
      </c>
      <c r="E170" t="str">
        <f>IF(B170="","",_xlfn.XLOOKUP(B170,'Orders Ledger'!$A:$A,'Orders Ledger'!$H:$H,""))</f>
        <v>Desktop</v>
      </c>
      <c r="F170" t="str">
        <f>IF(B170="","",_xlfn.XLOOKUP(B170,'Orders Ledger'!$A:$A,'Orders Ledger'!$F:$F,""))</f>
        <v>Stolen_Card_Sim</v>
      </c>
      <c r="G170">
        <f>IF(B170="","",_xlfn.XLOOKUP(B170,'Orders Ledger'!$A:$A,'Orders Ledger'!$N:$N,0))</f>
        <v>6961.4</v>
      </c>
    </row>
    <row r="171" spans="2:7" x14ac:dyDescent="0.3">
      <c r="B171" t="str">
        <f t="array" ref="B171">IFERROR(INDEX('Orders Ledger'!$A$2:$A$1501, SMALL(IF(('Orders Ledger'!$J$2:$J$1501="disputed")+('Orders Ledger'!$J$2:$J$1501="PENDING_REVIEW"), ROW('Orders Ledger'!$A$2:$A$1501)-ROW('Orders Ledger'!$A$2)+1), ROW(113:113))), "")</f>
        <v>ORD100489</v>
      </c>
      <c r="C171" s="11" t="str">
        <f>IF(B171="","",_xlfn.XLOOKUP(B171,'Orders Ledger'!$A:$A,'Orders Ledger'!$B:$B,""))</f>
        <v>CUST-1256</v>
      </c>
      <c r="D171" t="str">
        <f>IF(B171="","",_xlfn.XLOOKUP(B171,'Orders Ledger'!$A:$A,'Orders Ledger'!$G:$G,""))</f>
        <v>Germany</v>
      </c>
      <c r="E171" t="str">
        <f>IF(B171="","",_xlfn.XLOOKUP(B171,'Orders Ledger'!$A:$A,'Orders Ledger'!$H:$H,""))</f>
        <v>Desktop</v>
      </c>
      <c r="F171" t="str">
        <f>IF(B171="","",_xlfn.XLOOKUP(B171,'Orders Ledger'!$A:$A,'Orders Ledger'!$F:$F,""))</f>
        <v>Stolen_Card_Sim</v>
      </c>
      <c r="G171">
        <f>IF(B171="","",_xlfn.XLOOKUP(B171,'Orders Ledger'!$A:$A,'Orders Ledger'!$N:$N,0))</f>
        <v>410.48</v>
      </c>
    </row>
    <row r="172" spans="2:7" x14ac:dyDescent="0.3">
      <c r="B172" t="str">
        <f t="array" ref="B172">IFERROR(INDEX('Orders Ledger'!$A$2:$A$1501, SMALL(IF(('Orders Ledger'!$J$2:$J$1501="disputed")+('Orders Ledger'!$J$2:$J$1501="PENDING_REVIEW"), ROW('Orders Ledger'!$A$2:$A$1501)-ROW('Orders Ledger'!$A$2)+1), ROW(114:114))), "")</f>
        <v>ORD100490</v>
      </c>
      <c r="C172" s="11" t="str">
        <f>IF(B172="","",_xlfn.XLOOKUP(B172,'Orders Ledger'!$A:$A,'Orders Ledger'!$B:$B,""))</f>
        <v>CUST-1139</v>
      </c>
      <c r="D172" t="str">
        <f>IF(B172="","",_xlfn.XLOOKUP(B172,'Orders Ledger'!$A:$A,'Orders Ledger'!$G:$G,""))</f>
        <v>France</v>
      </c>
      <c r="E172" t="str">
        <f>IF(B172="","",_xlfn.XLOOKUP(B172,'Orders Ledger'!$A:$A,'Orders Ledger'!$H:$H,""))</f>
        <v>Mobile_Emulator</v>
      </c>
      <c r="F172" t="str">
        <f>IF(B172="","",_xlfn.XLOOKUP(B172,'Orders Ledger'!$A:$A,'Orders Ledger'!$F:$F,""))</f>
        <v>Digital_Wallet</v>
      </c>
      <c r="G172">
        <f>IF(B172="","",_xlfn.XLOOKUP(B172,'Orders Ledger'!$A:$A,'Orders Ledger'!$N:$N,0))</f>
        <v>5207.68</v>
      </c>
    </row>
    <row r="173" spans="2:7" x14ac:dyDescent="0.3">
      <c r="B173" t="str">
        <f t="array" ref="B173">IFERROR(INDEX('Orders Ledger'!$A$2:$A$1501, SMALL(IF(('Orders Ledger'!$J$2:$J$1501="disputed")+('Orders Ledger'!$J$2:$J$1501="PENDING_REVIEW"), ROW('Orders Ledger'!$A$2:$A$1501)-ROW('Orders Ledger'!$A$2)+1), ROW(115:115))), "")</f>
        <v>ORD100491</v>
      </c>
      <c r="C173" s="11" t="str">
        <f>IF(B173="","",_xlfn.XLOOKUP(B173,'Orders Ledger'!$A:$A,'Orders Ledger'!$B:$B,""))</f>
        <v>CUST-1084</v>
      </c>
      <c r="D173" t="str">
        <f>IF(B173="","",_xlfn.XLOOKUP(B173,'Orders Ledger'!$A:$A,'Orders Ledger'!$G:$G,""))</f>
        <v>Unknown Blacklisted Zone</v>
      </c>
      <c r="E173" t="str">
        <f>IF(B173="","",_xlfn.XLOOKUP(B173,'Orders Ledger'!$A:$A,'Orders Ledger'!$H:$H,""))</f>
        <v>Bot_Server</v>
      </c>
      <c r="F173" t="str">
        <f>IF(B173="","",_xlfn.XLOOKUP(B173,'Orders Ledger'!$A:$A,'Orders Ledger'!$F:$F,""))</f>
        <v>Stolen_Card_Sim</v>
      </c>
      <c r="G173">
        <f>IF(B173="","",_xlfn.XLOOKUP(B173,'Orders Ledger'!$A:$A,'Orders Ledger'!$N:$N,0))</f>
        <v>94.350000000000009</v>
      </c>
    </row>
    <row r="174" spans="2:7" x14ac:dyDescent="0.3">
      <c r="B174" t="str">
        <f t="array" ref="B174">IFERROR(INDEX('Orders Ledger'!$A$2:$A$1501, SMALL(IF(('Orders Ledger'!$J$2:$J$1501="disputed")+('Orders Ledger'!$J$2:$J$1501="PENDING_REVIEW"), ROW('Orders Ledger'!$A$2:$A$1501)-ROW('Orders Ledger'!$A$2)+1), ROW(116:116))), "")</f>
        <v>ORD100492</v>
      </c>
      <c r="C174" s="11" t="str">
        <f>IF(B174="","",_xlfn.XLOOKUP(B174,'Orders Ledger'!$A:$A,'Orders Ledger'!$B:$B,""))</f>
        <v>CUST-1131</v>
      </c>
      <c r="D174" t="str">
        <f>IF(B174="","",_xlfn.XLOOKUP(B174,'Orders Ledger'!$A:$A,'Orders Ledger'!$G:$G,""))</f>
        <v>Unknown Blacklisted Zone</v>
      </c>
      <c r="E174" t="str">
        <f>IF(B174="","",_xlfn.XLOOKUP(B174,'Orders Ledger'!$A:$A,'Orders Ledger'!$H:$H,""))</f>
        <v>Mobile_Emulator</v>
      </c>
      <c r="F174" t="str">
        <f>IF(B174="","",_xlfn.XLOOKUP(B174,'Orders Ledger'!$A:$A,'Orders Ledger'!$F:$F,""))</f>
        <v>Digital_Wallet</v>
      </c>
      <c r="G174">
        <f>IF(B174="","",_xlfn.XLOOKUP(B174,'Orders Ledger'!$A:$A,'Orders Ledger'!$N:$N,0))</f>
        <v>121.52</v>
      </c>
    </row>
    <row r="175" spans="2:7" x14ac:dyDescent="0.3">
      <c r="B175" t="str">
        <f t="array" ref="B175">IFERROR(INDEX('Orders Ledger'!$A$2:$A$1501, SMALL(IF(('Orders Ledger'!$J$2:$J$1501="disputed")+('Orders Ledger'!$J$2:$J$1501="PENDING_REVIEW"), ROW('Orders Ledger'!$A$2:$A$1501)-ROW('Orders Ledger'!$A$2)+1), ROW(117:117))), "")</f>
        <v>ORD100493</v>
      </c>
      <c r="C175" s="11" t="str">
        <f>IF(B175="","",_xlfn.XLOOKUP(B175,'Orders Ledger'!$A:$A,'Orders Ledger'!$B:$B,""))</f>
        <v>CUST-1246</v>
      </c>
      <c r="D175" t="str">
        <f>IF(B175="","",_xlfn.XLOOKUP(B175,'Orders Ledger'!$A:$A,'Orders Ledger'!$G:$G,""))</f>
        <v>Germany</v>
      </c>
      <c r="E175" t="str">
        <f>IF(B175="","",_xlfn.XLOOKUP(B175,'Orders Ledger'!$A:$A,'Orders Ledger'!$H:$H,""))</f>
        <v>Mobile_Emulator</v>
      </c>
      <c r="F175" t="str">
        <f>IF(B175="","",_xlfn.XLOOKUP(B175,'Orders Ledger'!$A:$A,'Orders Ledger'!$F:$F,""))</f>
        <v>Stolen_Card_Sim</v>
      </c>
      <c r="G175">
        <f>IF(B175="","",_xlfn.XLOOKUP(B175,'Orders Ledger'!$A:$A,'Orders Ledger'!$N:$N,0))</f>
        <v>968.52</v>
      </c>
    </row>
    <row r="176" spans="2:7" x14ac:dyDescent="0.3">
      <c r="B176" t="str">
        <f t="array" ref="B176">IFERROR(INDEX('Orders Ledger'!$A$2:$A$1501, SMALL(IF(('Orders Ledger'!$J$2:$J$1501="disputed")+('Orders Ledger'!$J$2:$J$1501="PENDING_REVIEW"), ROW('Orders Ledger'!$A$2:$A$1501)-ROW('Orders Ledger'!$A$2)+1), ROW(118:118))), "")</f>
        <v>ORD100500</v>
      </c>
      <c r="C176" s="11" t="str">
        <f>IF(B176="","",_xlfn.XLOOKUP(B176,'Orders Ledger'!$A:$A,'Orders Ledger'!$B:$B,""))</f>
        <v>CUST-1115</v>
      </c>
      <c r="D176" t="str">
        <f>IF(B176="","",_xlfn.XLOOKUP(B176,'Orders Ledger'!$A:$A,'Orders Ledger'!$G:$G,""))</f>
        <v>Unknown Blacklisted Zone</v>
      </c>
      <c r="E176" t="str">
        <f>IF(B176="","",_xlfn.XLOOKUP(B176,'Orders Ledger'!$A:$A,'Orders Ledger'!$H:$H,""))</f>
        <v>Mobile_Emulator</v>
      </c>
      <c r="F176" t="str">
        <f>IF(B176="","",_xlfn.XLOOKUP(B176,'Orders Ledger'!$A:$A,'Orders Ledger'!$F:$F,""))</f>
        <v>Crypto_Proxy</v>
      </c>
      <c r="G176">
        <f>IF(B176="","",_xlfn.XLOOKUP(B176,'Orders Ledger'!$A:$A,'Orders Ledger'!$N:$N,0))</f>
        <v>3874.08</v>
      </c>
    </row>
    <row r="177" spans="2:7" x14ac:dyDescent="0.3">
      <c r="B177" t="str">
        <f t="array" ref="B177">IFERROR(INDEX('Orders Ledger'!$A$2:$A$1501, SMALL(IF(('Orders Ledger'!$J$2:$J$1501="disputed")+('Orders Ledger'!$J$2:$J$1501="PENDING_REVIEW"), ROW('Orders Ledger'!$A$2:$A$1501)-ROW('Orders Ledger'!$A$2)+1), ROW(119:119))), "")</f>
        <v>ORD100503</v>
      </c>
      <c r="C177" s="11" t="str">
        <f>IF(B177="","",_xlfn.XLOOKUP(B177,'Orders Ledger'!$A:$A,'Orders Ledger'!$B:$B,""))</f>
        <v>CUST-1187</v>
      </c>
      <c r="D177" t="str">
        <f>IF(B177="","",_xlfn.XLOOKUP(B177,'Orders Ledger'!$A:$A,'Orders Ledger'!$G:$G,""))</f>
        <v>High-Risk Country Proxy</v>
      </c>
      <c r="E177" t="str">
        <f>IF(B177="","",_xlfn.XLOOKUP(B177,'Orders Ledger'!$A:$A,'Orders Ledger'!$H:$H,""))</f>
        <v>Desktop</v>
      </c>
      <c r="F177" t="str">
        <f>IF(B177="","",_xlfn.XLOOKUP(B177,'Orders Ledger'!$A:$A,'Orders Ledger'!$F:$F,""))</f>
        <v>Stolen_Card_Sim</v>
      </c>
      <c r="G177">
        <f>IF(B177="","",_xlfn.XLOOKUP(B177,'Orders Ledger'!$A:$A,'Orders Ledger'!$N:$N,0))</f>
        <v>92.76</v>
      </c>
    </row>
    <row r="178" spans="2:7" x14ac:dyDescent="0.3">
      <c r="B178" t="str">
        <f t="array" ref="B178">IFERROR(INDEX('Orders Ledger'!$A$2:$A$1501, SMALL(IF(('Orders Ledger'!$J$2:$J$1501="disputed")+('Orders Ledger'!$J$2:$J$1501="PENDING_REVIEW"), ROW('Orders Ledger'!$A$2:$A$1501)-ROW('Orders Ledger'!$A$2)+1), ROW(120:120))), "")</f>
        <v>ORD100506</v>
      </c>
      <c r="C178" s="11" t="str">
        <f>IF(B178="","",_xlfn.XLOOKUP(B178,'Orders Ledger'!$A:$A,'Orders Ledger'!$B:$B,""))</f>
        <v>CUST-1007</v>
      </c>
      <c r="D178" t="str">
        <f>IF(B178="","",_xlfn.XLOOKUP(B178,'Orders Ledger'!$A:$A,'Orders Ledger'!$G:$G,""))</f>
        <v>High-Risk Country Proxy</v>
      </c>
      <c r="E178" t="str">
        <f>IF(B178="","",_xlfn.XLOOKUP(B178,'Orders Ledger'!$A:$A,'Orders Ledger'!$H:$H,""))</f>
        <v>Bot_Server</v>
      </c>
      <c r="F178" t="str">
        <f>IF(B178="","",_xlfn.XLOOKUP(B178,'Orders Ledger'!$A:$A,'Orders Ledger'!$F:$F,""))</f>
        <v>Stolen_Card_Sim</v>
      </c>
      <c r="G178">
        <f>IF(B178="","",_xlfn.XLOOKUP(B178,'Orders Ledger'!$A:$A,'Orders Ledger'!$N:$N,0))</f>
        <v>30.84</v>
      </c>
    </row>
    <row r="179" spans="2:7" x14ac:dyDescent="0.3">
      <c r="B179" t="str">
        <f t="array" ref="B179">IFERROR(INDEX('Orders Ledger'!$A$2:$A$1501, SMALL(IF(('Orders Ledger'!$J$2:$J$1501="disputed")+('Orders Ledger'!$J$2:$J$1501="PENDING_REVIEW"), ROW('Orders Ledger'!$A$2:$A$1501)-ROW('Orders Ledger'!$A$2)+1), ROW(121:121))), "")</f>
        <v>ORD100511</v>
      </c>
      <c r="C179" s="11" t="str">
        <f>IF(B179="","",_xlfn.XLOOKUP(B179,'Orders Ledger'!$A:$A,'Orders Ledger'!$B:$B,""))</f>
        <v>CUST-1188</v>
      </c>
      <c r="D179" t="str">
        <f>IF(B179="","",_xlfn.XLOOKUP(B179,'Orders Ledger'!$A:$A,'Orders Ledger'!$G:$G,""))</f>
        <v>Unknown Blacklisted Zone</v>
      </c>
      <c r="E179" t="str">
        <f>IF(B179="","",_xlfn.XLOOKUP(B179,'Orders Ledger'!$A:$A,'Orders Ledger'!$H:$H,""))</f>
        <v>Mobile_Emulator</v>
      </c>
      <c r="F179" t="str">
        <f>IF(B179="","",_xlfn.XLOOKUP(B179,'Orders Ledger'!$A:$A,'Orders Ledger'!$F:$F,""))</f>
        <v>Stolen_Card_Sim</v>
      </c>
      <c r="G179">
        <f>IF(B179="","",_xlfn.XLOOKUP(B179,'Orders Ledger'!$A:$A,'Orders Ledger'!$N:$N,0))</f>
        <v>91.18</v>
      </c>
    </row>
    <row r="180" spans="2:7" x14ac:dyDescent="0.3">
      <c r="B180" t="str">
        <f t="array" ref="B180">IFERROR(INDEX('Orders Ledger'!$A$2:$A$1501, SMALL(IF(('Orders Ledger'!$J$2:$J$1501="disputed")+('Orders Ledger'!$J$2:$J$1501="PENDING_REVIEW"), ROW('Orders Ledger'!$A$2:$A$1501)-ROW('Orders Ledger'!$A$2)+1), ROW(122:122))), "")</f>
        <v>ORD100517</v>
      </c>
      <c r="C180" s="11" t="str">
        <f>IF(B180="","",_xlfn.XLOOKUP(B180,'Orders Ledger'!$A:$A,'Orders Ledger'!$B:$B,""))</f>
        <v>CUST-1119</v>
      </c>
      <c r="D180" t="str">
        <f>IF(B180="","",_xlfn.XLOOKUP(B180,'Orders Ledger'!$A:$A,'Orders Ledger'!$G:$G,""))</f>
        <v>Unknown Blacklisted Zone</v>
      </c>
      <c r="E180" t="str">
        <f>IF(B180="","",_xlfn.XLOOKUP(B180,'Orders Ledger'!$A:$A,'Orders Ledger'!$H:$H,""))</f>
        <v>Bot_Server</v>
      </c>
      <c r="F180" t="str">
        <f>IF(B180="","",_xlfn.XLOOKUP(B180,'Orders Ledger'!$A:$A,'Orders Ledger'!$F:$F,""))</f>
        <v>Crypto_Proxy</v>
      </c>
      <c r="G180">
        <f>IF(B180="","",_xlfn.XLOOKUP(B180,'Orders Ledger'!$A:$A,'Orders Ledger'!$N:$N,0))</f>
        <v>679.44</v>
      </c>
    </row>
    <row r="181" spans="2:7" x14ac:dyDescent="0.3">
      <c r="B181" t="str">
        <f t="array" ref="B181">IFERROR(INDEX('Orders Ledger'!$A$2:$A$1501, SMALL(IF(('Orders Ledger'!$J$2:$J$1501="disputed")+('Orders Ledger'!$J$2:$J$1501="PENDING_REVIEW"), ROW('Orders Ledger'!$A$2:$A$1501)-ROW('Orders Ledger'!$A$2)+1), ROW(123:123))), "")</f>
        <v>ORD100520</v>
      </c>
      <c r="C181" s="11" t="str">
        <f>IF(B181="","",_xlfn.XLOOKUP(B181,'Orders Ledger'!$A:$A,'Orders Ledger'!$B:$B,""))</f>
        <v>CUST-1287</v>
      </c>
      <c r="D181" t="str">
        <f>IF(B181="","",_xlfn.XLOOKUP(B181,'Orders Ledger'!$A:$A,'Orders Ledger'!$G:$G,""))</f>
        <v>Unknown Blacklisted Zone</v>
      </c>
      <c r="E181" t="str">
        <f>IF(B181="","",_xlfn.XLOOKUP(B181,'Orders Ledger'!$A:$A,'Orders Ledger'!$H:$H,""))</f>
        <v>Bot_Server</v>
      </c>
      <c r="F181" t="str">
        <f>IF(B181="","",_xlfn.XLOOKUP(B181,'Orders Ledger'!$A:$A,'Orders Ledger'!$F:$F,""))</f>
        <v>Digital_Wallet</v>
      </c>
      <c r="G181">
        <f>IF(B181="","",_xlfn.XLOOKUP(B181,'Orders Ledger'!$A:$A,'Orders Ledger'!$N:$N,0))</f>
        <v>1096.3900000000001</v>
      </c>
    </row>
    <row r="182" spans="2:7" x14ac:dyDescent="0.3">
      <c r="B182" t="str">
        <f t="array" ref="B182">IFERROR(INDEX('Orders Ledger'!$A$2:$A$1501, SMALL(IF(('Orders Ledger'!$J$2:$J$1501="disputed")+('Orders Ledger'!$J$2:$J$1501="PENDING_REVIEW"), ROW('Orders Ledger'!$A$2:$A$1501)-ROW('Orders Ledger'!$A$2)+1), ROW(124:124))), "")</f>
        <v>ORD100525</v>
      </c>
      <c r="C182" s="11" t="str">
        <f>IF(B182="","",_xlfn.XLOOKUP(B182,'Orders Ledger'!$A:$A,'Orders Ledger'!$B:$B,""))</f>
        <v>CUST-1154</v>
      </c>
      <c r="D182" t="str">
        <f>IF(B182="","",_xlfn.XLOOKUP(B182,'Orders Ledger'!$A:$A,'Orders Ledger'!$G:$G,""))</f>
        <v>Germany</v>
      </c>
      <c r="E182" t="str">
        <f>IF(B182="","",_xlfn.XLOOKUP(B182,'Orders Ledger'!$A:$A,'Orders Ledger'!$H:$H,""))</f>
        <v>Mobile_App</v>
      </c>
      <c r="F182" t="str">
        <f>IF(B182="","",_xlfn.XLOOKUP(B182,'Orders Ledger'!$A:$A,'Orders Ledger'!$F:$F,""))</f>
        <v>Digital_Wallet</v>
      </c>
      <c r="G182">
        <f>IF(B182="","",_xlfn.XLOOKUP(B182,'Orders Ledger'!$A:$A,'Orders Ledger'!$N:$N,0))</f>
        <v>204.37</v>
      </c>
    </row>
    <row r="183" spans="2:7" x14ac:dyDescent="0.3">
      <c r="B183" t="str">
        <f t="array" ref="B183">IFERROR(INDEX('Orders Ledger'!$A$2:$A$1501, SMALL(IF(('Orders Ledger'!$J$2:$J$1501="disputed")+('Orders Ledger'!$J$2:$J$1501="PENDING_REVIEW"), ROW('Orders Ledger'!$A$2:$A$1501)-ROW('Orders Ledger'!$A$2)+1), ROW(125:125))), "")</f>
        <v>ORD100528</v>
      </c>
      <c r="C183" s="11" t="str">
        <f>IF(B183="","",_xlfn.XLOOKUP(B183,'Orders Ledger'!$A:$A,'Orders Ledger'!$B:$B,""))</f>
        <v>CUST-1071</v>
      </c>
      <c r="D183" t="str">
        <f>IF(B183="","",_xlfn.XLOOKUP(B183,'Orders Ledger'!$A:$A,'Orders Ledger'!$G:$G,""))</f>
        <v>High-Risk Country Proxy</v>
      </c>
      <c r="E183" t="str">
        <f>IF(B183="","",_xlfn.XLOOKUP(B183,'Orders Ledger'!$A:$A,'Orders Ledger'!$H:$H,""))</f>
        <v>Desktop</v>
      </c>
      <c r="F183" t="str">
        <f>IF(B183="","",_xlfn.XLOOKUP(B183,'Orders Ledger'!$A:$A,'Orders Ledger'!$F:$F,""))</f>
        <v>Digital_Wallet</v>
      </c>
      <c r="G183">
        <f>IF(B183="","",_xlfn.XLOOKUP(B183,'Orders Ledger'!$A:$A,'Orders Ledger'!$N:$N,0))</f>
        <v>29.55</v>
      </c>
    </row>
    <row r="184" spans="2:7" x14ac:dyDescent="0.3">
      <c r="B184" t="str">
        <f t="array" ref="B184">IFERROR(INDEX('Orders Ledger'!$A$2:$A$1501, SMALL(IF(('Orders Ledger'!$J$2:$J$1501="disputed")+('Orders Ledger'!$J$2:$J$1501="PENDING_REVIEW"), ROW('Orders Ledger'!$A$2:$A$1501)-ROW('Orders Ledger'!$A$2)+1), ROW(126:126))), "")</f>
        <v>ORD100534</v>
      </c>
      <c r="C184" s="11" t="str">
        <f>IF(B184="","",_xlfn.XLOOKUP(B184,'Orders Ledger'!$A:$A,'Orders Ledger'!$B:$B,""))</f>
        <v>CUST-1049</v>
      </c>
      <c r="D184" t="str">
        <f>IF(B184="","",_xlfn.XLOOKUP(B184,'Orders Ledger'!$A:$A,'Orders Ledger'!$G:$G,""))</f>
        <v>High-Risk Country Proxy</v>
      </c>
      <c r="E184" t="str">
        <f>IF(B184="","",_xlfn.XLOOKUP(B184,'Orders Ledger'!$A:$A,'Orders Ledger'!$H:$H,""))</f>
        <v>Desktop</v>
      </c>
      <c r="F184" t="str">
        <f>IF(B184="","",_xlfn.XLOOKUP(B184,'Orders Ledger'!$A:$A,'Orders Ledger'!$F:$F,""))</f>
        <v>Stolen_Card_Sim</v>
      </c>
      <c r="G184">
        <f>IF(B184="","",_xlfn.XLOOKUP(B184,'Orders Ledger'!$A:$A,'Orders Ledger'!$N:$N,0))</f>
        <v>1109.75</v>
      </c>
    </row>
    <row r="185" spans="2:7" x14ac:dyDescent="0.3">
      <c r="B185" t="str">
        <f t="array" ref="B185">IFERROR(INDEX('Orders Ledger'!$A$2:$A$1501, SMALL(IF(('Orders Ledger'!$J$2:$J$1501="disputed")+('Orders Ledger'!$J$2:$J$1501="PENDING_REVIEW"), ROW('Orders Ledger'!$A$2:$A$1501)-ROW('Orders Ledger'!$A$2)+1), ROW(127:127))), "")</f>
        <v>ORD100535</v>
      </c>
      <c r="C185" s="11" t="str">
        <f>IF(B185="","",_xlfn.XLOOKUP(B185,'Orders Ledger'!$A:$A,'Orders Ledger'!$B:$B,""))</f>
        <v>CUST-1120</v>
      </c>
      <c r="D185" t="str">
        <f>IF(B185="","",_xlfn.XLOOKUP(B185,'Orders Ledger'!$A:$A,'Orders Ledger'!$G:$G,""))</f>
        <v>High-Risk Country Proxy</v>
      </c>
      <c r="E185" t="str">
        <f>IF(B185="","",_xlfn.XLOOKUP(B185,'Orders Ledger'!$A:$A,'Orders Ledger'!$H:$H,""))</f>
        <v>Bot_Server</v>
      </c>
      <c r="F185" t="str">
        <f>IF(B185="","",_xlfn.XLOOKUP(B185,'Orders Ledger'!$A:$A,'Orders Ledger'!$F:$F,""))</f>
        <v>Stolen_Card_Sim</v>
      </c>
      <c r="G185">
        <f>IF(B185="","",_xlfn.XLOOKUP(B185,'Orders Ledger'!$A:$A,'Orders Ledger'!$N:$N,0))</f>
        <v>75.69</v>
      </c>
    </row>
    <row r="186" spans="2:7" x14ac:dyDescent="0.3">
      <c r="B186" t="str">
        <f t="array" ref="B186">IFERROR(INDEX('Orders Ledger'!$A$2:$A$1501, SMALL(IF(('Orders Ledger'!$J$2:$J$1501="disputed")+('Orders Ledger'!$J$2:$J$1501="PENDING_REVIEW"), ROW('Orders Ledger'!$A$2:$A$1501)-ROW('Orders Ledger'!$A$2)+1), ROW(128:128))), "")</f>
        <v>ORD100543</v>
      </c>
      <c r="C186" s="11" t="str">
        <f>IF(B186="","",_xlfn.XLOOKUP(B186,'Orders Ledger'!$A:$A,'Orders Ledger'!$B:$B,""))</f>
        <v>CUST-1300</v>
      </c>
      <c r="D186" t="str">
        <f>IF(B186="","",_xlfn.XLOOKUP(B186,'Orders Ledger'!$A:$A,'Orders Ledger'!$G:$G,""))</f>
        <v>High-Risk Country Proxy</v>
      </c>
      <c r="E186" t="str">
        <f>IF(B186="","",_xlfn.XLOOKUP(B186,'Orders Ledger'!$A:$A,'Orders Ledger'!$H:$H,""))</f>
        <v>Desktop</v>
      </c>
      <c r="F186" t="str">
        <f>IF(B186="","",_xlfn.XLOOKUP(B186,'Orders Ledger'!$A:$A,'Orders Ledger'!$F:$F,""))</f>
        <v>Digital_Wallet</v>
      </c>
      <c r="G186">
        <f>IF(B186="","",_xlfn.XLOOKUP(B186,'Orders Ledger'!$A:$A,'Orders Ledger'!$N:$N,0))</f>
        <v>48.650000000000006</v>
      </c>
    </row>
    <row r="187" spans="2:7" x14ac:dyDescent="0.3">
      <c r="B187" t="str">
        <f t="array" ref="B187">IFERROR(INDEX('Orders Ledger'!$A$2:$A$1501, SMALL(IF(('Orders Ledger'!$J$2:$J$1501="disputed")+('Orders Ledger'!$J$2:$J$1501="PENDING_REVIEW"), ROW('Orders Ledger'!$A$2:$A$1501)-ROW('Orders Ledger'!$A$2)+1), ROW(129:129))), "")</f>
        <v>ORD100546</v>
      </c>
      <c r="C187" s="11" t="str">
        <f>IF(B187="","",_xlfn.XLOOKUP(B187,'Orders Ledger'!$A:$A,'Orders Ledger'!$B:$B,""))</f>
        <v>CUST-1050</v>
      </c>
      <c r="D187" t="str">
        <f>IF(B187="","",_xlfn.XLOOKUP(B187,'Orders Ledger'!$A:$A,'Orders Ledger'!$G:$G,""))</f>
        <v>Unknown Blacklisted Zone</v>
      </c>
      <c r="E187" t="str">
        <f>IF(B187="","",_xlfn.XLOOKUP(B187,'Orders Ledger'!$A:$A,'Orders Ledger'!$H:$H,""))</f>
        <v>Mobile_Emulator</v>
      </c>
      <c r="F187" t="str">
        <f>IF(B187="","",_xlfn.XLOOKUP(B187,'Orders Ledger'!$A:$A,'Orders Ledger'!$F:$F,""))</f>
        <v>Credit_Card</v>
      </c>
      <c r="G187">
        <f>IF(B187="","",_xlfn.XLOOKUP(B187,'Orders Ledger'!$A:$A,'Orders Ledger'!$N:$N,0))</f>
        <v>44.15</v>
      </c>
    </row>
    <row r="188" spans="2:7" x14ac:dyDescent="0.3">
      <c r="B188" t="str">
        <f t="array" ref="B188">IFERROR(INDEX('Orders Ledger'!$A$2:$A$1501, SMALL(IF(('Orders Ledger'!$J$2:$J$1501="disputed")+('Orders Ledger'!$J$2:$J$1501="PENDING_REVIEW"), ROW('Orders Ledger'!$A$2:$A$1501)-ROW('Orders Ledger'!$A$2)+1), ROW(130:130))), "")</f>
        <v>ORD100547</v>
      </c>
      <c r="C188" s="11" t="str">
        <f>IF(B188="","",_xlfn.XLOOKUP(B188,'Orders Ledger'!$A:$A,'Orders Ledger'!$B:$B,""))</f>
        <v>CUST-1250</v>
      </c>
      <c r="D188" t="str">
        <f>IF(B188="","",_xlfn.XLOOKUP(B188,'Orders Ledger'!$A:$A,'Orders Ledger'!$G:$G,""))</f>
        <v>Germany</v>
      </c>
      <c r="E188" t="str">
        <f>IF(B188="","",_xlfn.XLOOKUP(B188,'Orders Ledger'!$A:$A,'Orders Ledger'!$H:$H,""))</f>
        <v>Bot_Server</v>
      </c>
      <c r="F188" t="str">
        <f>IF(B188="","",_xlfn.XLOOKUP(B188,'Orders Ledger'!$A:$A,'Orders Ledger'!$F:$F,""))</f>
        <v>Crypto_Proxy</v>
      </c>
      <c r="G188">
        <f>IF(B188="","",_xlfn.XLOOKUP(B188,'Orders Ledger'!$A:$A,'Orders Ledger'!$N:$N,0))</f>
        <v>640.54999999999995</v>
      </c>
    </row>
    <row r="189" spans="2:7" x14ac:dyDescent="0.3">
      <c r="B189" t="str">
        <f t="array" ref="B189">IFERROR(INDEX('Orders Ledger'!$A$2:$A$1501, SMALL(IF(('Orders Ledger'!$J$2:$J$1501="disputed")+('Orders Ledger'!$J$2:$J$1501="PENDING_REVIEW"), ROW('Orders Ledger'!$A$2:$A$1501)-ROW('Orders Ledger'!$A$2)+1), ROW(131:131))), "")</f>
        <v>ORD100554</v>
      </c>
      <c r="C189" s="11" t="str">
        <f>IF(B189="","",_xlfn.XLOOKUP(B189,'Orders Ledger'!$A:$A,'Orders Ledger'!$B:$B,""))</f>
        <v>CUST-1227</v>
      </c>
      <c r="D189" t="str">
        <f>IF(B189="","",_xlfn.XLOOKUP(B189,'Orders Ledger'!$A:$A,'Orders Ledger'!$G:$G,""))</f>
        <v>United States</v>
      </c>
      <c r="E189" t="str">
        <f>IF(B189="","",_xlfn.XLOOKUP(B189,'Orders Ledger'!$A:$A,'Orders Ledger'!$H:$H,""))</f>
        <v>Bot_Server</v>
      </c>
      <c r="F189" t="str">
        <f>IF(B189="","",_xlfn.XLOOKUP(B189,'Orders Ledger'!$A:$A,'Orders Ledger'!$F:$F,""))</f>
        <v>Stolen_Card_Sim</v>
      </c>
      <c r="G189">
        <f>IF(B189="","",_xlfn.XLOOKUP(B189,'Orders Ledger'!$A:$A,'Orders Ledger'!$N:$N,0))</f>
        <v>3202.75</v>
      </c>
    </row>
    <row r="190" spans="2:7" x14ac:dyDescent="0.3">
      <c r="B190" t="str">
        <f t="array" ref="B190">IFERROR(INDEX('Orders Ledger'!$A$2:$A$1501, SMALL(IF(('Orders Ledger'!$J$2:$J$1501="disputed")+('Orders Ledger'!$J$2:$J$1501="PENDING_REVIEW"), ROW('Orders Ledger'!$A$2:$A$1501)-ROW('Orders Ledger'!$A$2)+1), ROW(132:132))), "")</f>
        <v>ORD100555</v>
      </c>
      <c r="C190" s="11" t="str">
        <f>IF(B190="","",_xlfn.XLOOKUP(B190,'Orders Ledger'!$A:$A,'Orders Ledger'!$B:$B,""))</f>
        <v>CUST-1120</v>
      </c>
      <c r="D190" t="str">
        <f>IF(B190="","",_xlfn.XLOOKUP(B190,'Orders Ledger'!$A:$A,'Orders Ledger'!$G:$G,""))</f>
        <v>High-Risk Country Proxy</v>
      </c>
      <c r="E190" t="str">
        <f>IF(B190="","",_xlfn.XLOOKUP(B190,'Orders Ledger'!$A:$A,'Orders Ledger'!$H:$H,""))</f>
        <v>Desktop</v>
      </c>
      <c r="F190" t="str">
        <f>IF(B190="","",_xlfn.XLOOKUP(B190,'Orders Ledger'!$A:$A,'Orders Ledger'!$F:$F,""))</f>
        <v>Digital_Wallet</v>
      </c>
      <c r="G190">
        <f>IF(B190="","",_xlfn.XLOOKUP(B190,'Orders Ledger'!$A:$A,'Orders Ledger'!$N:$N,0))</f>
        <v>179.22</v>
      </c>
    </row>
    <row r="191" spans="2:7" x14ac:dyDescent="0.3">
      <c r="B191" t="str">
        <f t="array" ref="B191">IFERROR(INDEX('Orders Ledger'!$A$2:$A$1501, SMALL(IF(('Orders Ledger'!$J$2:$J$1501="disputed")+('Orders Ledger'!$J$2:$J$1501="PENDING_REVIEW"), ROW('Orders Ledger'!$A$2:$A$1501)-ROW('Orders Ledger'!$A$2)+1), ROW(133:133))), "")</f>
        <v>ORD100558</v>
      </c>
      <c r="C191" s="11" t="str">
        <f>IF(B191="","",_xlfn.XLOOKUP(B191,'Orders Ledger'!$A:$A,'Orders Ledger'!$B:$B,""))</f>
        <v>CUST-1188</v>
      </c>
      <c r="D191" t="str">
        <f>IF(B191="","",_xlfn.XLOOKUP(B191,'Orders Ledger'!$A:$A,'Orders Ledger'!$G:$G,""))</f>
        <v>Unknown Blacklisted Zone</v>
      </c>
      <c r="E191" t="str">
        <f>IF(B191="","",_xlfn.XLOOKUP(B191,'Orders Ledger'!$A:$A,'Orders Ledger'!$H:$H,""))</f>
        <v>Bot_Server</v>
      </c>
      <c r="F191" t="str">
        <f>IF(B191="","",_xlfn.XLOOKUP(B191,'Orders Ledger'!$A:$A,'Orders Ledger'!$F:$F,""))</f>
        <v>Crypto_Proxy</v>
      </c>
      <c r="G191">
        <f>IF(B191="","",_xlfn.XLOOKUP(B191,'Orders Ledger'!$A:$A,'Orders Ledger'!$N:$N,0))</f>
        <v>812.25</v>
      </c>
    </row>
    <row r="192" spans="2:7" x14ac:dyDescent="0.3">
      <c r="B192" t="str">
        <f t="array" ref="B192">IFERROR(INDEX('Orders Ledger'!$A$2:$A$1501, SMALL(IF(('Orders Ledger'!$J$2:$J$1501="disputed")+('Orders Ledger'!$J$2:$J$1501="PENDING_REVIEW"), ROW('Orders Ledger'!$A$2:$A$1501)-ROW('Orders Ledger'!$A$2)+1), ROW(134:134))), "")</f>
        <v>ORD100562</v>
      </c>
      <c r="C192" s="11" t="str">
        <f>IF(B192="","",_xlfn.XLOOKUP(B192,'Orders Ledger'!$A:$A,'Orders Ledger'!$B:$B,""))</f>
        <v>CUST-1203</v>
      </c>
      <c r="D192" t="str">
        <f>IF(B192="","",_xlfn.XLOOKUP(B192,'Orders Ledger'!$A:$A,'Orders Ledger'!$G:$G,""))</f>
        <v>United States</v>
      </c>
      <c r="E192" t="str">
        <f>IF(B192="","",_xlfn.XLOOKUP(B192,'Orders Ledger'!$A:$A,'Orders Ledger'!$H:$H,""))</f>
        <v>Desktop</v>
      </c>
      <c r="F192" t="str">
        <f>IF(B192="","",_xlfn.XLOOKUP(B192,'Orders Ledger'!$A:$A,'Orders Ledger'!$F:$F,""))</f>
        <v>Digital_Wallet</v>
      </c>
      <c r="G192">
        <f>IF(B192="","",_xlfn.XLOOKUP(B192,'Orders Ledger'!$A:$A,'Orders Ledger'!$N:$N,0))</f>
        <v>18.87</v>
      </c>
    </row>
    <row r="193" spans="2:7" x14ac:dyDescent="0.3">
      <c r="B193" t="str">
        <f t="array" ref="B193">IFERROR(INDEX('Orders Ledger'!$A$2:$A$1501, SMALL(IF(('Orders Ledger'!$J$2:$J$1501="disputed")+('Orders Ledger'!$J$2:$J$1501="PENDING_REVIEW"), ROW('Orders Ledger'!$A$2:$A$1501)-ROW('Orders Ledger'!$A$2)+1), ROW(135:135))), "")</f>
        <v>ORD100563</v>
      </c>
      <c r="C193" s="11" t="str">
        <f>IF(B193="","",_xlfn.XLOOKUP(B193,'Orders Ledger'!$A:$A,'Orders Ledger'!$B:$B,""))</f>
        <v>CUST-1141</v>
      </c>
      <c r="D193" t="str">
        <f>IF(B193="","",_xlfn.XLOOKUP(B193,'Orders Ledger'!$A:$A,'Orders Ledger'!$G:$G,""))</f>
        <v>Canada</v>
      </c>
      <c r="E193" t="str">
        <f>IF(B193="","",_xlfn.XLOOKUP(B193,'Orders Ledger'!$A:$A,'Orders Ledger'!$H:$H,""))</f>
        <v>Mobile_App</v>
      </c>
      <c r="F193" t="str">
        <f>IF(B193="","",_xlfn.XLOOKUP(B193,'Orders Ledger'!$A:$A,'Orders Ledger'!$F:$F,""))</f>
        <v>Bank_Transfer</v>
      </c>
      <c r="G193">
        <f>IF(B193="","",_xlfn.XLOOKUP(B193,'Orders Ledger'!$A:$A,'Orders Ledger'!$N:$N,0))</f>
        <v>94.55</v>
      </c>
    </row>
    <row r="194" spans="2:7" x14ac:dyDescent="0.3">
      <c r="B194" t="str">
        <f t="array" ref="B194">IFERROR(INDEX('Orders Ledger'!$A$2:$A$1501, SMALL(IF(('Orders Ledger'!$J$2:$J$1501="disputed")+('Orders Ledger'!$J$2:$J$1501="PENDING_REVIEW"), ROW('Orders Ledger'!$A$2:$A$1501)-ROW('Orders Ledger'!$A$2)+1), ROW(136:136))), "")</f>
        <v>ORD100565</v>
      </c>
      <c r="C194" s="11" t="str">
        <f>IF(B194="","",_xlfn.XLOOKUP(B194,'Orders Ledger'!$A:$A,'Orders Ledger'!$B:$B,""))</f>
        <v>CUST-1062</v>
      </c>
      <c r="D194" t="str">
        <f>IF(B194="","",_xlfn.XLOOKUP(B194,'Orders Ledger'!$A:$A,'Orders Ledger'!$G:$G,""))</f>
        <v>High-Risk Country Proxy</v>
      </c>
      <c r="E194" t="str">
        <f>IF(B194="","",_xlfn.XLOOKUP(B194,'Orders Ledger'!$A:$A,'Orders Ledger'!$H:$H,""))</f>
        <v>Desktop</v>
      </c>
      <c r="F194" t="str">
        <f>IF(B194="","",_xlfn.XLOOKUP(B194,'Orders Ledger'!$A:$A,'Orders Ledger'!$F:$F,""))</f>
        <v>Stolen_Card_Sim</v>
      </c>
      <c r="G194">
        <f>IF(B194="","",_xlfn.XLOOKUP(B194,'Orders Ledger'!$A:$A,'Orders Ledger'!$N:$N,0))</f>
        <v>83.65</v>
      </c>
    </row>
    <row r="195" spans="2:7" x14ac:dyDescent="0.3">
      <c r="B195" t="str">
        <f t="array" ref="B195">IFERROR(INDEX('Orders Ledger'!$A$2:$A$1501, SMALL(IF(('Orders Ledger'!$J$2:$J$1501="disputed")+('Orders Ledger'!$J$2:$J$1501="PENDING_REVIEW"), ROW('Orders Ledger'!$A$2:$A$1501)-ROW('Orders Ledger'!$A$2)+1), ROW(137:137))), "")</f>
        <v>ORD100573</v>
      </c>
      <c r="C195" s="11" t="str">
        <f>IF(B195="","",_xlfn.XLOOKUP(B195,'Orders Ledger'!$A:$A,'Orders Ledger'!$B:$B,""))</f>
        <v>CUST-1064</v>
      </c>
      <c r="D195" t="str">
        <f>IF(B195="","",_xlfn.XLOOKUP(B195,'Orders Ledger'!$A:$A,'Orders Ledger'!$G:$G,""))</f>
        <v>Germany</v>
      </c>
      <c r="E195" t="str">
        <f>IF(B195="","",_xlfn.XLOOKUP(B195,'Orders Ledger'!$A:$A,'Orders Ledger'!$H:$H,""))</f>
        <v>Mobile_Web</v>
      </c>
      <c r="F195" t="str">
        <f>IF(B195="","",_xlfn.XLOOKUP(B195,'Orders Ledger'!$A:$A,'Orders Ledger'!$F:$F,""))</f>
        <v>Credit_Card</v>
      </c>
      <c r="G195">
        <f>IF(B195="","",_xlfn.XLOOKUP(B195,'Orders Ledger'!$A:$A,'Orders Ledger'!$N:$N,0))</f>
        <v>162.44999999999999</v>
      </c>
    </row>
    <row r="196" spans="2:7" x14ac:dyDescent="0.3">
      <c r="B196" t="str">
        <f t="array" ref="B196">IFERROR(INDEX('Orders Ledger'!$A$2:$A$1501, SMALL(IF(('Orders Ledger'!$J$2:$J$1501="disputed")+('Orders Ledger'!$J$2:$J$1501="PENDING_REVIEW"), ROW('Orders Ledger'!$A$2:$A$1501)-ROW('Orders Ledger'!$A$2)+1), ROW(138:138))), "")</f>
        <v>ORD100574</v>
      </c>
      <c r="C196" s="11" t="str">
        <f>IF(B196="","",_xlfn.XLOOKUP(B196,'Orders Ledger'!$A:$A,'Orders Ledger'!$B:$B,""))</f>
        <v>CUST-1289</v>
      </c>
      <c r="D196" t="str">
        <f>IF(B196="","",_xlfn.XLOOKUP(B196,'Orders Ledger'!$A:$A,'Orders Ledger'!$G:$G,""))</f>
        <v>Unknown Blacklisted Zone</v>
      </c>
      <c r="E196" t="str">
        <f>IF(B196="","",_xlfn.XLOOKUP(B196,'Orders Ledger'!$A:$A,'Orders Ledger'!$H:$H,""))</f>
        <v>Bot_Server</v>
      </c>
      <c r="F196" t="str">
        <f>IF(B196="","",_xlfn.XLOOKUP(B196,'Orders Ledger'!$A:$A,'Orders Ledger'!$F:$F,""))</f>
        <v>Stolen_Card_Sim</v>
      </c>
      <c r="G196">
        <f>IF(B196="","",_xlfn.XLOOKUP(B196,'Orders Ledger'!$A:$A,'Orders Ledger'!$N:$N,0))</f>
        <v>1599.08</v>
      </c>
    </row>
    <row r="197" spans="2:7" x14ac:dyDescent="0.3">
      <c r="B197" t="str">
        <f t="array" ref="B197">IFERROR(INDEX('Orders Ledger'!$A$2:$A$1501, SMALL(IF(('Orders Ledger'!$J$2:$J$1501="disputed")+('Orders Ledger'!$J$2:$J$1501="PENDING_REVIEW"), ROW('Orders Ledger'!$A$2:$A$1501)-ROW('Orders Ledger'!$A$2)+1), ROW(139:139))), "")</f>
        <v>ORD100575</v>
      </c>
      <c r="C197" s="11" t="str">
        <f>IF(B197="","",_xlfn.XLOOKUP(B197,'Orders Ledger'!$A:$A,'Orders Ledger'!$B:$B,""))</f>
        <v>CUST-1105</v>
      </c>
      <c r="D197" t="str">
        <f>IF(B197="","",_xlfn.XLOOKUP(B197,'Orders Ledger'!$A:$A,'Orders Ledger'!$G:$G,""))</f>
        <v>Germany</v>
      </c>
      <c r="E197" t="str">
        <f>IF(B197="","",_xlfn.XLOOKUP(B197,'Orders Ledger'!$A:$A,'Orders Ledger'!$H:$H,""))</f>
        <v>Mobile_Emulator</v>
      </c>
      <c r="F197" t="str">
        <f>IF(B197="","",_xlfn.XLOOKUP(B197,'Orders Ledger'!$A:$A,'Orders Ledger'!$F:$F,""))</f>
        <v>Stolen_Card_Sim</v>
      </c>
      <c r="G197">
        <f>IF(B197="","",_xlfn.XLOOKUP(B197,'Orders Ledger'!$A:$A,'Orders Ledger'!$N:$N,0))</f>
        <v>8050</v>
      </c>
    </row>
    <row r="198" spans="2:7" x14ac:dyDescent="0.3">
      <c r="B198" t="str">
        <f t="array" ref="B198">IFERROR(INDEX('Orders Ledger'!$A$2:$A$1501, SMALL(IF(('Orders Ledger'!$J$2:$J$1501="disputed")+('Orders Ledger'!$J$2:$J$1501="PENDING_REVIEW"), ROW('Orders Ledger'!$A$2:$A$1501)-ROW('Orders Ledger'!$A$2)+1), ROW(140:140))), "")</f>
        <v>ORD100581</v>
      </c>
      <c r="C198" s="11" t="str">
        <f>IF(B198="","",_xlfn.XLOOKUP(B198,'Orders Ledger'!$A:$A,'Orders Ledger'!$B:$B,""))</f>
        <v>CUST-1119</v>
      </c>
      <c r="D198" t="str">
        <f>IF(B198="","",_xlfn.XLOOKUP(B198,'Orders Ledger'!$A:$A,'Orders Ledger'!$G:$G,""))</f>
        <v>United Kingdom</v>
      </c>
      <c r="E198" t="str">
        <f>IF(B198="","",_xlfn.XLOOKUP(B198,'Orders Ledger'!$A:$A,'Orders Ledger'!$H:$H,""))</f>
        <v>Desktop</v>
      </c>
      <c r="F198" t="str">
        <f>IF(B198="","",_xlfn.XLOOKUP(B198,'Orders Ledger'!$A:$A,'Orders Ledger'!$F:$F,""))</f>
        <v>Credit_Card</v>
      </c>
      <c r="G198">
        <f>IF(B198="","",_xlfn.XLOOKUP(B198,'Orders Ledger'!$A:$A,'Orders Ledger'!$N:$N,0))</f>
        <v>204.89</v>
      </c>
    </row>
    <row r="199" spans="2:7" x14ac:dyDescent="0.3">
      <c r="B199" t="str">
        <f t="array" ref="B199">IFERROR(INDEX('Orders Ledger'!$A$2:$A$1501, SMALL(IF(('Orders Ledger'!$J$2:$J$1501="disputed")+('Orders Ledger'!$J$2:$J$1501="PENDING_REVIEW"), ROW('Orders Ledger'!$A$2:$A$1501)-ROW('Orders Ledger'!$A$2)+1), ROW(141:141))), "")</f>
        <v>ORD100583</v>
      </c>
      <c r="C199" s="11" t="str">
        <f>IF(B199="","",_xlfn.XLOOKUP(B199,'Orders Ledger'!$A:$A,'Orders Ledger'!$B:$B,""))</f>
        <v>CUST-1075</v>
      </c>
      <c r="D199" t="str">
        <f>IF(B199="","",_xlfn.XLOOKUP(B199,'Orders Ledger'!$A:$A,'Orders Ledger'!$G:$G,""))</f>
        <v>High-Risk Country Proxy</v>
      </c>
      <c r="E199" t="str">
        <f>IF(B199="","",_xlfn.XLOOKUP(B199,'Orders Ledger'!$A:$A,'Orders Ledger'!$H:$H,""))</f>
        <v>Desktop</v>
      </c>
      <c r="F199" t="str">
        <f>IF(B199="","",_xlfn.XLOOKUP(B199,'Orders Ledger'!$A:$A,'Orders Ledger'!$F:$F,""))</f>
        <v>Crypto_Proxy</v>
      </c>
      <c r="G199">
        <f>IF(B199="","",_xlfn.XLOOKUP(B199,'Orders Ledger'!$A:$A,'Orders Ledger'!$N:$N,0))</f>
        <v>40.94</v>
      </c>
    </row>
    <row r="200" spans="2:7" x14ac:dyDescent="0.3">
      <c r="B200" t="str">
        <f t="array" ref="B200">IFERROR(INDEX('Orders Ledger'!$A$2:$A$1501, SMALL(IF(('Orders Ledger'!$J$2:$J$1501="disputed")+('Orders Ledger'!$J$2:$J$1501="PENDING_REVIEW"), ROW('Orders Ledger'!$A$2:$A$1501)-ROW('Orders Ledger'!$A$2)+1), ROW(142:142))), "")</f>
        <v>ORD100586</v>
      </c>
      <c r="C200" s="11" t="str">
        <f>IF(B200="","",_xlfn.XLOOKUP(B200,'Orders Ledger'!$A:$A,'Orders Ledger'!$B:$B,""))</f>
        <v>CUST-1074</v>
      </c>
      <c r="D200" t="str">
        <f>IF(B200="","",_xlfn.XLOOKUP(B200,'Orders Ledger'!$A:$A,'Orders Ledger'!$G:$G,""))</f>
        <v>High-Risk Country Proxy</v>
      </c>
      <c r="E200" t="str">
        <f>IF(B200="","",_xlfn.XLOOKUP(B200,'Orders Ledger'!$A:$A,'Orders Ledger'!$H:$H,""))</f>
        <v>Mobile_Emulator</v>
      </c>
      <c r="F200" t="str">
        <f>IF(B200="","",_xlfn.XLOOKUP(B200,'Orders Ledger'!$A:$A,'Orders Ledger'!$F:$F,""))</f>
        <v>Crypto_Proxy</v>
      </c>
      <c r="G200">
        <f>IF(B200="","",_xlfn.XLOOKUP(B200,'Orders Ledger'!$A:$A,'Orders Ledger'!$N:$N,0))</f>
        <v>123.36</v>
      </c>
    </row>
    <row r="201" spans="2:7" x14ac:dyDescent="0.3">
      <c r="B201" t="str">
        <f t="array" ref="B201">IFERROR(INDEX('Orders Ledger'!$A$2:$A$1501, SMALL(IF(('Orders Ledger'!$J$2:$J$1501="disputed")+('Orders Ledger'!$J$2:$J$1501="PENDING_REVIEW"), ROW('Orders Ledger'!$A$2:$A$1501)-ROW('Orders Ledger'!$A$2)+1), ROW(143:143))), "")</f>
        <v>ORD100596</v>
      </c>
      <c r="C201" s="11" t="str">
        <f>IF(B201="","",_xlfn.XLOOKUP(B201,'Orders Ledger'!$A:$A,'Orders Ledger'!$B:$B,""))</f>
        <v>CUST-1121</v>
      </c>
      <c r="D201" t="str">
        <f>IF(B201="","",_xlfn.XLOOKUP(B201,'Orders Ledger'!$A:$A,'Orders Ledger'!$G:$G,""))</f>
        <v>Germany</v>
      </c>
      <c r="E201" t="str">
        <f>IF(B201="","",_xlfn.XLOOKUP(B201,'Orders Ledger'!$A:$A,'Orders Ledger'!$H:$H,""))</f>
        <v>Mobile_Web</v>
      </c>
      <c r="F201" t="str">
        <f>IF(B201="","",_xlfn.XLOOKUP(B201,'Orders Ledger'!$A:$A,'Orders Ledger'!$F:$F,""))</f>
        <v>Credit_Card</v>
      </c>
      <c r="G201">
        <f>IF(B201="","",_xlfn.XLOOKUP(B201,'Orders Ledger'!$A:$A,'Orders Ledger'!$N:$N,0))</f>
        <v>21.11</v>
      </c>
    </row>
    <row r="202" spans="2:7" x14ac:dyDescent="0.3">
      <c r="B202" t="str">
        <f t="array" ref="B202">IFERROR(INDEX('Orders Ledger'!$A$2:$A$1501, SMALL(IF(('Orders Ledger'!$J$2:$J$1501="disputed")+('Orders Ledger'!$J$2:$J$1501="PENDING_REVIEW"), ROW('Orders Ledger'!$A$2:$A$1501)-ROW('Orders Ledger'!$A$2)+1), ROW(144:144))), "")</f>
        <v>ORD100597</v>
      </c>
      <c r="C202" s="11" t="str">
        <f>IF(B202="","",_xlfn.XLOOKUP(B202,'Orders Ledger'!$A:$A,'Orders Ledger'!$B:$B,""))</f>
        <v>CUST-1165</v>
      </c>
      <c r="D202" t="str">
        <f>IF(B202="","",_xlfn.XLOOKUP(B202,'Orders Ledger'!$A:$A,'Orders Ledger'!$G:$G,""))</f>
        <v>Canada</v>
      </c>
      <c r="E202" t="str">
        <f>IF(B202="","",_xlfn.XLOOKUP(B202,'Orders Ledger'!$A:$A,'Orders Ledger'!$H:$H,""))</f>
        <v>Mobile_Emulator</v>
      </c>
      <c r="F202" t="str">
        <f>IF(B202="","",_xlfn.XLOOKUP(B202,'Orders Ledger'!$A:$A,'Orders Ledger'!$F:$F,""))</f>
        <v>Credit_Card</v>
      </c>
      <c r="G202">
        <f>IF(B202="","",_xlfn.XLOOKUP(B202,'Orders Ledger'!$A:$A,'Orders Ledger'!$N:$N,0))</f>
        <v>4262.3500000000004</v>
      </c>
    </row>
    <row r="203" spans="2:7" x14ac:dyDescent="0.3">
      <c r="B203" t="str">
        <f t="array" ref="B203">IFERROR(INDEX('Orders Ledger'!$A$2:$A$1501, SMALL(IF(('Orders Ledger'!$J$2:$J$1501="disputed")+('Orders Ledger'!$J$2:$J$1501="PENDING_REVIEW"), ROW('Orders Ledger'!$A$2:$A$1501)-ROW('Orders Ledger'!$A$2)+1), ROW(145:145))), "")</f>
        <v>ORD100599</v>
      </c>
      <c r="C203" s="11" t="str">
        <f>IF(B203="","",_xlfn.XLOOKUP(B203,'Orders Ledger'!$A:$A,'Orders Ledger'!$B:$B,""))</f>
        <v>CUST-1089</v>
      </c>
      <c r="D203" t="str">
        <f>IF(B203="","",_xlfn.XLOOKUP(B203,'Orders Ledger'!$A:$A,'Orders Ledger'!$G:$G,""))</f>
        <v>Unknown Blacklisted Zone</v>
      </c>
      <c r="E203" t="str">
        <f>IF(B203="","",_xlfn.XLOOKUP(B203,'Orders Ledger'!$A:$A,'Orders Ledger'!$H:$H,""))</f>
        <v>Desktop</v>
      </c>
      <c r="F203" t="str">
        <f>IF(B203="","",_xlfn.XLOOKUP(B203,'Orders Ledger'!$A:$A,'Orders Ledger'!$F:$F,""))</f>
        <v>Digital_Wallet</v>
      </c>
      <c r="G203">
        <f>IF(B203="","",_xlfn.XLOOKUP(B203,'Orders Ledger'!$A:$A,'Orders Ledger'!$N:$N,0))</f>
        <v>150.39999999999998</v>
      </c>
    </row>
    <row r="204" spans="2:7" x14ac:dyDescent="0.3">
      <c r="B204" t="str">
        <f t="array" ref="B204">IFERROR(INDEX('Orders Ledger'!$A$2:$A$1501, SMALL(IF(('Orders Ledger'!$J$2:$J$1501="disputed")+('Orders Ledger'!$J$2:$J$1501="PENDING_REVIEW"), ROW('Orders Ledger'!$A$2:$A$1501)-ROW('Orders Ledger'!$A$2)+1), ROW(146:146))), "")</f>
        <v>ORD100604</v>
      </c>
      <c r="C204" s="11" t="str">
        <f>IF(B204="","",_xlfn.XLOOKUP(B204,'Orders Ledger'!$A:$A,'Orders Ledger'!$B:$B,""))</f>
        <v>CUST-1269</v>
      </c>
      <c r="D204" t="str">
        <f>IF(B204="","",_xlfn.XLOOKUP(B204,'Orders Ledger'!$A:$A,'Orders Ledger'!$G:$G,""))</f>
        <v>Unknown Blacklisted Zone</v>
      </c>
      <c r="E204" t="str">
        <f>IF(B204="","",_xlfn.XLOOKUP(B204,'Orders Ledger'!$A:$A,'Orders Ledger'!$H:$H,""))</f>
        <v>Desktop</v>
      </c>
      <c r="F204" t="str">
        <f>IF(B204="","",_xlfn.XLOOKUP(B204,'Orders Ledger'!$A:$A,'Orders Ledger'!$F:$F,""))</f>
        <v>Credit_Card</v>
      </c>
      <c r="G204">
        <f>IF(B204="","",_xlfn.XLOOKUP(B204,'Orders Ledger'!$A:$A,'Orders Ledger'!$N:$N,0))</f>
        <v>13.96</v>
      </c>
    </row>
    <row r="205" spans="2:7" x14ac:dyDescent="0.3">
      <c r="B205" t="str">
        <f t="array" ref="B205">IFERROR(INDEX('Orders Ledger'!$A$2:$A$1501, SMALL(IF(('Orders Ledger'!$J$2:$J$1501="disputed")+('Orders Ledger'!$J$2:$J$1501="PENDING_REVIEW"), ROW('Orders Ledger'!$A$2:$A$1501)-ROW('Orders Ledger'!$A$2)+1), ROW(147:147))), "")</f>
        <v>ORD100635</v>
      </c>
      <c r="C205" s="11" t="str">
        <f>IF(B205="","",_xlfn.XLOOKUP(B205,'Orders Ledger'!$A:$A,'Orders Ledger'!$B:$B,""))</f>
        <v>CUST-1280</v>
      </c>
      <c r="D205" t="str">
        <f>IF(B205="","",_xlfn.XLOOKUP(B205,'Orders Ledger'!$A:$A,'Orders Ledger'!$G:$G,""))</f>
        <v>High-Risk Country Proxy</v>
      </c>
      <c r="E205" t="str">
        <f>IF(B205="","",_xlfn.XLOOKUP(B205,'Orders Ledger'!$A:$A,'Orders Ledger'!$H:$H,""))</f>
        <v>Desktop</v>
      </c>
      <c r="F205" t="str">
        <f>IF(B205="","",_xlfn.XLOOKUP(B205,'Orders Ledger'!$A:$A,'Orders Ledger'!$F:$F,""))</f>
        <v>Digital_Wallet</v>
      </c>
      <c r="G205">
        <f>IF(B205="","",_xlfn.XLOOKUP(B205,'Orders Ledger'!$A:$A,'Orders Ledger'!$N:$N,0))</f>
        <v>79.23</v>
      </c>
    </row>
    <row r="206" spans="2:7" x14ac:dyDescent="0.3">
      <c r="B206" t="str">
        <f t="array" ref="B206">IFERROR(INDEX('Orders Ledger'!$A$2:$A$1501, SMALL(IF(('Orders Ledger'!$J$2:$J$1501="disputed")+('Orders Ledger'!$J$2:$J$1501="PENDING_REVIEW"), ROW('Orders Ledger'!$A$2:$A$1501)-ROW('Orders Ledger'!$A$2)+1), ROW(148:148))), "")</f>
        <v>ORD100636</v>
      </c>
      <c r="C206" s="11" t="str">
        <f>IF(B206="","",_xlfn.XLOOKUP(B206,'Orders Ledger'!$A:$A,'Orders Ledger'!$B:$B,""))</f>
        <v>CUST-1166</v>
      </c>
      <c r="D206" t="str">
        <f>IF(B206="","",_xlfn.XLOOKUP(B206,'Orders Ledger'!$A:$A,'Orders Ledger'!$G:$G,""))</f>
        <v>United States</v>
      </c>
      <c r="E206" t="str">
        <f>IF(B206="","",_xlfn.XLOOKUP(B206,'Orders Ledger'!$A:$A,'Orders Ledger'!$H:$H,""))</f>
        <v>Mobile_Emulator</v>
      </c>
      <c r="F206" t="str">
        <f>IF(B206="","",_xlfn.XLOOKUP(B206,'Orders Ledger'!$A:$A,'Orders Ledger'!$F:$F,""))</f>
        <v>Stolen_Card_Sim</v>
      </c>
      <c r="G206">
        <f>IF(B206="","",_xlfn.XLOOKUP(B206,'Orders Ledger'!$A:$A,'Orders Ledger'!$N:$N,0))</f>
        <v>9346.7199999999993</v>
      </c>
    </row>
    <row r="207" spans="2:7" x14ac:dyDescent="0.3">
      <c r="B207" t="str">
        <f t="array" ref="B207">IFERROR(INDEX('Orders Ledger'!$A$2:$A$1501, SMALL(IF(('Orders Ledger'!$J$2:$J$1501="disputed")+('Orders Ledger'!$J$2:$J$1501="PENDING_REVIEW"), ROW('Orders Ledger'!$A$2:$A$1501)-ROW('Orders Ledger'!$A$2)+1), ROW(149:149))), "")</f>
        <v>ORD100638</v>
      </c>
      <c r="C207" s="11" t="str">
        <f>IF(B207="","",_xlfn.XLOOKUP(B207,'Orders Ledger'!$A:$A,'Orders Ledger'!$B:$B,""))</f>
        <v>CUST-1271</v>
      </c>
      <c r="D207" t="str">
        <f>IF(B207="","",_xlfn.XLOOKUP(B207,'Orders Ledger'!$A:$A,'Orders Ledger'!$G:$G,""))</f>
        <v>High-Risk Country Proxy</v>
      </c>
      <c r="E207" t="str">
        <f>IF(B207="","",_xlfn.XLOOKUP(B207,'Orders Ledger'!$A:$A,'Orders Ledger'!$H:$H,""))</f>
        <v>Mobile_Emulator</v>
      </c>
      <c r="F207" t="str">
        <f>IF(B207="","",_xlfn.XLOOKUP(B207,'Orders Ledger'!$A:$A,'Orders Ledger'!$F:$F,""))</f>
        <v>Stolen_Card_Sim</v>
      </c>
      <c r="G207">
        <f>IF(B207="","",_xlfn.XLOOKUP(B207,'Orders Ledger'!$A:$A,'Orders Ledger'!$N:$N,0))</f>
        <v>2125.6999999999998</v>
      </c>
    </row>
    <row r="208" spans="2:7" x14ac:dyDescent="0.3">
      <c r="B208" t="str">
        <f t="array" ref="B208">IFERROR(INDEX('Orders Ledger'!$A$2:$A$1501, SMALL(IF(('Orders Ledger'!$J$2:$J$1501="disputed")+('Orders Ledger'!$J$2:$J$1501="PENDING_REVIEW"), ROW('Orders Ledger'!$A$2:$A$1501)-ROW('Orders Ledger'!$A$2)+1), ROW(150:150))), "")</f>
        <v>ORD100650</v>
      </c>
      <c r="C208" s="11" t="str">
        <f>IF(B208="","",_xlfn.XLOOKUP(B208,'Orders Ledger'!$A:$A,'Orders Ledger'!$B:$B,""))</f>
        <v>CUST-1211</v>
      </c>
      <c r="D208" t="str">
        <f>IF(B208="","",_xlfn.XLOOKUP(B208,'Orders Ledger'!$A:$A,'Orders Ledger'!$G:$G,""))</f>
        <v>Unknown Blacklisted Zone</v>
      </c>
      <c r="E208" t="str">
        <f>IF(B208="","",_xlfn.XLOOKUP(B208,'Orders Ledger'!$A:$A,'Orders Ledger'!$H:$H,""))</f>
        <v>Mobile_Emulator</v>
      </c>
      <c r="F208" t="str">
        <f>IF(B208="","",_xlfn.XLOOKUP(B208,'Orders Ledger'!$A:$A,'Orders Ledger'!$F:$F,""))</f>
        <v>Crypto_Proxy</v>
      </c>
      <c r="G208">
        <f>IF(B208="","",_xlfn.XLOOKUP(B208,'Orders Ledger'!$A:$A,'Orders Ledger'!$N:$N,0))</f>
        <v>45.95</v>
      </c>
    </row>
    <row r="209" spans="2:7" x14ac:dyDescent="0.3">
      <c r="B209" t="str">
        <f t="array" ref="B209">IFERROR(INDEX('Orders Ledger'!$A$2:$A$1501, SMALL(IF(('Orders Ledger'!$J$2:$J$1501="disputed")+('Orders Ledger'!$J$2:$J$1501="PENDING_REVIEW"), ROW('Orders Ledger'!$A$2:$A$1501)-ROW('Orders Ledger'!$A$2)+1), ROW(151:151))), "")</f>
        <v>ORD100657</v>
      </c>
      <c r="C209" s="11" t="str">
        <f>IF(B209="","",_xlfn.XLOOKUP(B209,'Orders Ledger'!$A:$A,'Orders Ledger'!$B:$B,""))</f>
        <v>CUST-1218</v>
      </c>
      <c r="D209" t="str">
        <f>IF(B209="","",_xlfn.XLOOKUP(B209,'Orders Ledger'!$A:$A,'Orders Ledger'!$G:$G,""))</f>
        <v>Unknown Blacklisted Zone</v>
      </c>
      <c r="E209" t="str">
        <f>IF(B209="","",_xlfn.XLOOKUP(B209,'Orders Ledger'!$A:$A,'Orders Ledger'!$H:$H,""))</f>
        <v>Desktop</v>
      </c>
      <c r="F209" t="str">
        <f>IF(B209="","",_xlfn.XLOOKUP(B209,'Orders Ledger'!$A:$A,'Orders Ledger'!$F:$F,""))</f>
        <v>Credit_Card</v>
      </c>
      <c r="G209">
        <f>IF(B209="","",_xlfn.XLOOKUP(B209,'Orders Ledger'!$A:$A,'Orders Ledger'!$N:$N,0))</f>
        <v>520</v>
      </c>
    </row>
    <row r="210" spans="2:7" x14ac:dyDescent="0.3">
      <c r="B210" t="str">
        <f t="array" ref="B210">IFERROR(INDEX('Orders Ledger'!$A$2:$A$1501, SMALL(IF(('Orders Ledger'!$J$2:$J$1501="disputed")+('Orders Ledger'!$J$2:$J$1501="PENDING_REVIEW"), ROW('Orders Ledger'!$A$2:$A$1501)-ROW('Orders Ledger'!$A$2)+1), ROW(152:152))), "")</f>
        <v>ORD100658</v>
      </c>
      <c r="C210" s="11" t="str">
        <f>IF(B210="","",_xlfn.XLOOKUP(B210,'Orders Ledger'!$A:$A,'Orders Ledger'!$B:$B,""))</f>
        <v>CUST-1160</v>
      </c>
      <c r="D210" t="str">
        <f>IF(B210="","",_xlfn.XLOOKUP(B210,'Orders Ledger'!$A:$A,'Orders Ledger'!$G:$G,""))</f>
        <v>Unknown Blacklisted Zone</v>
      </c>
      <c r="E210" t="str">
        <f>IF(B210="","",_xlfn.XLOOKUP(B210,'Orders Ledger'!$A:$A,'Orders Ledger'!$H:$H,""))</f>
        <v>Desktop</v>
      </c>
      <c r="F210" t="str">
        <f>IF(B210="","",_xlfn.XLOOKUP(B210,'Orders Ledger'!$A:$A,'Orders Ledger'!$F:$F,""))</f>
        <v>Digital_Wallet</v>
      </c>
      <c r="G210">
        <f>IF(B210="","",_xlfn.XLOOKUP(B210,'Orders Ledger'!$A:$A,'Orders Ledger'!$N:$N,0))</f>
        <v>226.55</v>
      </c>
    </row>
    <row r="211" spans="2:7" x14ac:dyDescent="0.3">
      <c r="B211" t="str">
        <f t="array" ref="B211">IFERROR(INDEX('Orders Ledger'!$A$2:$A$1501, SMALL(IF(('Orders Ledger'!$J$2:$J$1501="disputed")+('Orders Ledger'!$J$2:$J$1501="PENDING_REVIEW"), ROW('Orders Ledger'!$A$2:$A$1501)-ROW('Orders Ledger'!$A$2)+1), ROW(153:153))), "")</f>
        <v>ORD100662</v>
      </c>
      <c r="C211" s="11" t="str">
        <f>IF(B211="","",_xlfn.XLOOKUP(B211,'Orders Ledger'!$A:$A,'Orders Ledger'!$B:$B,""))</f>
        <v>CUST-1242</v>
      </c>
      <c r="D211" t="str">
        <f>IF(B211="","",_xlfn.XLOOKUP(B211,'Orders Ledger'!$A:$A,'Orders Ledger'!$G:$G,""))</f>
        <v>High-Risk Country Proxy</v>
      </c>
      <c r="E211" t="str">
        <f>IF(B211="","",_xlfn.XLOOKUP(B211,'Orders Ledger'!$A:$A,'Orders Ledger'!$H:$H,""))</f>
        <v>Mobile_Emulator</v>
      </c>
      <c r="F211" t="str">
        <f>IF(B211="","",_xlfn.XLOOKUP(B211,'Orders Ledger'!$A:$A,'Orders Ledger'!$F:$F,""))</f>
        <v>Digital_Wallet</v>
      </c>
      <c r="G211">
        <f>IF(B211="","",_xlfn.XLOOKUP(B211,'Orders Ledger'!$A:$A,'Orders Ledger'!$N:$N,0))</f>
        <v>336.04</v>
      </c>
    </row>
    <row r="212" spans="2:7" x14ac:dyDescent="0.3">
      <c r="B212" t="str">
        <f t="array" ref="B212">IFERROR(INDEX('Orders Ledger'!$A$2:$A$1501, SMALL(IF(('Orders Ledger'!$J$2:$J$1501="disputed")+('Orders Ledger'!$J$2:$J$1501="PENDING_REVIEW"), ROW('Orders Ledger'!$A$2:$A$1501)-ROW('Orders Ledger'!$A$2)+1), ROW(154:154))), "")</f>
        <v>ORD100673</v>
      </c>
      <c r="C212" s="11" t="str">
        <f>IF(B212="","",_xlfn.XLOOKUP(B212,'Orders Ledger'!$A:$A,'Orders Ledger'!$B:$B,""))</f>
        <v>CUST-1300</v>
      </c>
      <c r="D212" t="str">
        <f>IF(B212="","",_xlfn.XLOOKUP(B212,'Orders Ledger'!$A:$A,'Orders Ledger'!$G:$G,""))</f>
        <v>Unknown Blacklisted Zone</v>
      </c>
      <c r="E212" t="str">
        <f>IF(B212="","",_xlfn.XLOOKUP(B212,'Orders Ledger'!$A:$A,'Orders Ledger'!$H:$H,""))</f>
        <v>Desktop</v>
      </c>
      <c r="F212" t="str">
        <f>IF(B212="","",_xlfn.XLOOKUP(B212,'Orders Ledger'!$A:$A,'Orders Ledger'!$F:$F,""))</f>
        <v>Stolen_Card_Sim</v>
      </c>
      <c r="G212">
        <f>IF(B212="","",_xlfn.XLOOKUP(B212,'Orders Ledger'!$A:$A,'Orders Ledger'!$N:$N,0))</f>
        <v>1610</v>
      </c>
    </row>
    <row r="213" spans="2:7" x14ac:dyDescent="0.3">
      <c r="B213" t="str">
        <f t="array" ref="B213">IFERROR(INDEX('Orders Ledger'!$A$2:$A$1501, SMALL(IF(('Orders Ledger'!$J$2:$J$1501="disputed")+('Orders Ledger'!$J$2:$J$1501="PENDING_REVIEW"), ROW('Orders Ledger'!$A$2:$A$1501)-ROW('Orders Ledger'!$A$2)+1), ROW(155:155))), "")</f>
        <v>ORD100674</v>
      </c>
      <c r="C213" s="11" t="str">
        <f>IF(B213="","",_xlfn.XLOOKUP(B213,'Orders Ledger'!$A:$A,'Orders Ledger'!$B:$B,""))</f>
        <v>CUST-1287</v>
      </c>
      <c r="D213" t="str">
        <f>IF(B213="","",_xlfn.XLOOKUP(B213,'Orders Ledger'!$A:$A,'Orders Ledger'!$G:$G,""))</f>
        <v>United States</v>
      </c>
      <c r="E213" t="str">
        <f>IF(B213="","",_xlfn.XLOOKUP(B213,'Orders Ledger'!$A:$A,'Orders Ledger'!$H:$H,""))</f>
        <v>Mobile_Web</v>
      </c>
      <c r="F213" t="str">
        <f>IF(B213="","",_xlfn.XLOOKUP(B213,'Orders Ledger'!$A:$A,'Orders Ledger'!$F:$F,""))</f>
        <v>Digital_Wallet</v>
      </c>
      <c r="G213">
        <f>IF(B213="","",_xlfn.XLOOKUP(B213,'Orders Ledger'!$A:$A,'Orders Ledger'!$N:$N,0))</f>
        <v>69.680000000000007</v>
      </c>
    </row>
    <row r="214" spans="2:7" x14ac:dyDescent="0.3">
      <c r="B214" t="str">
        <f t="array" ref="B214">IFERROR(INDEX('Orders Ledger'!$A$2:$A$1501, SMALL(IF(('Orders Ledger'!$J$2:$J$1501="disputed")+('Orders Ledger'!$J$2:$J$1501="PENDING_REVIEW"), ROW('Orders Ledger'!$A$2:$A$1501)-ROW('Orders Ledger'!$A$2)+1), ROW(156:156))), "")</f>
        <v>ORD100675</v>
      </c>
      <c r="C214" s="11" t="str">
        <f>IF(B214="","",_xlfn.XLOOKUP(B214,'Orders Ledger'!$A:$A,'Orders Ledger'!$B:$B,""))</f>
        <v>CUST-1287</v>
      </c>
      <c r="D214" t="str">
        <f>IF(B214="","",_xlfn.XLOOKUP(B214,'Orders Ledger'!$A:$A,'Orders Ledger'!$G:$G,""))</f>
        <v>United Kingdom</v>
      </c>
      <c r="E214" t="str">
        <f>IF(B214="","",_xlfn.XLOOKUP(B214,'Orders Ledger'!$A:$A,'Orders Ledger'!$H:$H,""))</f>
        <v>Desktop</v>
      </c>
      <c r="F214" t="str">
        <f>IF(B214="","",_xlfn.XLOOKUP(B214,'Orders Ledger'!$A:$A,'Orders Ledger'!$F:$F,""))</f>
        <v>Crypto_Proxy</v>
      </c>
      <c r="G214">
        <f>IF(B214="","",_xlfn.XLOOKUP(B214,'Orders Ledger'!$A:$A,'Orders Ledger'!$N:$N,0))</f>
        <v>7521.44</v>
      </c>
    </row>
    <row r="215" spans="2:7" x14ac:dyDescent="0.3">
      <c r="B215" t="str">
        <f t="array" ref="B215">IFERROR(INDEX('Orders Ledger'!$A$2:$A$1501, SMALL(IF(('Orders Ledger'!$J$2:$J$1501="disputed")+('Orders Ledger'!$J$2:$J$1501="PENDING_REVIEW"), ROW('Orders Ledger'!$A$2:$A$1501)-ROW('Orders Ledger'!$A$2)+1), ROW(157:157))), "")</f>
        <v>ORD100679</v>
      </c>
      <c r="C215" s="11" t="str">
        <f>IF(B215="","",_xlfn.XLOOKUP(B215,'Orders Ledger'!$A:$A,'Orders Ledger'!$B:$B,""))</f>
        <v>CUST-1181</v>
      </c>
      <c r="D215" t="str">
        <f>IF(B215="","",_xlfn.XLOOKUP(B215,'Orders Ledger'!$A:$A,'Orders Ledger'!$G:$G,""))</f>
        <v>France</v>
      </c>
      <c r="E215" t="str">
        <f>IF(B215="","",_xlfn.XLOOKUP(B215,'Orders Ledger'!$A:$A,'Orders Ledger'!$H:$H,""))</f>
        <v>Desktop</v>
      </c>
      <c r="F215" t="str">
        <f>IF(B215="","",_xlfn.XLOOKUP(B215,'Orders Ledger'!$A:$A,'Orders Ledger'!$F:$F,""))</f>
        <v>Credit_Card</v>
      </c>
      <c r="G215">
        <f>IF(B215="","",_xlfn.XLOOKUP(B215,'Orders Ledger'!$A:$A,'Orders Ledger'!$N:$N,0))</f>
        <v>899.17</v>
      </c>
    </row>
    <row r="216" spans="2:7" x14ac:dyDescent="0.3">
      <c r="B216" t="str">
        <f t="array" ref="B216">IFERROR(INDEX('Orders Ledger'!$A$2:$A$1501, SMALL(IF(('Orders Ledger'!$J$2:$J$1501="disputed")+('Orders Ledger'!$J$2:$J$1501="PENDING_REVIEW"), ROW('Orders Ledger'!$A$2:$A$1501)-ROW('Orders Ledger'!$A$2)+1), ROW(158:158))), "")</f>
        <v>ORD100681</v>
      </c>
      <c r="C216" s="11" t="str">
        <f>IF(B216="","",_xlfn.XLOOKUP(B216,'Orders Ledger'!$A:$A,'Orders Ledger'!$B:$B,""))</f>
        <v>CUST-1026</v>
      </c>
      <c r="D216" t="str">
        <f>IF(B216="","",_xlfn.XLOOKUP(B216,'Orders Ledger'!$A:$A,'Orders Ledger'!$G:$G,""))</f>
        <v>Unknown Blacklisted Zone</v>
      </c>
      <c r="E216" t="str">
        <f>IF(B216="","",_xlfn.XLOOKUP(B216,'Orders Ledger'!$A:$A,'Orders Ledger'!$H:$H,""))</f>
        <v>Bot_Server</v>
      </c>
      <c r="F216" t="str">
        <f>IF(B216="","",_xlfn.XLOOKUP(B216,'Orders Ledger'!$A:$A,'Orders Ledger'!$F:$F,""))</f>
        <v>Credit_Card</v>
      </c>
      <c r="G216">
        <f>IF(B216="","",_xlfn.XLOOKUP(B216,'Orders Ledger'!$A:$A,'Orders Ledger'!$N:$N,0))</f>
        <v>29.9</v>
      </c>
    </row>
    <row r="217" spans="2:7" x14ac:dyDescent="0.3">
      <c r="B217" t="str">
        <f t="array" ref="B217">IFERROR(INDEX('Orders Ledger'!$A$2:$A$1501, SMALL(IF(('Orders Ledger'!$J$2:$J$1501="disputed")+('Orders Ledger'!$J$2:$J$1501="PENDING_REVIEW"), ROW('Orders Ledger'!$A$2:$A$1501)-ROW('Orders Ledger'!$A$2)+1), ROW(159:159))), "")</f>
        <v>ORD100696</v>
      </c>
      <c r="C217" s="11" t="str">
        <f>IF(B217="","",_xlfn.XLOOKUP(B217,'Orders Ledger'!$A:$A,'Orders Ledger'!$B:$B,""))</f>
        <v>CUST-1058</v>
      </c>
      <c r="D217" t="str">
        <f>IF(B217="","",_xlfn.XLOOKUP(B217,'Orders Ledger'!$A:$A,'Orders Ledger'!$G:$G,""))</f>
        <v>Germany</v>
      </c>
      <c r="E217" t="str">
        <f>IF(B217="","",_xlfn.XLOOKUP(B217,'Orders Ledger'!$A:$A,'Orders Ledger'!$H:$H,""))</f>
        <v>Mobile_Emulator</v>
      </c>
      <c r="F217" t="str">
        <f>IF(B217="","",_xlfn.XLOOKUP(B217,'Orders Ledger'!$A:$A,'Orders Ledger'!$F:$F,""))</f>
        <v>Crypto_Proxy</v>
      </c>
      <c r="G217">
        <f>IF(B217="","",_xlfn.XLOOKUP(B217,'Orders Ledger'!$A:$A,'Orders Ledger'!$N:$N,0))</f>
        <v>1880.36</v>
      </c>
    </row>
    <row r="218" spans="2:7" x14ac:dyDescent="0.3">
      <c r="B218" t="str">
        <f t="array" ref="B218">IFERROR(INDEX('Orders Ledger'!$A$2:$A$1501, SMALL(IF(('Orders Ledger'!$J$2:$J$1501="disputed")+('Orders Ledger'!$J$2:$J$1501="PENDING_REVIEW"), ROW('Orders Ledger'!$A$2:$A$1501)-ROW('Orders Ledger'!$A$2)+1), ROW(160:160))), "")</f>
        <v>ORD100701</v>
      </c>
      <c r="C218" s="11" t="str">
        <f>IF(B218="","",_xlfn.XLOOKUP(B218,'Orders Ledger'!$A:$A,'Orders Ledger'!$B:$B,""))</f>
        <v>CUST-1287</v>
      </c>
      <c r="D218" t="str">
        <f>IF(B218="","",_xlfn.XLOOKUP(B218,'Orders Ledger'!$A:$A,'Orders Ledger'!$G:$G,""))</f>
        <v>Unknown Blacklisted Zone</v>
      </c>
      <c r="E218" t="str">
        <f>IF(B218="","",_xlfn.XLOOKUP(B218,'Orders Ledger'!$A:$A,'Orders Ledger'!$H:$H,""))</f>
        <v>Desktop</v>
      </c>
      <c r="F218" t="str">
        <f>IF(B218="","",_xlfn.XLOOKUP(B218,'Orders Ledger'!$A:$A,'Orders Ledger'!$F:$F,""))</f>
        <v>Crypto_Proxy</v>
      </c>
      <c r="G218">
        <f>IF(B218="","",_xlfn.XLOOKUP(B218,'Orders Ledger'!$A:$A,'Orders Ledger'!$N:$N,0))</f>
        <v>189.76</v>
      </c>
    </row>
    <row r="219" spans="2:7" x14ac:dyDescent="0.3">
      <c r="B219" t="str">
        <f t="array" ref="B219">IFERROR(INDEX('Orders Ledger'!$A$2:$A$1501, SMALL(IF(('Orders Ledger'!$J$2:$J$1501="disputed")+('Orders Ledger'!$J$2:$J$1501="PENDING_REVIEW"), ROW('Orders Ledger'!$A$2:$A$1501)-ROW('Orders Ledger'!$A$2)+1), ROW(161:161))), "")</f>
        <v>ORD100708</v>
      </c>
      <c r="C219" s="11" t="str">
        <f>IF(B219="","",_xlfn.XLOOKUP(B219,'Orders Ledger'!$A:$A,'Orders Ledger'!$B:$B,""))</f>
        <v>CUST-1158</v>
      </c>
      <c r="D219" t="str">
        <f>IF(B219="","",_xlfn.XLOOKUP(B219,'Orders Ledger'!$A:$A,'Orders Ledger'!$G:$G,""))</f>
        <v>High-Risk Country Proxy</v>
      </c>
      <c r="E219" t="str">
        <f>IF(B219="","",_xlfn.XLOOKUP(B219,'Orders Ledger'!$A:$A,'Orders Ledger'!$H:$H,""))</f>
        <v>Desktop</v>
      </c>
      <c r="F219" t="str">
        <f>IF(B219="","",_xlfn.XLOOKUP(B219,'Orders Ledger'!$A:$A,'Orders Ledger'!$F:$F,""))</f>
        <v>Credit_Card</v>
      </c>
      <c r="G219">
        <f>IF(B219="","",_xlfn.XLOOKUP(B219,'Orders Ledger'!$A:$A,'Orders Ledger'!$N:$N,0))</f>
        <v>5207.68</v>
      </c>
    </row>
    <row r="220" spans="2:7" x14ac:dyDescent="0.3">
      <c r="B220" t="str">
        <f t="array" ref="B220">IFERROR(INDEX('Orders Ledger'!$A$2:$A$1501, SMALL(IF(('Orders Ledger'!$J$2:$J$1501="disputed")+('Orders Ledger'!$J$2:$J$1501="PENDING_REVIEW"), ROW('Orders Ledger'!$A$2:$A$1501)-ROW('Orders Ledger'!$A$2)+1), ROW(162:162))), "")</f>
        <v>ORD100712</v>
      </c>
      <c r="C220" s="11" t="str">
        <f>IF(B220="","",_xlfn.XLOOKUP(B220,'Orders Ledger'!$A:$A,'Orders Ledger'!$B:$B,""))</f>
        <v>CUST-1092</v>
      </c>
      <c r="D220" t="str">
        <f>IF(B220="","",_xlfn.XLOOKUP(B220,'Orders Ledger'!$A:$A,'Orders Ledger'!$G:$G,""))</f>
        <v>Unknown Blacklisted Zone</v>
      </c>
      <c r="E220" t="str">
        <f>IF(B220="","",_xlfn.XLOOKUP(B220,'Orders Ledger'!$A:$A,'Orders Ledger'!$H:$H,""))</f>
        <v>Mobile_Emulator</v>
      </c>
      <c r="F220" t="str">
        <f>IF(B220="","",_xlfn.XLOOKUP(B220,'Orders Ledger'!$A:$A,'Orders Ledger'!$F:$F,""))</f>
        <v>Crypto_Proxy</v>
      </c>
      <c r="G220">
        <f>IF(B220="","",_xlfn.XLOOKUP(B220,'Orders Ledger'!$A:$A,'Orders Ledger'!$N:$N,0))</f>
        <v>161.94999999999999</v>
      </c>
    </row>
    <row r="221" spans="2:7" x14ac:dyDescent="0.3">
      <c r="B221" t="str">
        <f t="array" ref="B221">IFERROR(INDEX('Orders Ledger'!$A$2:$A$1501, SMALL(IF(('Orders Ledger'!$J$2:$J$1501="disputed")+('Orders Ledger'!$J$2:$J$1501="PENDING_REVIEW"), ROW('Orders Ledger'!$A$2:$A$1501)-ROW('Orders Ledger'!$A$2)+1), ROW(163:163))), "")</f>
        <v>ORD100716</v>
      </c>
      <c r="C221" s="11" t="str">
        <f>IF(B221="","",_xlfn.XLOOKUP(B221,'Orders Ledger'!$A:$A,'Orders Ledger'!$B:$B,""))</f>
        <v>CUST-1035</v>
      </c>
      <c r="D221" t="str">
        <f>IF(B221="","",_xlfn.XLOOKUP(B221,'Orders Ledger'!$A:$A,'Orders Ledger'!$G:$G,""))</f>
        <v>France</v>
      </c>
      <c r="E221" t="str">
        <f>IF(B221="","",_xlfn.XLOOKUP(B221,'Orders Ledger'!$A:$A,'Orders Ledger'!$H:$H,""))</f>
        <v>Mobile_Emulator</v>
      </c>
      <c r="F221" t="str">
        <f>IF(B221="","",_xlfn.XLOOKUP(B221,'Orders Ledger'!$A:$A,'Orders Ledger'!$F:$F,""))</f>
        <v>Crypto_Proxy</v>
      </c>
      <c r="G221">
        <f>IF(B221="","",_xlfn.XLOOKUP(B221,'Orders Ledger'!$A:$A,'Orders Ledger'!$N:$N,0))</f>
        <v>6961.4</v>
      </c>
    </row>
    <row r="222" spans="2:7" x14ac:dyDescent="0.3">
      <c r="B222" t="str">
        <f t="array" ref="B222">IFERROR(INDEX('Orders Ledger'!$A$2:$A$1501, SMALL(IF(('Orders Ledger'!$J$2:$J$1501="disputed")+('Orders Ledger'!$J$2:$J$1501="PENDING_REVIEW"), ROW('Orders Ledger'!$A$2:$A$1501)-ROW('Orders Ledger'!$A$2)+1), ROW(164:164))), "")</f>
        <v>ORD100722</v>
      </c>
      <c r="C222" s="11" t="str">
        <f>IF(B222="","",_xlfn.XLOOKUP(B222,'Orders Ledger'!$A:$A,'Orders Ledger'!$B:$B,""))</f>
        <v>CUST-1192</v>
      </c>
      <c r="D222" t="str">
        <f>IF(B222="","",_xlfn.XLOOKUP(B222,'Orders Ledger'!$A:$A,'Orders Ledger'!$G:$G,""))</f>
        <v>Unknown Blacklisted Zone</v>
      </c>
      <c r="E222" t="str">
        <f>IF(B222="","",_xlfn.XLOOKUP(B222,'Orders Ledger'!$A:$A,'Orders Ledger'!$H:$H,""))</f>
        <v>Desktop</v>
      </c>
      <c r="F222" t="str">
        <f>IF(B222="","",_xlfn.XLOOKUP(B222,'Orders Ledger'!$A:$A,'Orders Ledger'!$F:$F,""))</f>
        <v>Crypto_Proxy</v>
      </c>
      <c r="G222">
        <f>IF(B222="","",_xlfn.XLOOKUP(B222,'Orders Ledger'!$A:$A,'Orders Ledger'!$N:$N,0))</f>
        <v>92.33</v>
      </c>
    </row>
    <row r="223" spans="2:7" x14ac:dyDescent="0.3">
      <c r="B223" t="str">
        <f t="array" ref="B223">IFERROR(INDEX('Orders Ledger'!$A$2:$A$1501, SMALL(IF(('Orders Ledger'!$J$2:$J$1501="disputed")+('Orders Ledger'!$J$2:$J$1501="PENDING_REVIEW"), ROW('Orders Ledger'!$A$2:$A$1501)-ROW('Orders Ledger'!$A$2)+1), ROW(165:165))), "")</f>
        <v>ORD100731</v>
      </c>
      <c r="C223" s="11" t="str">
        <f>IF(B223="","",_xlfn.XLOOKUP(B223,'Orders Ledger'!$A:$A,'Orders Ledger'!$B:$B,""))</f>
        <v>CUST-1043</v>
      </c>
      <c r="D223" t="str">
        <f>IF(B223="","",_xlfn.XLOOKUP(B223,'Orders Ledger'!$A:$A,'Orders Ledger'!$G:$G,""))</f>
        <v>High-Risk Country Proxy</v>
      </c>
      <c r="E223" t="str">
        <f>IF(B223="","",_xlfn.XLOOKUP(B223,'Orders Ledger'!$A:$A,'Orders Ledger'!$H:$H,""))</f>
        <v>Bot_Server</v>
      </c>
      <c r="F223" t="str">
        <f>IF(B223="","",_xlfn.XLOOKUP(B223,'Orders Ledger'!$A:$A,'Orders Ledger'!$F:$F,""))</f>
        <v>Credit_Card</v>
      </c>
      <c r="G223">
        <f>IF(B223="","",_xlfn.XLOOKUP(B223,'Orders Ledger'!$A:$A,'Orders Ledger'!$N:$N,0))</f>
        <v>93.08</v>
      </c>
    </row>
    <row r="224" spans="2:7" x14ac:dyDescent="0.3">
      <c r="B224" t="str">
        <f t="array" ref="B224">IFERROR(INDEX('Orders Ledger'!$A$2:$A$1501, SMALL(IF(('Orders Ledger'!$J$2:$J$1501="disputed")+('Orders Ledger'!$J$2:$J$1501="PENDING_REVIEW"), ROW('Orders Ledger'!$A$2:$A$1501)-ROW('Orders Ledger'!$A$2)+1), ROW(166:166))), "")</f>
        <v>ORD100732</v>
      </c>
      <c r="C224" s="11" t="str">
        <f>IF(B224="","",_xlfn.XLOOKUP(B224,'Orders Ledger'!$A:$A,'Orders Ledger'!$B:$B,""))</f>
        <v>CUST-1026</v>
      </c>
      <c r="D224" t="str">
        <f>IF(B224="","",_xlfn.XLOOKUP(B224,'Orders Ledger'!$A:$A,'Orders Ledger'!$G:$G,""))</f>
        <v>United Kingdom</v>
      </c>
      <c r="E224" t="str">
        <f>IF(B224="","",_xlfn.XLOOKUP(B224,'Orders Ledger'!$A:$A,'Orders Ledger'!$H:$H,""))</f>
        <v>Desktop</v>
      </c>
      <c r="F224" t="str">
        <f>IF(B224="","",_xlfn.XLOOKUP(B224,'Orders Ledger'!$A:$A,'Orders Ledger'!$F:$F,""))</f>
        <v>Credit_Card</v>
      </c>
      <c r="G224">
        <f>IF(B224="","",_xlfn.XLOOKUP(B224,'Orders Ledger'!$A:$A,'Orders Ledger'!$N:$N,0))</f>
        <v>168.25</v>
      </c>
    </row>
    <row r="225" spans="2:7" x14ac:dyDescent="0.3">
      <c r="B225" t="str">
        <f t="array" ref="B225">IFERROR(INDEX('Orders Ledger'!$A$2:$A$1501, SMALL(IF(('Orders Ledger'!$J$2:$J$1501="disputed")+('Orders Ledger'!$J$2:$J$1501="PENDING_REVIEW"), ROW('Orders Ledger'!$A$2:$A$1501)-ROW('Orders Ledger'!$A$2)+1), ROW(167:167))), "")</f>
        <v>ORD100733</v>
      </c>
      <c r="C225" s="11" t="str">
        <f>IF(B225="","",_xlfn.XLOOKUP(B225,'Orders Ledger'!$A:$A,'Orders Ledger'!$B:$B,""))</f>
        <v>CUST-1079</v>
      </c>
      <c r="D225" t="str">
        <f>IF(B225="","",_xlfn.XLOOKUP(B225,'Orders Ledger'!$A:$A,'Orders Ledger'!$G:$G,""))</f>
        <v>France</v>
      </c>
      <c r="E225" t="str">
        <f>IF(B225="","",_xlfn.XLOOKUP(B225,'Orders Ledger'!$A:$A,'Orders Ledger'!$H:$H,""))</f>
        <v>Mobile_Emulator</v>
      </c>
      <c r="F225" t="str">
        <f>IF(B225="","",_xlfn.XLOOKUP(B225,'Orders Ledger'!$A:$A,'Orders Ledger'!$F:$F,""))</f>
        <v>Digital_Wallet</v>
      </c>
      <c r="G225">
        <f>IF(B225="","",_xlfn.XLOOKUP(B225,'Orders Ledger'!$A:$A,'Orders Ledger'!$N:$N,0))</f>
        <v>7224.6</v>
      </c>
    </row>
    <row r="226" spans="2:7" x14ac:dyDescent="0.3">
      <c r="B226" t="str">
        <f t="array" ref="B226">IFERROR(INDEX('Orders Ledger'!$A$2:$A$1501, SMALL(IF(('Orders Ledger'!$J$2:$J$1501="disputed")+('Orders Ledger'!$J$2:$J$1501="PENDING_REVIEW"), ROW('Orders Ledger'!$A$2:$A$1501)-ROW('Orders Ledger'!$A$2)+1), ROW(168:168))), "")</f>
        <v>ORD100735</v>
      </c>
      <c r="C226" s="11" t="str">
        <f>IF(B226="","",_xlfn.XLOOKUP(B226,'Orders Ledger'!$A:$A,'Orders Ledger'!$B:$B,""))</f>
        <v>CUST-1025</v>
      </c>
      <c r="D226" t="str">
        <f>IF(B226="","",_xlfn.XLOOKUP(B226,'Orders Ledger'!$A:$A,'Orders Ledger'!$G:$G,""))</f>
        <v>United Kingdom</v>
      </c>
      <c r="E226" t="str">
        <f>IF(B226="","",_xlfn.XLOOKUP(B226,'Orders Ledger'!$A:$A,'Orders Ledger'!$H:$H,""))</f>
        <v>Desktop</v>
      </c>
      <c r="F226" t="str">
        <f>IF(B226="","",_xlfn.XLOOKUP(B226,'Orders Ledger'!$A:$A,'Orders Ledger'!$F:$F,""))</f>
        <v>Crypto_Proxy</v>
      </c>
      <c r="G226">
        <f>IF(B226="","",_xlfn.XLOOKUP(B226,'Orders Ledger'!$A:$A,'Orders Ledger'!$N:$N,0))</f>
        <v>852.47</v>
      </c>
    </row>
    <row r="227" spans="2:7" x14ac:dyDescent="0.3">
      <c r="B227" t="str">
        <f t="array" ref="B227">IFERROR(INDEX('Orders Ledger'!$A$2:$A$1501, SMALL(IF(('Orders Ledger'!$J$2:$J$1501="disputed")+('Orders Ledger'!$J$2:$J$1501="PENDING_REVIEW"), ROW('Orders Ledger'!$A$2:$A$1501)-ROW('Orders Ledger'!$A$2)+1), ROW(169:169))), "")</f>
        <v>ORD100736</v>
      </c>
      <c r="C227" s="11" t="str">
        <f>IF(B227="","",_xlfn.XLOOKUP(B227,'Orders Ledger'!$A:$A,'Orders Ledger'!$B:$B,""))</f>
        <v>CUST-1041</v>
      </c>
      <c r="D227" t="str">
        <f>IF(B227="","",_xlfn.XLOOKUP(B227,'Orders Ledger'!$A:$A,'Orders Ledger'!$G:$G,""))</f>
        <v>High-Risk Country Proxy</v>
      </c>
      <c r="E227" t="str">
        <f>IF(B227="","",_xlfn.XLOOKUP(B227,'Orders Ledger'!$A:$A,'Orders Ledger'!$H:$H,""))</f>
        <v>Bot_Server</v>
      </c>
      <c r="F227" t="str">
        <f>IF(B227="","",_xlfn.XLOOKUP(B227,'Orders Ledger'!$A:$A,'Orders Ledger'!$F:$F,""))</f>
        <v>Digital_Wallet</v>
      </c>
      <c r="G227">
        <f>IF(B227="","",_xlfn.XLOOKUP(B227,'Orders Ledger'!$A:$A,'Orders Ledger'!$N:$N,0))</f>
        <v>179.52</v>
      </c>
    </row>
    <row r="228" spans="2:7" x14ac:dyDescent="0.3">
      <c r="B228" t="str">
        <f t="array" ref="B228">IFERROR(INDEX('Orders Ledger'!$A$2:$A$1501, SMALL(IF(('Orders Ledger'!$J$2:$J$1501="disputed")+('Orders Ledger'!$J$2:$J$1501="PENDING_REVIEW"), ROW('Orders Ledger'!$A$2:$A$1501)-ROW('Orders Ledger'!$A$2)+1), ROW(170:170))), "")</f>
        <v>ORD100740</v>
      </c>
      <c r="C228" s="11" t="str">
        <f>IF(B228="","",_xlfn.XLOOKUP(B228,'Orders Ledger'!$A:$A,'Orders Ledger'!$B:$B,""))</f>
        <v>CUST-1248</v>
      </c>
      <c r="D228" t="str">
        <f>IF(B228="","",_xlfn.XLOOKUP(B228,'Orders Ledger'!$A:$A,'Orders Ledger'!$G:$G,""))</f>
        <v>France</v>
      </c>
      <c r="E228" t="str">
        <f>IF(B228="","",_xlfn.XLOOKUP(B228,'Orders Ledger'!$A:$A,'Orders Ledger'!$H:$H,""))</f>
        <v>Desktop</v>
      </c>
      <c r="F228" t="str">
        <f>IF(B228="","",_xlfn.XLOOKUP(B228,'Orders Ledger'!$A:$A,'Orders Ledger'!$F:$F,""))</f>
        <v>Credit_Card</v>
      </c>
      <c r="G228">
        <f>IF(B228="","",_xlfn.XLOOKUP(B228,'Orders Ledger'!$A:$A,'Orders Ledger'!$N:$N,0))</f>
        <v>6961.4</v>
      </c>
    </row>
    <row r="229" spans="2:7" x14ac:dyDescent="0.3">
      <c r="B229" t="str">
        <f t="array" ref="B229">IFERROR(INDEX('Orders Ledger'!$A$2:$A$1501, SMALL(IF(('Orders Ledger'!$J$2:$J$1501="disputed")+('Orders Ledger'!$J$2:$J$1501="PENDING_REVIEW"), ROW('Orders Ledger'!$A$2:$A$1501)-ROW('Orders Ledger'!$A$2)+1), ROW(171:171))), "")</f>
        <v>ORD100741</v>
      </c>
      <c r="C229" s="11" t="str">
        <f>IF(B229="","",_xlfn.XLOOKUP(B229,'Orders Ledger'!$A:$A,'Orders Ledger'!$B:$B,""))</f>
        <v>CUST-1226</v>
      </c>
      <c r="D229" t="str">
        <f>IF(B229="","",_xlfn.XLOOKUP(B229,'Orders Ledger'!$A:$A,'Orders Ledger'!$G:$G,""))</f>
        <v>Germany</v>
      </c>
      <c r="E229" t="str">
        <f>IF(B229="","",_xlfn.XLOOKUP(B229,'Orders Ledger'!$A:$A,'Orders Ledger'!$H:$H,""))</f>
        <v>Bot_Server</v>
      </c>
      <c r="F229" t="str">
        <f>IF(B229="","",_xlfn.XLOOKUP(B229,'Orders Ledger'!$A:$A,'Orders Ledger'!$F:$F,""))</f>
        <v>Digital_Wallet</v>
      </c>
      <c r="G229">
        <f>IF(B229="","",_xlfn.XLOOKUP(B229,'Orders Ledger'!$A:$A,'Orders Ledger'!$N:$N,0))</f>
        <v>1806.15</v>
      </c>
    </row>
    <row r="230" spans="2:7" x14ac:dyDescent="0.3">
      <c r="B230" t="str">
        <f t="array" ref="B230">IFERROR(INDEX('Orders Ledger'!$A$2:$A$1501, SMALL(IF(('Orders Ledger'!$J$2:$J$1501="disputed")+('Orders Ledger'!$J$2:$J$1501="PENDING_REVIEW"), ROW('Orders Ledger'!$A$2:$A$1501)-ROW('Orders Ledger'!$A$2)+1), ROW(172:172))), "")</f>
        <v>ORD100744</v>
      </c>
      <c r="C230" s="11" t="str">
        <f>IF(B230="","",_xlfn.XLOOKUP(B230,'Orders Ledger'!$A:$A,'Orders Ledger'!$B:$B,""))</f>
        <v>CUST-1110</v>
      </c>
      <c r="D230" t="str">
        <f>IF(B230="","",_xlfn.XLOOKUP(B230,'Orders Ledger'!$A:$A,'Orders Ledger'!$G:$G,""))</f>
        <v>High-Risk Country Proxy</v>
      </c>
      <c r="E230" t="str">
        <f>IF(B230="","",_xlfn.XLOOKUP(B230,'Orders Ledger'!$A:$A,'Orders Ledger'!$H:$H,""))</f>
        <v>Desktop</v>
      </c>
      <c r="F230" t="str">
        <f>IF(B230="","",_xlfn.XLOOKUP(B230,'Orders Ledger'!$A:$A,'Orders Ledger'!$F:$F,""))</f>
        <v>Stolen_Card_Sim</v>
      </c>
      <c r="G230">
        <f>IF(B230="","",_xlfn.XLOOKUP(B230,'Orders Ledger'!$A:$A,'Orders Ledger'!$N:$N,0))</f>
        <v>508.64</v>
      </c>
    </row>
    <row r="231" spans="2:7" x14ac:dyDescent="0.3">
      <c r="B231" t="str">
        <f t="array" ref="B231">IFERROR(INDEX('Orders Ledger'!$A$2:$A$1501, SMALL(IF(('Orders Ledger'!$J$2:$J$1501="disputed")+('Orders Ledger'!$J$2:$J$1501="PENDING_REVIEW"), ROW('Orders Ledger'!$A$2:$A$1501)-ROW('Orders Ledger'!$A$2)+1), ROW(173:173))), "")</f>
        <v>ORD100750</v>
      </c>
      <c r="C231" s="11" t="str">
        <f>IF(B231="","",_xlfn.XLOOKUP(B231,'Orders Ledger'!$A:$A,'Orders Ledger'!$B:$B,""))</f>
        <v>CUST-1145</v>
      </c>
      <c r="D231" t="str">
        <f>IF(B231="","",_xlfn.XLOOKUP(B231,'Orders Ledger'!$A:$A,'Orders Ledger'!$G:$G,""))</f>
        <v>United States</v>
      </c>
      <c r="E231" t="str">
        <f>IF(B231="","",_xlfn.XLOOKUP(B231,'Orders Ledger'!$A:$A,'Orders Ledger'!$H:$H,""))</f>
        <v>Desktop</v>
      </c>
      <c r="F231" t="str">
        <f>IF(B231="","",_xlfn.XLOOKUP(B231,'Orders Ledger'!$A:$A,'Orders Ledger'!$F:$F,""))</f>
        <v>Credit_Card</v>
      </c>
      <c r="G231">
        <f>IF(B231="","",_xlfn.XLOOKUP(B231,'Orders Ledger'!$A:$A,'Orders Ledger'!$N:$N,0))</f>
        <v>33.46</v>
      </c>
    </row>
    <row r="232" spans="2:7" x14ac:dyDescent="0.3">
      <c r="B232" t="str">
        <f t="array" ref="B232">IFERROR(INDEX('Orders Ledger'!$A$2:$A$1501, SMALL(IF(('Orders Ledger'!$J$2:$J$1501="disputed")+('Orders Ledger'!$J$2:$J$1501="PENDING_REVIEW"), ROW('Orders Ledger'!$A$2:$A$1501)-ROW('Orders Ledger'!$A$2)+1), ROW(174:174))), "")</f>
        <v>ORD100754</v>
      </c>
      <c r="C232" s="11" t="str">
        <f>IF(B232="","",_xlfn.XLOOKUP(B232,'Orders Ledger'!$A:$A,'Orders Ledger'!$B:$B,""))</f>
        <v>CUST-1023</v>
      </c>
      <c r="D232" t="str">
        <f>IF(B232="","",_xlfn.XLOOKUP(B232,'Orders Ledger'!$A:$A,'Orders Ledger'!$G:$G,""))</f>
        <v>Unknown Blacklisted Zone</v>
      </c>
      <c r="E232" t="str">
        <f>IF(B232="","",_xlfn.XLOOKUP(B232,'Orders Ledger'!$A:$A,'Orders Ledger'!$H:$H,""))</f>
        <v>Bot_Server</v>
      </c>
      <c r="F232" t="str">
        <f>IF(B232="","",_xlfn.XLOOKUP(B232,'Orders Ledger'!$A:$A,'Orders Ledger'!$F:$F,""))</f>
        <v>Crypto_Proxy</v>
      </c>
      <c r="G232">
        <f>IF(B232="","",_xlfn.XLOOKUP(B232,'Orders Ledger'!$A:$A,'Orders Ledger'!$N:$N,0))</f>
        <v>209.14999999999998</v>
      </c>
    </row>
    <row r="233" spans="2:7" x14ac:dyDescent="0.3">
      <c r="B233" t="str">
        <f t="array" ref="B233">IFERROR(INDEX('Orders Ledger'!$A$2:$A$1501, SMALL(IF(('Orders Ledger'!$J$2:$J$1501="disputed")+('Orders Ledger'!$J$2:$J$1501="PENDING_REVIEW"), ROW('Orders Ledger'!$A$2:$A$1501)-ROW('Orders Ledger'!$A$2)+1), ROW(175:175))), "")</f>
        <v>ORD100763</v>
      </c>
      <c r="C233" s="11" t="str">
        <f>IF(B233="","",_xlfn.XLOOKUP(B233,'Orders Ledger'!$A:$A,'Orders Ledger'!$B:$B,""))</f>
        <v>CUST-1130</v>
      </c>
      <c r="D233" t="str">
        <f>IF(B233="","",_xlfn.XLOOKUP(B233,'Orders Ledger'!$A:$A,'Orders Ledger'!$G:$G,""))</f>
        <v>High-Risk Country Proxy</v>
      </c>
      <c r="E233" t="str">
        <f>IF(B233="","",_xlfn.XLOOKUP(B233,'Orders Ledger'!$A:$A,'Orders Ledger'!$H:$H,""))</f>
        <v>Bot_Server</v>
      </c>
      <c r="F233" t="str">
        <f>IF(B233="","",_xlfn.XLOOKUP(B233,'Orders Ledger'!$A:$A,'Orders Ledger'!$F:$F,""))</f>
        <v>Digital_Wallet</v>
      </c>
      <c r="G233">
        <f>IF(B233="","",_xlfn.XLOOKUP(B233,'Orders Ledger'!$A:$A,'Orders Ledger'!$N:$N,0))</f>
        <v>175.55</v>
      </c>
    </row>
    <row r="234" spans="2:7" x14ac:dyDescent="0.3">
      <c r="B234" t="str">
        <f t="array" ref="B234">IFERROR(INDEX('Orders Ledger'!$A$2:$A$1501, SMALL(IF(('Orders Ledger'!$J$2:$J$1501="disputed")+('Orders Ledger'!$J$2:$J$1501="PENDING_REVIEW"), ROW('Orders Ledger'!$A$2:$A$1501)-ROW('Orders Ledger'!$A$2)+1), ROW(176:176))), "")</f>
        <v>ORD100768</v>
      </c>
      <c r="C234" s="11" t="str">
        <f>IF(B234="","",_xlfn.XLOOKUP(B234,'Orders Ledger'!$A:$A,'Orders Ledger'!$B:$B,""))</f>
        <v>CUST-1254</v>
      </c>
      <c r="D234" t="str">
        <f>IF(B234="","",_xlfn.XLOOKUP(B234,'Orders Ledger'!$A:$A,'Orders Ledger'!$G:$G,""))</f>
        <v>Germany</v>
      </c>
      <c r="E234" t="str">
        <f>IF(B234="","",_xlfn.XLOOKUP(B234,'Orders Ledger'!$A:$A,'Orders Ledger'!$H:$H,""))</f>
        <v>Bot_Server</v>
      </c>
      <c r="F234" t="str">
        <f>IF(B234="","",_xlfn.XLOOKUP(B234,'Orders Ledger'!$A:$A,'Orders Ledger'!$F:$F,""))</f>
        <v>Stolen_Card_Sim</v>
      </c>
      <c r="G234">
        <f>IF(B234="","",_xlfn.XLOOKUP(B234,'Orders Ledger'!$A:$A,'Orders Ledger'!$N:$N,0))</f>
        <v>6509.6</v>
      </c>
    </row>
    <row r="235" spans="2:7" x14ac:dyDescent="0.3">
      <c r="B235" t="str">
        <f t="array" ref="B235">IFERROR(INDEX('Orders Ledger'!$A$2:$A$1501, SMALL(IF(('Orders Ledger'!$J$2:$J$1501="disputed")+('Orders Ledger'!$J$2:$J$1501="PENDING_REVIEW"), ROW('Orders Ledger'!$A$2:$A$1501)-ROW('Orders Ledger'!$A$2)+1), ROW(177:177))), "")</f>
        <v>ORD100771</v>
      </c>
      <c r="C235" s="11" t="str">
        <f>IF(B235="","",_xlfn.XLOOKUP(B235,'Orders Ledger'!$A:$A,'Orders Ledger'!$B:$B,""))</f>
        <v>CUST-1066</v>
      </c>
      <c r="D235" t="str">
        <f>IF(B235="","",_xlfn.XLOOKUP(B235,'Orders Ledger'!$A:$A,'Orders Ledger'!$G:$G,""))</f>
        <v>Unknown Blacklisted Zone</v>
      </c>
      <c r="E235" t="str">
        <f>IF(B235="","",_xlfn.XLOOKUP(B235,'Orders Ledger'!$A:$A,'Orders Ledger'!$H:$H,""))</f>
        <v>Bot_Server</v>
      </c>
      <c r="F235" t="str">
        <f>IF(B235="","",_xlfn.XLOOKUP(B235,'Orders Ledger'!$A:$A,'Orders Ledger'!$F:$F,""))</f>
        <v>Credit_Card</v>
      </c>
      <c r="G235">
        <f>IF(B235="","",_xlfn.XLOOKUP(B235,'Orders Ledger'!$A:$A,'Orders Ledger'!$N:$N,0))</f>
        <v>285.55</v>
      </c>
    </row>
    <row r="236" spans="2:7" x14ac:dyDescent="0.3">
      <c r="B236" t="str">
        <f t="array" ref="B236">IFERROR(INDEX('Orders Ledger'!$A$2:$A$1501, SMALL(IF(('Orders Ledger'!$J$2:$J$1501="disputed")+('Orders Ledger'!$J$2:$J$1501="PENDING_REVIEW"), ROW('Orders Ledger'!$A$2:$A$1501)-ROW('Orders Ledger'!$A$2)+1), ROW(178:178))), "")</f>
        <v>ORD100778</v>
      </c>
      <c r="C236" s="11" t="str">
        <f>IF(B236="","",_xlfn.XLOOKUP(B236,'Orders Ledger'!$A:$A,'Orders Ledger'!$B:$B,""))</f>
        <v>CUST-1036</v>
      </c>
      <c r="D236" t="str">
        <f>IF(B236="","",_xlfn.XLOOKUP(B236,'Orders Ledger'!$A:$A,'Orders Ledger'!$G:$G,""))</f>
        <v>Canada</v>
      </c>
      <c r="E236" t="str">
        <f>IF(B236="","",_xlfn.XLOOKUP(B236,'Orders Ledger'!$A:$A,'Orders Ledger'!$H:$H,""))</f>
        <v>Desktop</v>
      </c>
      <c r="F236" t="str">
        <f>IF(B236="","",_xlfn.XLOOKUP(B236,'Orders Ledger'!$A:$A,'Orders Ledger'!$F:$F,""))</f>
        <v>Stolen_Card_Sim</v>
      </c>
      <c r="G236">
        <f>IF(B236="","",_xlfn.XLOOKUP(B236,'Orders Ledger'!$A:$A,'Orders Ledger'!$N:$N,0))</f>
        <v>9401.7999999999993</v>
      </c>
    </row>
    <row r="237" spans="2:7" x14ac:dyDescent="0.3">
      <c r="B237" t="str">
        <f t="array" ref="B237">IFERROR(INDEX('Orders Ledger'!$A$2:$A$1501, SMALL(IF(('Orders Ledger'!$J$2:$J$1501="disputed")+('Orders Ledger'!$J$2:$J$1501="PENDING_REVIEW"), ROW('Orders Ledger'!$A$2:$A$1501)-ROW('Orders Ledger'!$A$2)+1), ROW(179:179))), "")</f>
        <v>ORD100779</v>
      </c>
      <c r="C237" s="11" t="str">
        <f>IF(B237="","",_xlfn.XLOOKUP(B237,'Orders Ledger'!$A:$A,'Orders Ledger'!$B:$B,""))</f>
        <v>CUST-1203</v>
      </c>
      <c r="D237" t="str">
        <f>IF(B237="","",_xlfn.XLOOKUP(B237,'Orders Ledger'!$A:$A,'Orders Ledger'!$G:$G,""))</f>
        <v>United States</v>
      </c>
      <c r="E237" t="str">
        <f>IF(B237="","",_xlfn.XLOOKUP(B237,'Orders Ledger'!$A:$A,'Orders Ledger'!$H:$H,""))</f>
        <v>Mobile_Emulator</v>
      </c>
      <c r="F237" t="str">
        <f>IF(B237="","",_xlfn.XLOOKUP(B237,'Orders Ledger'!$A:$A,'Orders Ledger'!$F:$F,""))</f>
        <v>Stolen_Card_Sim</v>
      </c>
      <c r="G237">
        <f>IF(B237="","",_xlfn.XLOOKUP(B237,'Orders Ledger'!$A:$A,'Orders Ledger'!$N:$N,0))</f>
        <v>7995.4</v>
      </c>
    </row>
    <row r="238" spans="2:7" x14ac:dyDescent="0.3">
      <c r="B238" t="str">
        <f t="array" ref="B238">IFERROR(INDEX('Orders Ledger'!$A$2:$A$1501, SMALL(IF(('Orders Ledger'!$J$2:$J$1501="disputed")+('Orders Ledger'!$J$2:$J$1501="PENDING_REVIEW"), ROW('Orders Ledger'!$A$2:$A$1501)-ROW('Orders Ledger'!$A$2)+1), ROW(180:180))), "")</f>
        <v>ORD100784</v>
      </c>
      <c r="C238" s="11" t="str">
        <f>IF(B238="","",_xlfn.XLOOKUP(B238,'Orders Ledger'!$A:$A,'Orders Ledger'!$B:$B,""))</f>
        <v>CUST-1039</v>
      </c>
      <c r="D238" t="str">
        <f>IF(B238="","",_xlfn.XLOOKUP(B238,'Orders Ledger'!$A:$A,'Orders Ledger'!$G:$G,""))</f>
        <v>Canada</v>
      </c>
      <c r="E238" t="str">
        <f>IF(B238="","",_xlfn.XLOOKUP(B238,'Orders Ledger'!$A:$A,'Orders Ledger'!$H:$H,""))</f>
        <v>Mobile_Emulator</v>
      </c>
      <c r="F238" t="str">
        <f>IF(B238="","",_xlfn.XLOOKUP(B238,'Orders Ledger'!$A:$A,'Orders Ledger'!$F:$F,""))</f>
        <v>Digital_Wallet</v>
      </c>
      <c r="G238">
        <f>IF(B238="","",_xlfn.XLOOKUP(B238,'Orders Ledger'!$A:$A,'Orders Ledger'!$N:$N,0))</f>
        <v>7963.68</v>
      </c>
    </row>
    <row r="239" spans="2:7" x14ac:dyDescent="0.3">
      <c r="B239" t="str">
        <f t="array" ref="B239">IFERROR(INDEX('Orders Ledger'!$A$2:$A$1501, SMALL(IF(('Orders Ledger'!$J$2:$J$1501="disputed")+('Orders Ledger'!$J$2:$J$1501="PENDING_REVIEW"), ROW('Orders Ledger'!$A$2:$A$1501)-ROW('Orders Ledger'!$A$2)+1), ROW(181:181))), "")</f>
        <v>ORD100793</v>
      </c>
      <c r="C239" s="11" t="str">
        <f>IF(B239="","",_xlfn.XLOOKUP(B239,'Orders Ledger'!$A:$A,'Orders Ledger'!$B:$B,""))</f>
        <v>CUST-1207</v>
      </c>
      <c r="D239" t="str">
        <f>IF(B239="","",_xlfn.XLOOKUP(B239,'Orders Ledger'!$A:$A,'Orders Ledger'!$G:$G,""))</f>
        <v>Canada</v>
      </c>
      <c r="E239" t="str">
        <f>IF(B239="","",_xlfn.XLOOKUP(B239,'Orders Ledger'!$A:$A,'Orders Ledger'!$H:$H,""))</f>
        <v>Bot_Server</v>
      </c>
      <c r="F239" t="str">
        <f>IF(B239="","",_xlfn.XLOOKUP(B239,'Orders Ledger'!$A:$A,'Orders Ledger'!$F:$F,""))</f>
        <v>Digital_Wallet</v>
      </c>
      <c r="G239">
        <f>IF(B239="","",_xlfn.XLOOKUP(B239,'Orders Ledger'!$A:$A,'Orders Ledger'!$N:$N,0))</f>
        <v>6396.32</v>
      </c>
    </row>
    <row r="240" spans="2:7" x14ac:dyDescent="0.3">
      <c r="B240" t="str">
        <f t="array" ref="B240">IFERROR(INDEX('Orders Ledger'!$A$2:$A$1501, SMALL(IF(('Orders Ledger'!$J$2:$J$1501="disputed")+('Orders Ledger'!$J$2:$J$1501="PENDING_REVIEW"), ROW('Orders Ledger'!$A$2:$A$1501)-ROW('Orders Ledger'!$A$2)+1), ROW(182:182))), "")</f>
        <v>ORD100798</v>
      </c>
      <c r="C240" s="11" t="str">
        <f>IF(B240="","",_xlfn.XLOOKUP(B240,'Orders Ledger'!$A:$A,'Orders Ledger'!$B:$B,""))</f>
        <v>CUST-1185</v>
      </c>
      <c r="D240" t="str">
        <f>IF(B240="","",_xlfn.XLOOKUP(B240,'Orders Ledger'!$A:$A,'Orders Ledger'!$G:$G,""))</f>
        <v>Unknown Blacklisted Zone</v>
      </c>
      <c r="E240" t="str">
        <f>IF(B240="","",_xlfn.XLOOKUP(B240,'Orders Ledger'!$A:$A,'Orders Ledger'!$H:$H,""))</f>
        <v>Bot_Server</v>
      </c>
      <c r="F240" t="str">
        <f>IF(B240="","",_xlfn.XLOOKUP(B240,'Orders Ledger'!$A:$A,'Orders Ledger'!$F:$F,""))</f>
        <v>Crypto_Proxy</v>
      </c>
      <c r="G240">
        <f>IF(B240="","",_xlfn.XLOOKUP(B240,'Orders Ledger'!$A:$A,'Orders Ledger'!$N:$N,0))</f>
        <v>272.16000000000003</v>
      </c>
    </row>
    <row r="241" spans="2:7" x14ac:dyDescent="0.3">
      <c r="B241" t="str">
        <f t="array" ref="B241">IFERROR(INDEX('Orders Ledger'!$A$2:$A$1501, SMALL(IF(('Orders Ledger'!$J$2:$J$1501="disputed")+('Orders Ledger'!$J$2:$J$1501="PENDING_REVIEW"), ROW('Orders Ledger'!$A$2:$A$1501)-ROW('Orders Ledger'!$A$2)+1), ROW(183:183))), "")</f>
        <v>ORD100805</v>
      </c>
      <c r="C241" s="11" t="str">
        <f>IF(B241="","",_xlfn.XLOOKUP(B241,'Orders Ledger'!$A:$A,'Orders Ledger'!$B:$B,""))</f>
        <v>CUST-1268</v>
      </c>
      <c r="D241" t="str">
        <f>IF(B241="","",_xlfn.XLOOKUP(B241,'Orders Ledger'!$A:$A,'Orders Ledger'!$G:$G,""))</f>
        <v>High-Risk Country Proxy</v>
      </c>
      <c r="E241" t="str">
        <f>IF(B241="","",_xlfn.XLOOKUP(B241,'Orders Ledger'!$A:$A,'Orders Ledger'!$H:$H,""))</f>
        <v>Desktop</v>
      </c>
      <c r="F241" t="str">
        <f>IF(B241="","",_xlfn.XLOOKUP(B241,'Orders Ledger'!$A:$A,'Orders Ledger'!$F:$F,""))</f>
        <v>Crypto_Proxy</v>
      </c>
      <c r="G241">
        <f>IF(B241="","",_xlfn.XLOOKUP(B241,'Orders Ledger'!$A:$A,'Orders Ledger'!$N:$N,0))</f>
        <v>96.93</v>
      </c>
    </row>
    <row r="242" spans="2:7" x14ac:dyDescent="0.3">
      <c r="B242" t="str">
        <f t="array" ref="B242">IFERROR(INDEX('Orders Ledger'!$A$2:$A$1501, SMALL(IF(('Orders Ledger'!$J$2:$J$1501="disputed")+('Orders Ledger'!$J$2:$J$1501="PENDING_REVIEW"), ROW('Orders Ledger'!$A$2:$A$1501)-ROW('Orders Ledger'!$A$2)+1), ROW(184:184))), "")</f>
        <v>ORD100809</v>
      </c>
      <c r="C242" s="11" t="str">
        <f>IF(B242="","",_xlfn.XLOOKUP(B242,'Orders Ledger'!$A:$A,'Orders Ledger'!$B:$B,""))</f>
        <v>CUST-1173</v>
      </c>
      <c r="D242" t="str">
        <f>IF(B242="","",_xlfn.XLOOKUP(B242,'Orders Ledger'!$A:$A,'Orders Ledger'!$G:$G,""))</f>
        <v>Unknown Blacklisted Zone</v>
      </c>
      <c r="E242" t="str">
        <f>IF(B242="","",_xlfn.XLOOKUP(B242,'Orders Ledger'!$A:$A,'Orders Ledger'!$H:$H,""))</f>
        <v>Mobile_Emulator</v>
      </c>
      <c r="F242" t="str">
        <f>IF(B242="","",_xlfn.XLOOKUP(B242,'Orders Ledger'!$A:$A,'Orders Ledger'!$F:$F,""))</f>
        <v>Digital_Wallet</v>
      </c>
      <c r="G242">
        <f>IF(B242="","",_xlfn.XLOOKUP(B242,'Orders Ledger'!$A:$A,'Orders Ledger'!$N:$N,0))</f>
        <v>7995.4</v>
      </c>
    </row>
    <row r="243" spans="2:7" x14ac:dyDescent="0.3">
      <c r="B243" t="str">
        <f t="array" ref="B243">IFERROR(INDEX('Orders Ledger'!$A$2:$A$1501, SMALL(IF(('Orders Ledger'!$J$2:$J$1501="disputed")+('Orders Ledger'!$J$2:$J$1501="PENDING_REVIEW"), ROW('Orders Ledger'!$A$2:$A$1501)-ROW('Orders Ledger'!$A$2)+1), ROW(185:185))), "")</f>
        <v>ORD100816</v>
      </c>
      <c r="C243" s="11" t="str">
        <f>IF(B243="","",_xlfn.XLOOKUP(B243,'Orders Ledger'!$A:$A,'Orders Ledger'!$B:$B,""))</f>
        <v>CUST-1271</v>
      </c>
      <c r="D243" t="str">
        <f>IF(B243="","",_xlfn.XLOOKUP(B243,'Orders Ledger'!$A:$A,'Orders Ledger'!$G:$G,""))</f>
        <v>United Kingdom</v>
      </c>
      <c r="E243" t="str">
        <f>IF(B243="","",_xlfn.XLOOKUP(B243,'Orders Ledger'!$A:$A,'Orders Ledger'!$H:$H,""))</f>
        <v>Mobile_Emulator</v>
      </c>
      <c r="F243" t="str">
        <f>IF(B243="","",_xlfn.XLOOKUP(B243,'Orders Ledger'!$A:$A,'Orders Ledger'!$F:$F,""))</f>
        <v>Credit_Card</v>
      </c>
      <c r="G243">
        <f>IF(B243="","",_xlfn.XLOOKUP(B243,'Orders Ledger'!$A:$A,'Orders Ledger'!$N:$N,0))</f>
        <v>315.82</v>
      </c>
    </row>
    <row r="244" spans="2:7" x14ac:dyDescent="0.3">
      <c r="B244" t="str">
        <f t="array" ref="B244">IFERROR(INDEX('Orders Ledger'!$A$2:$A$1501, SMALL(IF(('Orders Ledger'!$J$2:$J$1501="disputed")+('Orders Ledger'!$J$2:$J$1501="PENDING_REVIEW"), ROW('Orders Ledger'!$A$2:$A$1501)-ROW('Orders Ledger'!$A$2)+1), ROW(186:186))), "")</f>
        <v>ORD100821</v>
      </c>
      <c r="C244" s="11" t="str">
        <f>IF(B244="","",_xlfn.XLOOKUP(B244,'Orders Ledger'!$A:$A,'Orders Ledger'!$B:$B,""))</f>
        <v>CUST-1075</v>
      </c>
      <c r="D244" t="str">
        <f>IF(B244="","",_xlfn.XLOOKUP(B244,'Orders Ledger'!$A:$A,'Orders Ledger'!$G:$G,""))</f>
        <v>Germany</v>
      </c>
      <c r="E244" t="str">
        <f>IF(B244="","",_xlfn.XLOOKUP(B244,'Orders Ledger'!$A:$A,'Orders Ledger'!$H:$H,""))</f>
        <v>Bot_Server</v>
      </c>
      <c r="F244" t="str">
        <f>IF(B244="","",_xlfn.XLOOKUP(B244,'Orders Ledger'!$A:$A,'Orders Ledger'!$F:$F,""))</f>
        <v>Credit_Card</v>
      </c>
      <c r="G244">
        <f>IF(B244="","",_xlfn.XLOOKUP(B244,'Orders Ledger'!$A:$A,'Orders Ledger'!$N:$N,0))</f>
        <v>425.14</v>
      </c>
    </row>
    <row r="245" spans="2:7" x14ac:dyDescent="0.3">
      <c r="B245" t="str">
        <f t="array" ref="B245">IFERROR(INDEX('Orders Ledger'!$A$2:$A$1501, SMALL(IF(('Orders Ledger'!$J$2:$J$1501="disputed")+('Orders Ledger'!$J$2:$J$1501="PENDING_REVIEW"), ROW('Orders Ledger'!$A$2:$A$1501)-ROW('Orders Ledger'!$A$2)+1), ROW(187:187))), "")</f>
        <v>ORD100823</v>
      </c>
      <c r="C245" s="11" t="str">
        <f>IF(B245="","",_xlfn.XLOOKUP(B245,'Orders Ledger'!$A:$A,'Orders Ledger'!$B:$B,""))</f>
        <v>CUST-1052</v>
      </c>
      <c r="D245" t="str">
        <f>IF(B245="","",_xlfn.XLOOKUP(B245,'Orders Ledger'!$A:$A,'Orders Ledger'!$G:$G,""))</f>
        <v>United States</v>
      </c>
      <c r="E245" t="str">
        <f>IF(B245="","",_xlfn.XLOOKUP(B245,'Orders Ledger'!$A:$A,'Orders Ledger'!$H:$H,""))</f>
        <v>Desktop</v>
      </c>
      <c r="F245" t="str">
        <f>IF(B245="","",_xlfn.XLOOKUP(B245,'Orders Ledger'!$A:$A,'Orders Ledger'!$F:$F,""))</f>
        <v>Digital_Wallet</v>
      </c>
      <c r="G245">
        <f>IF(B245="","",_xlfn.XLOOKUP(B245,'Orders Ledger'!$A:$A,'Orders Ledger'!$N:$N,0))</f>
        <v>69.680000000000007</v>
      </c>
    </row>
    <row r="246" spans="2:7" x14ac:dyDescent="0.3">
      <c r="B246" t="str">
        <f t="array" ref="B246">IFERROR(INDEX('Orders Ledger'!$A$2:$A$1501, SMALL(IF(('Orders Ledger'!$J$2:$J$1501="disputed")+('Orders Ledger'!$J$2:$J$1501="PENDING_REVIEW"), ROW('Orders Ledger'!$A$2:$A$1501)-ROW('Orders Ledger'!$A$2)+1), ROW(188:188))), "")</f>
        <v>ORD100826</v>
      </c>
      <c r="C246" s="11" t="str">
        <f>IF(B246="","",_xlfn.XLOOKUP(B246,'Orders Ledger'!$A:$A,'Orders Ledger'!$B:$B,""))</f>
        <v>CUST-1101</v>
      </c>
      <c r="D246" t="str">
        <f>IF(B246="","",_xlfn.XLOOKUP(B246,'Orders Ledger'!$A:$A,'Orders Ledger'!$G:$G,""))</f>
        <v>Unknown Blacklisted Zone</v>
      </c>
      <c r="E246" t="str">
        <f>IF(B246="","",_xlfn.XLOOKUP(B246,'Orders Ledger'!$A:$A,'Orders Ledger'!$H:$H,""))</f>
        <v>Bot_Server</v>
      </c>
      <c r="F246" t="str">
        <f>IF(B246="","",_xlfn.XLOOKUP(B246,'Orders Ledger'!$A:$A,'Orders Ledger'!$F:$F,""))</f>
        <v>Digital_Wallet</v>
      </c>
      <c r="G246">
        <f>IF(B246="","",_xlfn.XLOOKUP(B246,'Orders Ledger'!$A:$A,'Orders Ledger'!$N:$N,0))</f>
        <v>55.69</v>
      </c>
    </row>
    <row r="247" spans="2:7" x14ac:dyDescent="0.3">
      <c r="B247" t="str">
        <f t="array" ref="B247">IFERROR(INDEX('Orders Ledger'!$A$2:$A$1501, SMALL(IF(('Orders Ledger'!$J$2:$J$1501="disputed")+('Orders Ledger'!$J$2:$J$1501="PENDING_REVIEW"), ROW('Orders Ledger'!$A$2:$A$1501)-ROW('Orders Ledger'!$A$2)+1), ROW(189:189))), "")</f>
        <v>ORD100828</v>
      </c>
      <c r="C247" s="11" t="str">
        <f>IF(B247="","",_xlfn.XLOOKUP(B247,'Orders Ledger'!$A:$A,'Orders Ledger'!$B:$B,""))</f>
        <v>CUST-1078</v>
      </c>
      <c r="D247" t="str">
        <f>IF(B247="","",_xlfn.XLOOKUP(B247,'Orders Ledger'!$A:$A,'Orders Ledger'!$G:$G,""))</f>
        <v>Unknown Blacklisted Zone</v>
      </c>
      <c r="E247" t="str">
        <f>IF(B247="","",_xlfn.XLOOKUP(B247,'Orders Ledger'!$A:$A,'Orders Ledger'!$H:$H,""))</f>
        <v>Mobile_Emulator</v>
      </c>
      <c r="F247" t="str">
        <f>IF(B247="","",_xlfn.XLOOKUP(B247,'Orders Ledger'!$A:$A,'Orders Ledger'!$F:$F,""))</f>
        <v>Stolen_Card_Sim</v>
      </c>
      <c r="G247">
        <f>IF(B247="","",_xlfn.XLOOKUP(B247,'Orders Ledger'!$A:$A,'Orders Ledger'!$N:$N,0))</f>
        <v>29.9</v>
      </c>
    </row>
    <row r="248" spans="2:7" x14ac:dyDescent="0.3">
      <c r="B248" t="str">
        <f t="array" ref="B248">IFERROR(INDEX('Orders Ledger'!$A$2:$A$1501, SMALL(IF(('Orders Ledger'!$J$2:$J$1501="disputed")+('Orders Ledger'!$J$2:$J$1501="PENDING_REVIEW"), ROW('Orders Ledger'!$A$2:$A$1501)-ROW('Orders Ledger'!$A$2)+1), ROW(190:190))), "")</f>
        <v>ORD100832</v>
      </c>
      <c r="C248" s="11" t="str">
        <f>IF(B248="","",_xlfn.XLOOKUP(B248,'Orders Ledger'!$A:$A,'Orders Ledger'!$B:$B,""))</f>
        <v>CUST-1237</v>
      </c>
      <c r="D248" t="str">
        <f>IF(B248="","",_xlfn.XLOOKUP(B248,'Orders Ledger'!$A:$A,'Orders Ledger'!$G:$G,""))</f>
        <v>Unknown Blacklisted Zone</v>
      </c>
      <c r="E248" t="str">
        <f>IF(B248="","",_xlfn.XLOOKUP(B248,'Orders Ledger'!$A:$A,'Orders Ledger'!$H:$H,""))</f>
        <v>Desktop</v>
      </c>
      <c r="F248" t="str">
        <f>IF(B248="","",_xlfn.XLOOKUP(B248,'Orders Ledger'!$A:$A,'Orders Ledger'!$F:$F,""))</f>
        <v>Stolen_Card_Sim</v>
      </c>
      <c r="G248">
        <f>IF(B248="","",_xlfn.XLOOKUP(B248,'Orders Ledger'!$A:$A,'Orders Ledger'!$N:$N,0))</f>
        <v>737.6</v>
      </c>
    </row>
    <row r="249" spans="2:7" x14ac:dyDescent="0.3">
      <c r="B249" t="str">
        <f t="array" ref="B249">IFERROR(INDEX('Orders Ledger'!$A$2:$A$1501, SMALL(IF(('Orders Ledger'!$J$2:$J$1501="disputed")+('Orders Ledger'!$J$2:$J$1501="PENDING_REVIEW"), ROW('Orders Ledger'!$A$2:$A$1501)-ROW('Orders Ledger'!$A$2)+1), ROW(191:191))), "")</f>
        <v>ORD100833</v>
      </c>
      <c r="C249" s="11" t="str">
        <f>IF(B249="","",_xlfn.XLOOKUP(B249,'Orders Ledger'!$A:$A,'Orders Ledger'!$B:$B,""))</f>
        <v>CUST-1288</v>
      </c>
      <c r="D249" t="str">
        <f>IF(B249="","",_xlfn.XLOOKUP(B249,'Orders Ledger'!$A:$A,'Orders Ledger'!$G:$G,""))</f>
        <v>Germany</v>
      </c>
      <c r="E249" t="str">
        <f>IF(B249="","",_xlfn.XLOOKUP(B249,'Orders Ledger'!$A:$A,'Orders Ledger'!$H:$H,""))</f>
        <v>Desktop</v>
      </c>
      <c r="F249" t="str">
        <f>IF(B249="","",_xlfn.XLOOKUP(B249,'Orders Ledger'!$A:$A,'Orders Ledger'!$F:$F,""))</f>
        <v>Credit_Card</v>
      </c>
      <c r="G249">
        <f>IF(B249="","",_xlfn.XLOOKUP(B249,'Orders Ledger'!$A:$A,'Orders Ledger'!$N:$N,0))</f>
        <v>2423.4</v>
      </c>
    </row>
    <row r="250" spans="2:7" x14ac:dyDescent="0.3">
      <c r="B250" t="str">
        <f t="array" ref="B250">IFERROR(INDEX('Orders Ledger'!$A$2:$A$1501, SMALL(IF(('Orders Ledger'!$J$2:$J$1501="disputed")+('Orders Ledger'!$J$2:$J$1501="PENDING_REVIEW"), ROW('Orders Ledger'!$A$2:$A$1501)-ROW('Orders Ledger'!$A$2)+1), ROW(192:192))), "")</f>
        <v>ORD100836</v>
      </c>
      <c r="C250" s="11" t="str">
        <f>IF(B250="","",_xlfn.XLOOKUP(B250,'Orders Ledger'!$A:$A,'Orders Ledger'!$B:$B,""))</f>
        <v>CUST-1289</v>
      </c>
      <c r="D250" t="str">
        <f>IF(B250="","",_xlfn.XLOOKUP(B250,'Orders Ledger'!$A:$A,'Orders Ledger'!$G:$G,""))</f>
        <v>High-Risk Country Proxy</v>
      </c>
      <c r="E250" t="str">
        <f>IF(B250="","",_xlfn.XLOOKUP(B250,'Orders Ledger'!$A:$A,'Orders Ledger'!$H:$H,""))</f>
        <v>Mobile_Emulator</v>
      </c>
      <c r="F250" t="str">
        <f>IF(B250="","",_xlfn.XLOOKUP(B250,'Orders Ledger'!$A:$A,'Orders Ledger'!$F:$F,""))</f>
        <v>Stolen_Card_Sim</v>
      </c>
      <c r="G250">
        <f>IF(B250="","",_xlfn.XLOOKUP(B250,'Orders Ledger'!$A:$A,'Orders Ledger'!$N:$N,0))</f>
        <v>645.65</v>
      </c>
    </row>
    <row r="251" spans="2:7" x14ac:dyDescent="0.3">
      <c r="B251" t="str">
        <f t="array" ref="B251">IFERROR(INDEX('Orders Ledger'!$A$2:$A$1501, SMALL(IF(('Orders Ledger'!$J$2:$J$1501="disputed")+('Orders Ledger'!$J$2:$J$1501="PENDING_REVIEW"), ROW('Orders Ledger'!$A$2:$A$1501)-ROW('Orders Ledger'!$A$2)+1), ROW(193:193))), "")</f>
        <v>ORD100840</v>
      </c>
      <c r="C251" s="11" t="str">
        <f>IF(B251="","",_xlfn.XLOOKUP(B251,'Orders Ledger'!$A:$A,'Orders Ledger'!$B:$B,""))</f>
        <v>CUST-1225</v>
      </c>
      <c r="D251" t="str">
        <f>IF(B251="","",_xlfn.XLOOKUP(B251,'Orders Ledger'!$A:$A,'Orders Ledger'!$G:$G,""))</f>
        <v>Canada</v>
      </c>
      <c r="E251" t="str">
        <f>IF(B251="","",_xlfn.XLOOKUP(B251,'Orders Ledger'!$A:$A,'Orders Ledger'!$H:$H,""))</f>
        <v>Bot_Server</v>
      </c>
      <c r="F251" t="str">
        <f>IF(B251="","",_xlfn.XLOOKUP(B251,'Orders Ledger'!$A:$A,'Orders Ledger'!$F:$F,""))</f>
        <v>Stolen_Card_Sim</v>
      </c>
      <c r="G251">
        <f>IF(B251="","",_xlfn.XLOOKUP(B251,'Orders Ledger'!$A:$A,'Orders Ledger'!$N:$N,0))</f>
        <v>7500.96</v>
      </c>
    </row>
    <row r="252" spans="2:7" x14ac:dyDescent="0.3">
      <c r="B252" t="str">
        <f t="array" ref="B252">IFERROR(INDEX('Orders Ledger'!$A$2:$A$1501, SMALL(IF(('Orders Ledger'!$J$2:$J$1501="disputed")+('Orders Ledger'!$J$2:$J$1501="PENDING_REVIEW"), ROW('Orders Ledger'!$A$2:$A$1501)-ROW('Orders Ledger'!$A$2)+1), ROW(194:194))), "")</f>
        <v>ORD100841</v>
      </c>
      <c r="C252" s="11" t="str">
        <f>IF(B252="","",_xlfn.XLOOKUP(B252,'Orders Ledger'!$A:$A,'Orders Ledger'!$B:$B,""))</f>
        <v>CUST-1034</v>
      </c>
      <c r="D252" t="str">
        <f>IF(B252="","",_xlfn.XLOOKUP(B252,'Orders Ledger'!$A:$A,'Orders Ledger'!$G:$G,""))</f>
        <v>High-Risk Country Proxy</v>
      </c>
      <c r="E252" t="str">
        <f>IF(B252="","",_xlfn.XLOOKUP(B252,'Orders Ledger'!$A:$A,'Orders Ledger'!$H:$H,""))</f>
        <v>Bot_Server</v>
      </c>
      <c r="F252" t="str">
        <f>IF(B252="","",_xlfn.XLOOKUP(B252,'Orders Ledger'!$A:$A,'Orders Ledger'!$F:$F,""))</f>
        <v>Credit_Card</v>
      </c>
      <c r="G252">
        <f>IF(B252="","",_xlfn.XLOOKUP(B252,'Orders Ledger'!$A:$A,'Orders Ledger'!$N:$N,0))</f>
        <v>899.17</v>
      </c>
    </row>
    <row r="253" spans="2:7" x14ac:dyDescent="0.3">
      <c r="B253" t="str">
        <f t="array" ref="B253">IFERROR(INDEX('Orders Ledger'!$A$2:$A$1501, SMALL(IF(('Orders Ledger'!$J$2:$J$1501="disputed")+('Orders Ledger'!$J$2:$J$1501="PENDING_REVIEW"), ROW('Orders Ledger'!$A$2:$A$1501)-ROW('Orders Ledger'!$A$2)+1), ROW(195:195))), "")</f>
        <v>ORD100842</v>
      </c>
      <c r="C253" s="11" t="str">
        <f>IF(B253="","",_xlfn.XLOOKUP(B253,'Orders Ledger'!$A:$A,'Orders Ledger'!$B:$B,""))</f>
        <v>CUST-1240</v>
      </c>
      <c r="D253" t="str">
        <f>IF(B253="","",_xlfn.XLOOKUP(B253,'Orders Ledger'!$A:$A,'Orders Ledger'!$G:$G,""))</f>
        <v>Germany</v>
      </c>
      <c r="E253" t="str">
        <f>IF(B253="","",_xlfn.XLOOKUP(B253,'Orders Ledger'!$A:$A,'Orders Ledger'!$H:$H,""))</f>
        <v>Desktop</v>
      </c>
      <c r="F253" t="str">
        <f>IF(B253="","",_xlfn.XLOOKUP(B253,'Orders Ledger'!$A:$A,'Orders Ledger'!$F:$F,""))</f>
        <v>Digital_Wallet</v>
      </c>
      <c r="G253">
        <f>IF(B253="","",_xlfn.XLOOKUP(B253,'Orders Ledger'!$A:$A,'Orders Ledger'!$N:$N,0))</f>
        <v>68.040000000000006</v>
      </c>
    </row>
    <row r="254" spans="2:7" x14ac:dyDescent="0.3">
      <c r="B254" t="str">
        <f t="array" ref="B254">IFERROR(INDEX('Orders Ledger'!$A$2:$A$1501, SMALL(IF(('Orders Ledger'!$J$2:$J$1501="disputed")+('Orders Ledger'!$J$2:$J$1501="PENDING_REVIEW"), ROW('Orders Ledger'!$A$2:$A$1501)-ROW('Orders Ledger'!$A$2)+1), ROW(196:196))), "")</f>
        <v>ORD100847</v>
      </c>
      <c r="C254" s="11" t="str">
        <f>IF(B254="","",_xlfn.XLOOKUP(B254,'Orders Ledger'!$A:$A,'Orders Ledger'!$B:$B,""))</f>
        <v>CUST-1180</v>
      </c>
      <c r="D254" t="str">
        <f>IF(B254="","",_xlfn.XLOOKUP(B254,'Orders Ledger'!$A:$A,'Orders Ledger'!$G:$G,""))</f>
        <v>High-Risk Country Proxy</v>
      </c>
      <c r="E254" t="str">
        <f>IF(B254="","",_xlfn.XLOOKUP(B254,'Orders Ledger'!$A:$A,'Orders Ledger'!$H:$H,""))</f>
        <v>Mobile_Emulator</v>
      </c>
      <c r="F254" t="str">
        <f>IF(B254="","",_xlfn.XLOOKUP(B254,'Orders Ledger'!$A:$A,'Orders Ledger'!$F:$F,""))</f>
        <v>Stolen_Card_Sim</v>
      </c>
      <c r="G254">
        <f>IF(B254="","",_xlfn.XLOOKUP(B254,'Orders Ledger'!$A:$A,'Orders Ledger'!$N:$N,0))</f>
        <v>120.72</v>
      </c>
    </row>
    <row r="255" spans="2:7" x14ac:dyDescent="0.3">
      <c r="B255" t="str">
        <f t="array" ref="B255">IFERROR(INDEX('Orders Ledger'!$A$2:$A$1501, SMALL(IF(('Orders Ledger'!$J$2:$J$1501="disputed")+('Orders Ledger'!$J$2:$J$1501="PENDING_REVIEW"), ROW('Orders Ledger'!$A$2:$A$1501)-ROW('Orders Ledger'!$A$2)+1), ROW(197:197))), "")</f>
        <v>ORD100848</v>
      </c>
      <c r="C255" s="11" t="str">
        <f>IF(B255="","",_xlfn.XLOOKUP(B255,'Orders Ledger'!$A:$A,'Orders Ledger'!$B:$B,""))</f>
        <v>CUST-1259</v>
      </c>
      <c r="D255" t="str">
        <f>IF(B255="","",_xlfn.XLOOKUP(B255,'Orders Ledger'!$A:$A,'Orders Ledger'!$G:$G,""))</f>
        <v>High-Risk Country Proxy</v>
      </c>
      <c r="E255" t="str">
        <f>IF(B255="","",_xlfn.XLOOKUP(B255,'Orders Ledger'!$A:$A,'Orders Ledger'!$H:$H,""))</f>
        <v>Desktop</v>
      </c>
      <c r="F255" t="str">
        <f>IF(B255="","",_xlfn.XLOOKUP(B255,'Orders Ledger'!$A:$A,'Orders Ledger'!$F:$F,""))</f>
        <v>Crypto_Proxy</v>
      </c>
      <c r="G255">
        <f>IF(B255="","",_xlfn.XLOOKUP(B255,'Orders Ledger'!$A:$A,'Orders Ledger'!$N:$N,0))</f>
        <v>420.05</v>
      </c>
    </row>
    <row r="256" spans="2:7" x14ac:dyDescent="0.3">
      <c r="B256" t="str">
        <f t="array" ref="B256">IFERROR(INDEX('Orders Ledger'!$A$2:$A$1501, SMALL(IF(('Orders Ledger'!$J$2:$J$1501="disputed")+('Orders Ledger'!$J$2:$J$1501="PENDING_REVIEW"), ROW('Orders Ledger'!$A$2:$A$1501)-ROW('Orders Ledger'!$A$2)+1), ROW(198:198))), "")</f>
        <v>ORD100849</v>
      </c>
      <c r="C256" s="11" t="str">
        <f>IF(B256="","",_xlfn.XLOOKUP(B256,'Orders Ledger'!$A:$A,'Orders Ledger'!$B:$B,""))</f>
        <v>CUST-1037</v>
      </c>
      <c r="D256" t="str">
        <f>IF(B256="","",_xlfn.XLOOKUP(B256,'Orders Ledger'!$A:$A,'Orders Ledger'!$G:$G,""))</f>
        <v>High-Risk Country Proxy</v>
      </c>
      <c r="E256" t="str">
        <f>IF(B256="","",_xlfn.XLOOKUP(B256,'Orders Ledger'!$A:$A,'Orders Ledger'!$H:$H,""))</f>
        <v>Bot_Server</v>
      </c>
      <c r="F256" t="str">
        <f>IF(B256="","",_xlfn.XLOOKUP(B256,'Orders Ledger'!$A:$A,'Orders Ledger'!$F:$F,""))</f>
        <v>Credit_Card</v>
      </c>
      <c r="G256">
        <f>IF(B256="","",_xlfn.XLOOKUP(B256,'Orders Ledger'!$A:$A,'Orders Ledger'!$N:$N,0))</f>
        <v>1245.53</v>
      </c>
    </row>
    <row r="257" spans="2:7" x14ac:dyDescent="0.3">
      <c r="B257" t="str">
        <f t="array" ref="B257">IFERROR(INDEX('Orders Ledger'!$A$2:$A$1501, SMALL(IF(('Orders Ledger'!$J$2:$J$1501="disputed")+('Orders Ledger'!$J$2:$J$1501="PENDING_REVIEW"), ROW('Orders Ledger'!$A$2:$A$1501)-ROW('Orders Ledger'!$A$2)+1), ROW(199:199))), "")</f>
        <v>ORD100853</v>
      </c>
      <c r="C257" s="11" t="str">
        <f>IF(B257="","",_xlfn.XLOOKUP(B257,'Orders Ledger'!$A:$A,'Orders Ledger'!$B:$B,""))</f>
        <v>CUST-1019</v>
      </c>
      <c r="D257" t="str">
        <f>IF(B257="","",_xlfn.XLOOKUP(B257,'Orders Ledger'!$A:$A,'Orders Ledger'!$G:$G,""))</f>
        <v>Unknown Blacklisted Zone</v>
      </c>
      <c r="E257" t="str">
        <f>IF(B257="","",_xlfn.XLOOKUP(B257,'Orders Ledger'!$A:$A,'Orders Ledger'!$H:$H,""))</f>
        <v>Desktop</v>
      </c>
      <c r="F257" t="str">
        <f>IF(B257="","",_xlfn.XLOOKUP(B257,'Orders Ledger'!$A:$A,'Orders Ledger'!$F:$F,""))</f>
        <v>Digital_Wallet</v>
      </c>
      <c r="G257">
        <f>IF(B257="","",_xlfn.XLOOKUP(B257,'Orders Ledger'!$A:$A,'Orders Ledger'!$N:$N,0))</f>
        <v>3838.8999999999996</v>
      </c>
    </row>
    <row r="258" spans="2:7" x14ac:dyDescent="0.3">
      <c r="B258" t="str">
        <f t="array" ref="B258">IFERROR(INDEX('Orders Ledger'!$A$2:$A$1501, SMALL(IF(('Orders Ledger'!$J$2:$J$1501="disputed")+('Orders Ledger'!$J$2:$J$1501="PENDING_REVIEW"), ROW('Orders Ledger'!$A$2:$A$1501)-ROW('Orders Ledger'!$A$2)+1), ROW(200:200))), "")</f>
        <v>ORD100854</v>
      </c>
      <c r="C258" s="11" t="str">
        <f>IF(B258="","",_xlfn.XLOOKUP(B258,'Orders Ledger'!$A:$A,'Orders Ledger'!$B:$B,""))</f>
        <v>CUST-1029</v>
      </c>
      <c r="D258" t="str">
        <f>IF(B258="","",_xlfn.XLOOKUP(B258,'Orders Ledger'!$A:$A,'Orders Ledger'!$G:$G,""))</f>
        <v>Germany</v>
      </c>
      <c r="E258" t="str">
        <f>IF(B258="","",_xlfn.XLOOKUP(B258,'Orders Ledger'!$A:$A,'Orders Ledger'!$H:$H,""))</f>
        <v>Desktop</v>
      </c>
      <c r="F258" t="str">
        <f>IF(B258="","",_xlfn.XLOOKUP(B258,'Orders Ledger'!$A:$A,'Orders Ledger'!$F:$F,""))</f>
        <v>Digital_Wallet</v>
      </c>
      <c r="G258">
        <f>IF(B258="","",_xlfn.XLOOKUP(B258,'Orders Ledger'!$A:$A,'Orders Ledger'!$N:$N,0))</f>
        <v>1437.32</v>
      </c>
    </row>
    <row r="259" spans="2:7" x14ac:dyDescent="0.3">
      <c r="B259" t="str">
        <f t="array" ref="B259">IFERROR(INDEX('Orders Ledger'!$A$2:$A$1501, SMALL(IF(('Orders Ledger'!$J$2:$J$1501="disputed")+('Orders Ledger'!$J$2:$J$1501="PENDING_REVIEW"), ROW('Orders Ledger'!$A$2:$A$1501)-ROW('Orders Ledger'!$A$2)+1), ROW(201:201))), "")</f>
        <v>ORD100857</v>
      </c>
      <c r="C259" s="11" t="str">
        <f>IF(B259="","",_xlfn.XLOOKUP(B259,'Orders Ledger'!$A:$A,'Orders Ledger'!$B:$B,""))</f>
        <v>CUST-1039</v>
      </c>
      <c r="D259" t="str">
        <f>IF(B259="","",_xlfn.XLOOKUP(B259,'Orders Ledger'!$A:$A,'Orders Ledger'!$G:$G,""))</f>
        <v>United States</v>
      </c>
      <c r="E259" t="str">
        <f>IF(B259="","",_xlfn.XLOOKUP(B259,'Orders Ledger'!$A:$A,'Orders Ledger'!$H:$H,""))</f>
        <v>Desktop</v>
      </c>
      <c r="F259" t="str">
        <f>IF(B259="","",_xlfn.XLOOKUP(B259,'Orders Ledger'!$A:$A,'Orders Ledger'!$F:$F,""))</f>
        <v>Credit_Card</v>
      </c>
      <c r="G259">
        <f>IF(B259="","",_xlfn.XLOOKUP(B259,'Orders Ledger'!$A:$A,'Orders Ledger'!$N:$N,0))</f>
        <v>1769.3</v>
      </c>
    </row>
    <row r="260" spans="2:7" x14ac:dyDescent="0.3">
      <c r="B260" t="str">
        <f t="array" ref="B260">IFERROR(INDEX('Orders Ledger'!$A$2:$A$1501, SMALL(IF(('Orders Ledger'!$J$2:$J$1501="disputed")+('Orders Ledger'!$J$2:$J$1501="PENDING_REVIEW"), ROW('Orders Ledger'!$A$2:$A$1501)-ROW('Orders Ledger'!$A$2)+1), ROW(202:202))), "")</f>
        <v>ORD100864</v>
      </c>
      <c r="C260" s="11" t="str">
        <f>IF(B260="","",_xlfn.XLOOKUP(B260,'Orders Ledger'!$A:$A,'Orders Ledger'!$B:$B,""))</f>
        <v>CUST-1021</v>
      </c>
      <c r="D260" t="str">
        <f>IF(B260="","",_xlfn.XLOOKUP(B260,'Orders Ledger'!$A:$A,'Orders Ledger'!$G:$G,""))</f>
        <v>United Kingdom</v>
      </c>
      <c r="E260" t="str">
        <f>IF(B260="","",_xlfn.XLOOKUP(B260,'Orders Ledger'!$A:$A,'Orders Ledger'!$H:$H,""))</f>
        <v>Desktop</v>
      </c>
      <c r="F260" t="str">
        <f>IF(B260="","",_xlfn.XLOOKUP(B260,'Orders Ledger'!$A:$A,'Orders Ledger'!$F:$F,""))</f>
        <v>Digital_Wallet</v>
      </c>
      <c r="G260">
        <f>IF(B260="","",_xlfn.XLOOKUP(B260,'Orders Ledger'!$A:$A,'Orders Ledger'!$N:$N,0))</f>
        <v>112.89</v>
      </c>
    </row>
    <row r="261" spans="2:7" x14ac:dyDescent="0.3">
      <c r="B261" t="str">
        <f t="array" ref="B261">IFERROR(INDEX('Orders Ledger'!$A$2:$A$1501, SMALL(IF(('Orders Ledger'!$J$2:$J$1501="disputed")+('Orders Ledger'!$J$2:$J$1501="PENDING_REVIEW"), ROW('Orders Ledger'!$A$2:$A$1501)-ROW('Orders Ledger'!$A$2)+1), ROW(203:203))), "")</f>
        <v>ORD100868</v>
      </c>
      <c r="C261" s="11" t="str">
        <f>IF(B261="","",_xlfn.XLOOKUP(B261,'Orders Ledger'!$A:$A,'Orders Ledger'!$B:$B,""))</f>
        <v>CUST-1164</v>
      </c>
      <c r="D261" t="str">
        <f>IF(B261="","",_xlfn.XLOOKUP(B261,'Orders Ledger'!$A:$A,'Orders Ledger'!$G:$G,""))</f>
        <v>High-Risk Country Proxy</v>
      </c>
      <c r="E261" t="str">
        <f>IF(B261="","",_xlfn.XLOOKUP(B261,'Orders Ledger'!$A:$A,'Orders Ledger'!$H:$H,""))</f>
        <v>Desktop</v>
      </c>
      <c r="F261" t="str">
        <f>IF(B261="","",_xlfn.XLOOKUP(B261,'Orders Ledger'!$A:$A,'Orders Ledger'!$F:$F,""))</f>
        <v>Credit_Card</v>
      </c>
      <c r="G261">
        <f>IF(B261="","",_xlfn.XLOOKUP(B261,'Orders Ledger'!$A:$A,'Orders Ledger'!$N:$N,0))</f>
        <v>2423.4</v>
      </c>
    </row>
    <row r="262" spans="2:7" x14ac:dyDescent="0.3">
      <c r="B262" t="str">
        <f t="array" ref="B262">IFERROR(INDEX('Orders Ledger'!$A$2:$A$1501, SMALL(IF(('Orders Ledger'!$J$2:$J$1501="disputed")+('Orders Ledger'!$J$2:$J$1501="PENDING_REVIEW"), ROW('Orders Ledger'!$A$2:$A$1501)-ROW('Orders Ledger'!$A$2)+1), ROW(204:204))), "")</f>
        <v>ORD100873</v>
      </c>
      <c r="C262" s="11" t="str">
        <f>IF(B262="","",_xlfn.XLOOKUP(B262,'Orders Ledger'!$A:$A,'Orders Ledger'!$B:$B,""))</f>
        <v>CUST-1230</v>
      </c>
      <c r="D262" t="str">
        <f>IF(B262="","",_xlfn.XLOOKUP(B262,'Orders Ledger'!$A:$A,'Orders Ledger'!$G:$G,""))</f>
        <v>France</v>
      </c>
      <c r="E262" t="str">
        <f>IF(B262="","",_xlfn.XLOOKUP(B262,'Orders Ledger'!$A:$A,'Orders Ledger'!$H:$H,""))</f>
        <v>Desktop</v>
      </c>
      <c r="F262" t="str">
        <f>IF(B262="","",_xlfn.XLOOKUP(B262,'Orders Ledger'!$A:$A,'Orders Ledger'!$F:$F,""))</f>
        <v>Credit_Card</v>
      </c>
      <c r="G262">
        <f>IF(B262="","",_xlfn.XLOOKUP(B262,'Orders Ledger'!$A:$A,'Orders Ledger'!$N:$N,0))</f>
        <v>3596.68</v>
      </c>
    </row>
    <row r="263" spans="2:7" x14ac:dyDescent="0.3">
      <c r="B263" t="str">
        <f t="array" ref="B263">IFERROR(INDEX('Orders Ledger'!$A$2:$A$1501, SMALL(IF(('Orders Ledger'!$J$2:$J$1501="disputed")+('Orders Ledger'!$J$2:$J$1501="PENDING_REVIEW"), ROW('Orders Ledger'!$A$2:$A$1501)-ROW('Orders Ledger'!$A$2)+1), ROW(205:205))), "")</f>
        <v>ORD100874</v>
      </c>
      <c r="C263" s="11" t="str">
        <f>IF(B263="","",_xlfn.XLOOKUP(B263,'Orders Ledger'!$A:$A,'Orders Ledger'!$B:$B,""))</f>
        <v>CUST-1052</v>
      </c>
      <c r="D263" t="str">
        <f>IF(B263="","",_xlfn.XLOOKUP(B263,'Orders Ledger'!$A:$A,'Orders Ledger'!$G:$G,""))</f>
        <v>Canada</v>
      </c>
      <c r="E263" t="str">
        <f>IF(B263="","",_xlfn.XLOOKUP(B263,'Orders Ledger'!$A:$A,'Orders Ledger'!$H:$H,""))</f>
        <v>Mobile_Emulator</v>
      </c>
      <c r="F263" t="str">
        <f>IF(B263="","",_xlfn.XLOOKUP(B263,'Orders Ledger'!$A:$A,'Orders Ledger'!$F:$F,""))</f>
        <v>Crypto_Proxy</v>
      </c>
      <c r="G263">
        <f>IF(B263="","",_xlfn.XLOOKUP(B263,'Orders Ledger'!$A:$A,'Orders Ledger'!$N:$N,0))</f>
        <v>1374.1</v>
      </c>
    </row>
    <row r="264" spans="2:7" x14ac:dyDescent="0.3">
      <c r="B264" t="str">
        <f t="array" ref="B264">IFERROR(INDEX('Orders Ledger'!$A$2:$A$1501, SMALL(IF(('Orders Ledger'!$J$2:$J$1501="disputed")+('Orders Ledger'!$J$2:$J$1501="PENDING_REVIEW"), ROW('Orders Ledger'!$A$2:$A$1501)-ROW('Orders Ledger'!$A$2)+1), ROW(206:206))), "")</f>
        <v>ORD100875</v>
      </c>
      <c r="C264" s="11" t="str">
        <f>IF(B264="","",_xlfn.XLOOKUP(B264,'Orders Ledger'!$A:$A,'Orders Ledger'!$B:$B,""))</f>
        <v>CUST-1175</v>
      </c>
      <c r="D264" t="str">
        <f>IF(B264="","",_xlfn.XLOOKUP(B264,'Orders Ledger'!$A:$A,'Orders Ledger'!$G:$G,""))</f>
        <v>High-Risk Country Proxy</v>
      </c>
      <c r="E264" t="str">
        <f>IF(B264="","",_xlfn.XLOOKUP(B264,'Orders Ledger'!$A:$A,'Orders Ledger'!$H:$H,""))</f>
        <v>Bot_Server</v>
      </c>
      <c r="F264" t="str">
        <f>IF(B264="","",_xlfn.XLOOKUP(B264,'Orders Ledger'!$A:$A,'Orders Ledger'!$F:$F,""))</f>
        <v>Stolen_Card_Sim</v>
      </c>
      <c r="G264">
        <f>IF(B264="","",_xlfn.XLOOKUP(B264,'Orders Ledger'!$A:$A,'Orders Ledger'!$N:$N,0))</f>
        <v>1475.11</v>
      </c>
    </row>
    <row r="265" spans="2:7" x14ac:dyDescent="0.3">
      <c r="B265" t="str">
        <f t="array" ref="B265">IFERROR(INDEX('Orders Ledger'!$A$2:$A$1501, SMALL(IF(('Orders Ledger'!$J$2:$J$1501="disputed")+('Orders Ledger'!$J$2:$J$1501="PENDING_REVIEW"), ROW('Orders Ledger'!$A$2:$A$1501)-ROW('Orders Ledger'!$A$2)+1), ROW(207:207))), "")</f>
        <v>ORD100879</v>
      </c>
      <c r="C265" s="11" t="str">
        <f>IF(B265="","",_xlfn.XLOOKUP(B265,'Orders Ledger'!$A:$A,'Orders Ledger'!$B:$B,""))</f>
        <v>CUST-1020</v>
      </c>
      <c r="D265" t="str">
        <f>IF(B265="","",_xlfn.XLOOKUP(B265,'Orders Ledger'!$A:$A,'Orders Ledger'!$G:$G,""))</f>
        <v>Unknown Blacklisted Zone</v>
      </c>
      <c r="E265" t="str">
        <f>IF(B265="","",_xlfn.XLOOKUP(B265,'Orders Ledger'!$A:$A,'Orders Ledger'!$H:$H,""))</f>
        <v>Bot_Server</v>
      </c>
      <c r="F265" t="str">
        <f>IF(B265="","",_xlfn.XLOOKUP(B265,'Orders Ledger'!$A:$A,'Orders Ledger'!$F:$F,""))</f>
        <v>Stolen_Card_Sim</v>
      </c>
      <c r="G265">
        <f>IF(B265="","",_xlfn.XLOOKUP(B265,'Orders Ledger'!$A:$A,'Orders Ledger'!$N:$N,0))</f>
        <v>251.44</v>
      </c>
    </row>
    <row r="266" spans="2:7" x14ac:dyDescent="0.3">
      <c r="B266" t="str">
        <f t="array" ref="B266">IFERROR(INDEX('Orders Ledger'!$A$2:$A$1501, SMALL(IF(('Orders Ledger'!$J$2:$J$1501="disputed")+('Orders Ledger'!$J$2:$J$1501="PENDING_REVIEW"), ROW('Orders Ledger'!$A$2:$A$1501)-ROW('Orders Ledger'!$A$2)+1), ROW(208:208))), "")</f>
        <v>ORD100885</v>
      </c>
      <c r="C266" s="11" t="str">
        <f>IF(B266="","",_xlfn.XLOOKUP(B266,'Orders Ledger'!$A:$A,'Orders Ledger'!$B:$B,""))</f>
        <v>CUST-1081</v>
      </c>
      <c r="D266" t="str">
        <f>IF(B266="","",_xlfn.XLOOKUP(B266,'Orders Ledger'!$A:$A,'Orders Ledger'!$G:$G,""))</f>
        <v>Unknown Blacklisted Zone</v>
      </c>
      <c r="E266" t="str">
        <f>IF(B266="","",_xlfn.XLOOKUP(B266,'Orders Ledger'!$A:$A,'Orders Ledger'!$H:$H,""))</f>
        <v>Desktop</v>
      </c>
      <c r="F266" t="str">
        <f>IF(B266="","",_xlfn.XLOOKUP(B266,'Orders Ledger'!$A:$A,'Orders Ledger'!$F:$F,""))</f>
        <v>Digital_Wallet</v>
      </c>
      <c r="G266">
        <f>IF(B266="","",_xlfn.XLOOKUP(B266,'Orders Ledger'!$A:$A,'Orders Ledger'!$N:$N,0))</f>
        <v>187.76</v>
      </c>
    </row>
    <row r="267" spans="2:7" x14ac:dyDescent="0.3">
      <c r="B267" t="str">
        <f t="array" ref="B267">IFERROR(INDEX('Orders Ledger'!$A$2:$A$1501, SMALL(IF(('Orders Ledger'!$J$2:$J$1501="disputed")+('Orders Ledger'!$J$2:$J$1501="PENDING_REVIEW"), ROW('Orders Ledger'!$A$2:$A$1501)-ROW('Orders Ledger'!$A$2)+1), ROW(209:209))), "")</f>
        <v>ORD100886</v>
      </c>
      <c r="C267" s="11" t="str">
        <f>IF(B267="","",_xlfn.XLOOKUP(B267,'Orders Ledger'!$A:$A,'Orders Ledger'!$B:$B,""))</f>
        <v>CUST-1186</v>
      </c>
      <c r="D267" t="str">
        <f>IF(B267="","",_xlfn.XLOOKUP(B267,'Orders Ledger'!$A:$A,'Orders Ledger'!$G:$G,""))</f>
        <v>Canada</v>
      </c>
      <c r="E267" t="str">
        <f>IF(B267="","",_xlfn.XLOOKUP(B267,'Orders Ledger'!$A:$A,'Orders Ledger'!$H:$H,""))</f>
        <v>Mobile_Web</v>
      </c>
      <c r="F267" t="str">
        <f>IF(B267="","",_xlfn.XLOOKUP(B267,'Orders Ledger'!$A:$A,'Orders Ledger'!$F:$F,""))</f>
        <v>Credit_Card</v>
      </c>
      <c r="G267">
        <f>IF(B267="","",_xlfn.XLOOKUP(B267,'Orders Ledger'!$A:$A,'Orders Ledger'!$N:$N,0))</f>
        <v>221.95</v>
      </c>
    </row>
    <row r="268" spans="2:7" x14ac:dyDescent="0.3">
      <c r="B268" t="str">
        <f t="array" ref="B268">IFERROR(INDEX('Orders Ledger'!$A$2:$A$1501, SMALL(IF(('Orders Ledger'!$J$2:$J$1501="disputed")+('Orders Ledger'!$J$2:$J$1501="PENDING_REVIEW"), ROW('Orders Ledger'!$A$2:$A$1501)-ROW('Orders Ledger'!$A$2)+1), ROW(210:210))), "")</f>
        <v>ORD100890</v>
      </c>
      <c r="C268" s="11" t="str">
        <f>IF(B268="","",_xlfn.XLOOKUP(B268,'Orders Ledger'!$A:$A,'Orders Ledger'!$B:$B,""))</f>
        <v>CUST-1209</v>
      </c>
      <c r="D268" t="str">
        <f>IF(B268="","",_xlfn.XLOOKUP(B268,'Orders Ledger'!$A:$A,'Orders Ledger'!$G:$G,""))</f>
        <v>Canada</v>
      </c>
      <c r="E268" t="str">
        <f>IF(B268="","",_xlfn.XLOOKUP(B268,'Orders Ledger'!$A:$A,'Orders Ledger'!$H:$H,""))</f>
        <v>Desktop</v>
      </c>
      <c r="F268" t="str">
        <f>IF(B268="","",_xlfn.XLOOKUP(B268,'Orders Ledger'!$A:$A,'Orders Ledger'!$F:$F,""))</f>
        <v>Credit_Card</v>
      </c>
      <c r="G268">
        <f>IF(B268="","",_xlfn.XLOOKUP(B268,'Orders Ledger'!$A:$A,'Orders Ledger'!$N:$N,0))</f>
        <v>487.34999999999997</v>
      </c>
    </row>
    <row r="269" spans="2:7" x14ac:dyDescent="0.3">
      <c r="B269" t="str">
        <f t="array" ref="B269">IFERROR(INDEX('Orders Ledger'!$A$2:$A$1501, SMALL(IF(('Orders Ledger'!$J$2:$J$1501="disputed")+('Orders Ledger'!$J$2:$J$1501="PENDING_REVIEW"), ROW('Orders Ledger'!$A$2:$A$1501)-ROW('Orders Ledger'!$A$2)+1), ROW(211:211))), "")</f>
        <v>ORD100892</v>
      </c>
      <c r="C269" s="11" t="str">
        <f>IF(B269="","",_xlfn.XLOOKUP(B269,'Orders Ledger'!$A:$A,'Orders Ledger'!$B:$B,""))</f>
        <v>CUST-1026</v>
      </c>
      <c r="D269" t="str">
        <f>IF(B269="","",_xlfn.XLOOKUP(B269,'Orders Ledger'!$A:$A,'Orders Ledger'!$G:$G,""))</f>
        <v>Canada</v>
      </c>
      <c r="E269" t="str">
        <f>IF(B269="","",_xlfn.XLOOKUP(B269,'Orders Ledger'!$A:$A,'Orders Ledger'!$H:$H,""))</f>
        <v>Bot_Server</v>
      </c>
      <c r="F269" t="str">
        <f>IF(B269="","",_xlfn.XLOOKUP(B269,'Orders Ledger'!$A:$A,'Orders Ledger'!$F:$F,""))</f>
        <v>Stolen_Card_Sim</v>
      </c>
      <c r="G269">
        <f>IF(B269="","",_xlfn.XLOOKUP(B269,'Orders Ledger'!$A:$A,'Orders Ledger'!$N:$N,0))</f>
        <v>4982.12</v>
      </c>
    </row>
    <row r="270" spans="2:7" x14ac:dyDescent="0.3">
      <c r="B270" t="str">
        <f t="array" ref="B270">IFERROR(INDEX('Orders Ledger'!$A$2:$A$1501, SMALL(IF(('Orders Ledger'!$J$2:$J$1501="disputed")+('Orders Ledger'!$J$2:$J$1501="PENDING_REVIEW"), ROW('Orders Ledger'!$A$2:$A$1501)-ROW('Orders Ledger'!$A$2)+1), ROW(212:212))), "")</f>
        <v>ORD100900</v>
      </c>
      <c r="C270" s="11" t="str">
        <f>IF(B270="","",_xlfn.XLOOKUP(B270,'Orders Ledger'!$A:$A,'Orders Ledger'!$B:$B,""))</f>
        <v>CUST-1129</v>
      </c>
      <c r="D270" t="str">
        <f>IF(B270="","",_xlfn.XLOOKUP(B270,'Orders Ledger'!$A:$A,'Orders Ledger'!$G:$G,""))</f>
        <v>High-Risk Country Proxy</v>
      </c>
      <c r="E270" t="str">
        <f>IF(B270="","",_xlfn.XLOOKUP(B270,'Orders Ledger'!$A:$A,'Orders Ledger'!$H:$H,""))</f>
        <v>Desktop</v>
      </c>
      <c r="F270" t="str">
        <f>IF(B270="","",_xlfn.XLOOKUP(B270,'Orders Ledger'!$A:$A,'Orders Ledger'!$F:$F,""))</f>
        <v>Crypto_Proxy</v>
      </c>
      <c r="G270">
        <f>IF(B270="","",_xlfn.XLOOKUP(B270,'Orders Ledger'!$A:$A,'Orders Ledger'!$N:$N,0))</f>
        <v>377</v>
      </c>
    </row>
    <row r="271" spans="2:7" x14ac:dyDescent="0.3">
      <c r="B271" t="str">
        <f t="array" ref="B271">IFERROR(INDEX('Orders Ledger'!$A$2:$A$1501, SMALL(IF(('Orders Ledger'!$J$2:$J$1501="disputed")+('Orders Ledger'!$J$2:$J$1501="PENDING_REVIEW"), ROW('Orders Ledger'!$A$2:$A$1501)-ROW('Orders Ledger'!$A$2)+1), ROW(213:213))), "")</f>
        <v>ORD100920</v>
      </c>
      <c r="C271" s="11" t="str">
        <f>IF(B271="","",_xlfn.XLOOKUP(B271,'Orders Ledger'!$A:$A,'Orders Ledger'!$B:$B,""))</f>
        <v>CUST-1185</v>
      </c>
      <c r="D271" t="str">
        <f>IF(B271="","",_xlfn.XLOOKUP(B271,'Orders Ledger'!$A:$A,'Orders Ledger'!$G:$G,""))</f>
        <v>United Kingdom</v>
      </c>
      <c r="E271" t="str">
        <f>IF(B271="","",_xlfn.XLOOKUP(B271,'Orders Ledger'!$A:$A,'Orders Ledger'!$H:$H,""))</f>
        <v>Mobile_App</v>
      </c>
      <c r="F271" t="str">
        <f>IF(B271="","",_xlfn.XLOOKUP(B271,'Orders Ledger'!$A:$A,'Orders Ledger'!$F:$F,""))</f>
        <v>Digital_Wallet</v>
      </c>
      <c r="G271">
        <f>IF(B271="","",_xlfn.XLOOKUP(B271,'Orders Ledger'!$A:$A,'Orders Ledger'!$N:$N,0))</f>
        <v>46.92</v>
      </c>
    </row>
    <row r="272" spans="2:7" x14ac:dyDescent="0.3">
      <c r="B272" t="str">
        <f t="array" ref="B272">IFERROR(INDEX('Orders Ledger'!$A$2:$A$1501, SMALL(IF(('Orders Ledger'!$J$2:$J$1501="disputed")+('Orders Ledger'!$J$2:$J$1501="PENDING_REVIEW"), ROW('Orders Ledger'!$A$2:$A$1501)-ROW('Orders Ledger'!$A$2)+1), ROW(214:214))), "")</f>
        <v>ORD100928</v>
      </c>
      <c r="C272" s="11" t="str">
        <f>IF(B272="","",_xlfn.XLOOKUP(B272,'Orders Ledger'!$A:$A,'Orders Ledger'!$B:$B,""))</f>
        <v>CUST-1098</v>
      </c>
      <c r="D272" t="str">
        <f>IF(B272="","",_xlfn.XLOOKUP(B272,'Orders Ledger'!$A:$A,'Orders Ledger'!$G:$G,""))</f>
        <v>Unknown Blacklisted Zone</v>
      </c>
      <c r="E272" t="str">
        <f>IF(B272="","",_xlfn.XLOOKUP(B272,'Orders Ledger'!$A:$A,'Orders Ledger'!$H:$H,""))</f>
        <v>Desktop</v>
      </c>
      <c r="F272" t="str">
        <f>IF(B272="","",_xlfn.XLOOKUP(B272,'Orders Ledger'!$A:$A,'Orders Ledger'!$F:$F,""))</f>
        <v>Stolen_Card_Sim</v>
      </c>
      <c r="G272">
        <f>IF(B272="","",_xlfn.XLOOKUP(B272,'Orders Ledger'!$A:$A,'Orders Ledger'!$N:$N,0))</f>
        <v>30.18</v>
      </c>
    </row>
    <row r="273" spans="2:7" x14ac:dyDescent="0.3">
      <c r="B273" t="str">
        <f t="array" ref="B273">IFERROR(INDEX('Orders Ledger'!$A$2:$A$1501, SMALL(IF(('Orders Ledger'!$J$2:$J$1501="disputed")+('Orders Ledger'!$J$2:$J$1501="PENDING_REVIEW"), ROW('Orders Ledger'!$A$2:$A$1501)-ROW('Orders Ledger'!$A$2)+1), ROW(215:215))), "")</f>
        <v>ORD100932</v>
      </c>
      <c r="C273" s="11" t="str">
        <f>IF(B273="","",_xlfn.XLOOKUP(B273,'Orders Ledger'!$A:$A,'Orders Ledger'!$B:$B,""))</f>
        <v>CUST-1039</v>
      </c>
      <c r="D273" t="str">
        <f>IF(B273="","",_xlfn.XLOOKUP(B273,'Orders Ledger'!$A:$A,'Orders Ledger'!$G:$G,""))</f>
        <v>Unknown Blacklisted Zone</v>
      </c>
      <c r="E273" t="str">
        <f>IF(B273="","",_xlfn.XLOOKUP(B273,'Orders Ledger'!$A:$A,'Orders Ledger'!$H:$H,""))</f>
        <v>Mobile_Emulator</v>
      </c>
      <c r="F273" t="str">
        <f>IF(B273="","",_xlfn.XLOOKUP(B273,'Orders Ledger'!$A:$A,'Orders Ledger'!$F:$F,""))</f>
        <v>Credit_Card</v>
      </c>
      <c r="G273">
        <f>IF(B273="","",_xlfn.XLOOKUP(B273,'Orders Ledger'!$A:$A,'Orders Ledger'!$N:$N,0))</f>
        <v>23.64</v>
      </c>
    </row>
    <row r="274" spans="2:7" x14ac:dyDescent="0.3">
      <c r="B274" t="str">
        <f t="array" ref="B274">IFERROR(INDEX('Orders Ledger'!$A$2:$A$1501, SMALL(IF(('Orders Ledger'!$J$2:$J$1501="disputed")+('Orders Ledger'!$J$2:$J$1501="PENDING_REVIEW"), ROW('Orders Ledger'!$A$2:$A$1501)-ROW('Orders Ledger'!$A$2)+1), ROW(216:216))), "")</f>
        <v>ORD100936</v>
      </c>
      <c r="C274" s="11" t="str">
        <f>IF(B274="","",_xlfn.XLOOKUP(B274,'Orders Ledger'!$A:$A,'Orders Ledger'!$B:$B,""))</f>
        <v>CUST-1276</v>
      </c>
      <c r="D274" t="str">
        <f>IF(B274="","",_xlfn.XLOOKUP(B274,'Orders Ledger'!$A:$A,'Orders Ledger'!$G:$G,""))</f>
        <v>United States</v>
      </c>
      <c r="E274" t="str">
        <f>IF(B274="","",_xlfn.XLOOKUP(B274,'Orders Ledger'!$A:$A,'Orders Ledger'!$H:$H,""))</f>
        <v>Desktop</v>
      </c>
      <c r="F274" t="str">
        <f>IF(B274="","",_xlfn.XLOOKUP(B274,'Orders Ledger'!$A:$A,'Orders Ledger'!$F:$F,""))</f>
        <v>Digital_Wallet</v>
      </c>
      <c r="G274">
        <f>IF(B274="","",_xlfn.XLOOKUP(B274,'Orders Ledger'!$A:$A,'Orders Ledger'!$N:$N,0))</f>
        <v>213.8</v>
      </c>
    </row>
    <row r="275" spans="2:7" x14ac:dyDescent="0.3">
      <c r="B275" t="str">
        <f t="array" ref="B275">IFERROR(INDEX('Orders Ledger'!$A$2:$A$1501, SMALL(IF(('Orders Ledger'!$J$2:$J$1501="disputed")+('Orders Ledger'!$J$2:$J$1501="PENDING_REVIEW"), ROW('Orders Ledger'!$A$2:$A$1501)-ROW('Orders Ledger'!$A$2)+1), ROW(217:217))), "")</f>
        <v>ORD100938</v>
      </c>
      <c r="C275" s="11" t="str">
        <f>IF(B275="","",_xlfn.XLOOKUP(B275,'Orders Ledger'!$A:$A,'Orders Ledger'!$B:$B,""))</f>
        <v>CUST-1019</v>
      </c>
      <c r="D275" t="str">
        <f>IF(B275="","",_xlfn.XLOOKUP(B275,'Orders Ledger'!$A:$A,'Orders Ledger'!$G:$G,""))</f>
        <v>High-Risk Country Proxy</v>
      </c>
      <c r="E275" t="str">
        <f>IF(B275="","",_xlfn.XLOOKUP(B275,'Orders Ledger'!$A:$A,'Orders Ledger'!$H:$H,""))</f>
        <v>Bot_Server</v>
      </c>
      <c r="F275" t="str">
        <f>IF(B275="","",_xlfn.XLOOKUP(B275,'Orders Ledger'!$A:$A,'Orders Ledger'!$F:$F,""))</f>
        <v>Stolen_Card_Sim</v>
      </c>
      <c r="G275">
        <f>IF(B275="","",_xlfn.XLOOKUP(B275,'Orders Ledger'!$A:$A,'Orders Ledger'!$N:$N,0))</f>
        <v>18.87</v>
      </c>
    </row>
    <row r="276" spans="2:7" x14ac:dyDescent="0.3">
      <c r="B276" t="str">
        <f t="array" ref="B276">IFERROR(INDEX('Orders Ledger'!$A$2:$A$1501, SMALL(IF(('Orders Ledger'!$J$2:$J$1501="disputed")+('Orders Ledger'!$J$2:$J$1501="PENDING_REVIEW"), ROW('Orders Ledger'!$A$2:$A$1501)-ROW('Orders Ledger'!$A$2)+1), ROW(218:218))), "")</f>
        <v>ORD100941</v>
      </c>
      <c r="C276" s="11" t="str">
        <f>IF(B276="","",_xlfn.XLOOKUP(B276,'Orders Ledger'!$A:$A,'Orders Ledger'!$B:$B,""))</f>
        <v>CUST-1192</v>
      </c>
      <c r="D276" t="str">
        <f>IF(B276="","",_xlfn.XLOOKUP(B276,'Orders Ledger'!$A:$A,'Orders Ledger'!$G:$G,""))</f>
        <v>High-Risk Country Proxy</v>
      </c>
      <c r="E276" t="str">
        <f>IF(B276="","",_xlfn.XLOOKUP(B276,'Orders Ledger'!$A:$A,'Orders Ledger'!$H:$H,""))</f>
        <v>Mobile_Emulator</v>
      </c>
      <c r="F276" t="str">
        <f>IF(B276="","",_xlfn.XLOOKUP(B276,'Orders Ledger'!$A:$A,'Orders Ledger'!$F:$F,""))</f>
        <v>Credit_Card</v>
      </c>
      <c r="G276">
        <f>IF(B276="","",_xlfn.XLOOKUP(B276,'Orders Ledger'!$A:$A,'Orders Ledger'!$N:$N,0))</f>
        <v>565.36</v>
      </c>
    </row>
    <row r="277" spans="2:7" x14ac:dyDescent="0.3">
      <c r="B277" t="str">
        <f t="array" ref="B277">IFERROR(INDEX('Orders Ledger'!$A$2:$A$1501, SMALL(IF(('Orders Ledger'!$J$2:$J$1501="disputed")+('Orders Ledger'!$J$2:$J$1501="PENDING_REVIEW"), ROW('Orders Ledger'!$A$2:$A$1501)-ROW('Orders Ledger'!$A$2)+1), ROW(219:219))), "")</f>
        <v>ORD100942</v>
      </c>
      <c r="C277" s="11" t="str">
        <f>IF(B277="","",_xlfn.XLOOKUP(B277,'Orders Ledger'!$A:$A,'Orders Ledger'!$B:$B,""))</f>
        <v>CUST-1078</v>
      </c>
      <c r="D277" t="str">
        <f>IF(B277="","",_xlfn.XLOOKUP(B277,'Orders Ledger'!$A:$A,'Orders Ledger'!$G:$G,""))</f>
        <v>Unknown Blacklisted Zone</v>
      </c>
      <c r="E277" t="str">
        <f>IF(B277="","",_xlfn.XLOOKUP(B277,'Orders Ledger'!$A:$A,'Orders Ledger'!$H:$H,""))</f>
        <v>Bot_Server</v>
      </c>
      <c r="F277" t="str">
        <f>IF(B277="","",_xlfn.XLOOKUP(B277,'Orders Ledger'!$A:$A,'Orders Ledger'!$F:$F,""))</f>
        <v>Stolen_Card_Sim</v>
      </c>
      <c r="G277">
        <f>IF(B277="","",_xlfn.XLOOKUP(B277,'Orders Ledger'!$A:$A,'Orders Ledger'!$N:$N,0))</f>
        <v>841.25</v>
      </c>
    </row>
    <row r="278" spans="2:7" x14ac:dyDescent="0.3">
      <c r="B278" t="str">
        <f t="array" ref="B278">IFERROR(INDEX('Orders Ledger'!$A$2:$A$1501, SMALL(IF(('Orders Ledger'!$J$2:$J$1501="disputed")+('Orders Ledger'!$J$2:$J$1501="PENDING_REVIEW"), ROW('Orders Ledger'!$A$2:$A$1501)-ROW('Orders Ledger'!$A$2)+1), ROW(220:220))), "")</f>
        <v>ORD100945</v>
      </c>
      <c r="C278" s="11" t="str">
        <f>IF(B278="","",_xlfn.XLOOKUP(B278,'Orders Ledger'!$A:$A,'Orders Ledger'!$B:$B,""))</f>
        <v>CUST-1084</v>
      </c>
      <c r="D278" t="str">
        <f>IF(B278="","",_xlfn.XLOOKUP(B278,'Orders Ledger'!$A:$A,'Orders Ledger'!$G:$G,""))</f>
        <v>Unknown Blacklisted Zone</v>
      </c>
      <c r="E278" t="str">
        <f>IF(B278="","",_xlfn.XLOOKUP(B278,'Orders Ledger'!$A:$A,'Orders Ledger'!$H:$H,""))</f>
        <v>Bot_Server</v>
      </c>
      <c r="F278" t="str">
        <f>IF(B278="","",_xlfn.XLOOKUP(B278,'Orders Ledger'!$A:$A,'Orders Ledger'!$F:$F,""))</f>
        <v>Digital_Wallet</v>
      </c>
      <c r="G278">
        <f>IF(B278="","",_xlfn.XLOOKUP(B278,'Orders Ledger'!$A:$A,'Orders Ledger'!$N:$N,0))</f>
        <v>706.7</v>
      </c>
    </row>
    <row r="279" spans="2:7" x14ac:dyDescent="0.3">
      <c r="B279" t="str">
        <f t="array" ref="B279">IFERROR(INDEX('Orders Ledger'!$A$2:$A$1501, SMALL(IF(('Orders Ledger'!$J$2:$J$1501="disputed")+('Orders Ledger'!$J$2:$J$1501="PENDING_REVIEW"), ROW('Orders Ledger'!$A$2:$A$1501)-ROW('Orders Ledger'!$A$2)+1), ROW(221:221))), "")</f>
        <v>ORD100946</v>
      </c>
      <c r="C279" s="11" t="str">
        <f>IF(B279="","",_xlfn.XLOOKUP(B279,'Orders Ledger'!$A:$A,'Orders Ledger'!$B:$B,""))</f>
        <v>CUST-1224</v>
      </c>
      <c r="D279" t="str">
        <f>IF(B279="","",_xlfn.XLOOKUP(B279,'Orders Ledger'!$A:$A,'Orders Ledger'!$G:$G,""))</f>
        <v>Unknown Blacklisted Zone</v>
      </c>
      <c r="E279" t="str">
        <f>IF(B279="","",_xlfn.XLOOKUP(B279,'Orders Ledger'!$A:$A,'Orders Ledger'!$H:$H,""))</f>
        <v>Desktop</v>
      </c>
      <c r="F279" t="str">
        <f>IF(B279="","",_xlfn.XLOOKUP(B279,'Orders Ledger'!$A:$A,'Orders Ledger'!$F:$F,""))</f>
        <v>Credit_Card</v>
      </c>
      <c r="G279">
        <f>IF(B279="","",_xlfn.XLOOKUP(B279,'Orders Ledger'!$A:$A,'Orders Ledger'!$N:$N,0))</f>
        <v>547.9</v>
      </c>
    </row>
    <row r="280" spans="2:7" x14ac:dyDescent="0.3">
      <c r="B280" t="str">
        <f t="array" ref="B280">IFERROR(INDEX('Orders Ledger'!$A$2:$A$1501, SMALL(IF(('Orders Ledger'!$J$2:$J$1501="disputed")+('Orders Ledger'!$J$2:$J$1501="PENDING_REVIEW"), ROW('Orders Ledger'!$A$2:$A$1501)-ROW('Orders Ledger'!$A$2)+1), ROW(222:222))), "")</f>
        <v>ORD100951</v>
      </c>
      <c r="C280" s="11" t="str">
        <f>IF(B280="","",_xlfn.XLOOKUP(B280,'Orders Ledger'!$A:$A,'Orders Ledger'!$B:$B,""))</f>
        <v>CUST-1227</v>
      </c>
      <c r="D280" t="str">
        <f>IF(B280="","",_xlfn.XLOOKUP(B280,'Orders Ledger'!$A:$A,'Orders Ledger'!$G:$G,""))</f>
        <v>High-Risk Country Proxy</v>
      </c>
      <c r="E280" t="str">
        <f>IF(B280="","",_xlfn.XLOOKUP(B280,'Orders Ledger'!$A:$A,'Orders Ledger'!$H:$H,""))</f>
        <v>Mobile_Emulator</v>
      </c>
      <c r="F280" t="str">
        <f>IF(B280="","",_xlfn.XLOOKUP(B280,'Orders Ledger'!$A:$A,'Orders Ledger'!$F:$F,""))</f>
        <v>Digital_Wallet</v>
      </c>
      <c r="G280">
        <f>IF(B280="","",_xlfn.XLOOKUP(B280,'Orders Ledger'!$A:$A,'Orders Ledger'!$N:$N,0))</f>
        <v>18.87</v>
      </c>
    </row>
    <row r="281" spans="2:7" x14ac:dyDescent="0.3">
      <c r="B281" t="str">
        <f t="array" ref="B281">IFERROR(INDEX('Orders Ledger'!$A$2:$A$1501, SMALL(IF(('Orders Ledger'!$J$2:$J$1501="disputed")+('Orders Ledger'!$J$2:$J$1501="PENDING_REVIEW"), ROW('Orders Ledger'!$A$2:$A$1501)-ROW('Orders Ledger'!$A$2)+1), ROW(223:223))), "")</f>
        <v>ORD100954</v>
      </c>
      <c r="C281" s="11" t="str">
        <f>IF(B281="","",_xlfn.XLOOKUP(B281,'Orders Ledger'!$A:$A,'Orders Ledger'!$B:$B,""))</f>
        <v>CUST-1119</v>
      </c>
      <c r="D281" t="str">
        <f>IF(B281="","",_xlfn.XLOOKUP(B281,'Orders Ledger'!$A:$A,'Orders Ledger'!$G:$G,""))</f>
        <v>Germany</v>
      </c>
      <c r="E281" t="str">
        <f>IF(B281="","",_xlfn.XLOOKUP(B281,'Orders Ledger'!$A:$A,'Orders Ledger'!$H:$H,""))</f>
        <v>Bot_Server</v>
      </c>
      <c r="F281" t="str">
        <f>IF(B281="","",_xlfn.XLOOKUP(B281,'Orders Ledger'!$A:$A,'Orders Ledger'!$F:$F,""))</f>
        <v>Digital_Wallet</v>
      </c>
      <c r="G281">
        <f>IF(B281="","",_xlfn.XLOOKUP(B281,'Orders Ledger'!$A:$A,'Orders Ledger'!$N:$N,0))</f>
        <v>4982.12</v>
      </c>
    </row>
    <row r="282" spans="2:7" x14ac:dyDescent="0.3">
      <c r="B282" t="str">
        <f t="array" ref="B282">IFERROR(INDEX('Orders Ledger'!$A$2:$A$1501, SMALL(IF(('Orders Ledger'!$J$2:$J$1501="disputed")+('Orders Ledger'!$J$2:$J$1501="PENDING_REVIEW"), ROW('Orders Ledger'!$A$2:$A$1501)-ROW('Orders Ledger'!$A$2)+1), ROW(224:224))), "")</f>
        <v>ORD100955</v>
      </c>
      <c r="C282" s="11" t="str">
        <f>IF(B282="","",_xlfn.XLOOKUP(B282,'Orders Ledger'!$A:$A,'Orders Ledger'!$B:$B,""))</f>
        <v>CUST-1273</v>
      </c>
      <c r="D282" t="str">
        <f>IF(B282="","",_xlfn.XLOOKUP(B282,'Orders Ledger'!$A:$A,'Orders Ledger'!$G:$G,""))</f>
        <v>High-Risk Country Proxy</v>
      </c>
      <c r="E282" t="str">
        <f>IF(B282="","",_xlfn.XLOOKUP(B282,'Orders Ledger'!$A:$A,'Orders Ledger'!$H:$H,""))</f>
        <v>Desktop</v>
      </c>
      <c r="F282" t="str">
        <f>IF(B282="","",_xlfn.XLOOKUP(B282,'Orders Ledger'!$A:$A,'Orders Ledger'!$F:$F,""))</f>
        <v>Credit_Card</v>
      </c>
      <c r="G282">
        <f>IF(B282="","",_xlfn.XLOOKUP(B282,'Orders Ledger'!$A:$A,'Orders Ledger'!$N:$N,0))</f>
        <v>34.840000000000003</v>
      </c>
    </row>
    <row r="283" spans="2:7" x14ac:dyDescent="0.3">
      <c r="B283" t="str">
        <f t="array" ref="B283">IFERROR(INDEX('Orders Ledger'!$A$2:$A$1501, SMALL(IF(('Orders Ledger'!$J$2:$J$1501="disputed")+('Orders Ledger'!$J$2:$J$1501="PENDING_REVIEW"), ROW('Orders Ledger'!$A$2:$A$1501)-ROW('Orders Ledger'!$A$2)+1), ROW(225:225))), "")</f>
        <v>ORD100960</v>
      </c>
      <c r="C283" s="11" t="str">
        <f>IF(B283="","",_xlfn.XLOOKUP(B283,'Orders Ledger'!$A:$A,'Orders Ledger'!$B:$B,""))</f>
        <v>CUST-1188</v>
      </c>
      <c r="D283" t="str">
        <f>IF(B283="","",_xlfn.XLOOKUP(B283,'Orders Ledger'!$A:$A,'Orders Ledger'!$G:$G,""))</f>
        <v>Unknown Blacklisted Zone</v>
      </c>
      <c r="E283" t="str">
        <f>IF(B283="","",_xlfn.XLOOKUP(B283,'Orders Ledger'!$A:$A,'Orders Ledger'!$H:$H,""))</f>
        <v>Bot_Server</v>
      </c>
      <c r="F283" t="str">
        <f>IF(B283="","",_xlfn.XLOOKUP(B283,'Orders Ledger'!$A:$A,'Orders Ledger'!$F:$F,""))</f>
        <v>Crypto_Proxy</v>
      </c>
      <c r="G283">
        <f>IF(B283="","",_xlfn.XLOOKUP(B283,'Orders Ledger'!$A:$A,'Orders Ledger'!$N:$N,0))</f>
        <v>114.35000000000001</v>
      </c>
    </row>
    <row r="284" spans="2:7" x14ac:dyDescent="0.3">
      <c r="B284" t="str">
        <f t="array" ref="B284">IFERROR(INDEX('Orders Ledger'!$A$2:$A$1501, SMALL(IF(('Orders Ledger'!$J$2:$J$1501="disputed")+('Orders Ledger'!$J$2:$J$1501="PENDING_REVIEW"), ROW('Orders Ledger'!$A$2:$A$1501)-ROW('Orders Ledger'!$A$2)+1), ROW(226:226))), "")</f>
        <v>ORD100962</v>
      </c>
      <c r="C284" s="11" t="str">
        <f>IF(B284="","",_xlfn.XLOOKUP(B284,'Orders Ledger'!$A:$A,'Orders Ledger'!$B:$B,""))</f>
        <v>CUST-1225</v>
      </c>
      <c r="D284" t="str">
        <f>IF(B284="","",_xlfn.XLOOKUP(B284,'Orders Ledger'!$A:$A,'Orders Ledger'!$G:$G,""))</f>
        <v>United Kingdom</v>
      </c>
      <c r="E284" t="str">
        <f>IF(B284="","",_xlfn.XLOOKUP(B284,'Orders Ledger'!$A:$A,'Orders Ledger'!$H:$H,""))</f>
        <v>Bot_Server</v>
      </c>
      <c r="F284" t="str">
        <f>IF(B284="","",_xlfn.XLOOKUP(B284,'Orders Ledger'!$A:$A,'Orders Ledger'!$F:$F,""))</f>
        <v>Stolen_Card_Sim</v>
      </c>
      <c r="G284">
        <f>IF(B284="","",_xlfn.XLOOKUP(B284,'Orders Ledger'!$A:$A,'Orders Ledger'!$N:$N,0))</f>
        <v>1740.35</v>
      </c>
    </row>
    <row r="285" spans="2:7" x14ac:dyDescent="0.3">
      <c r="B285" t="str">
        <f t="array" ref="B285">IFERROR(INDEX('Orders Ledger'!$A$2:$A$1501, SMALL(IF(('Orders Ledger'!$J$2:$J$1501="disputed")+('Orders Ledger'!$J$2:$J$1501="PENDING_REVIEW"), ROW('Orders Ledger'!$A$2:$A$1501)-ROW('Orders Ledger'!$A$2)+1), ROW(227:227))), "")</f>
        <v>ORD100963</v>
      </c>
      <c r="C285" s="11" t="str">
        <f>IF(B285="","",_xlfn.XLOOKUP(B285,'Orders Ledger'!$A:$A,'Orders Ledger'!$B:$B,""))</f>
        <v>CUST-1236</v>
      </c>
      <c r="D285" t="str">
        <f>IF(B285="","",_xlfn.XLOOKUP(B285,'Orders Ledger'!$A:$A,'Orders Ledger'!$G:$G,""))</f>
        <v>France</v>
      </c>
      <c r="E285" t="str">
        <f>IF(B285="","",_xlfn.XLOOKUP(B285,'Orders Ledger'!$A:$A,'Orders Ledger'!$H:$H,""))</f>
        <v>Mobile_App</v>
      </c>
      <c r="F285" t="str">
        <f>IF(B285="","",_xlfn.XLOOKUP(B285,'Orders Ledger'!$A:$A,'Orders Ledger'!$F:$F,""))</f>
        <v>Credit_Card</v>
      </c>
      <c r="G285">
        <f>IF(B285="","",_xlfn.XLOOKUP(B285,'Orders Ledger'!$A:$A,'Orders Ledger'!$N:$N,0))</f>
        <v>187.24</v>
      </c>
    </row>
    <row r="286" spans="2:7" x14ac:dyDescent="0.3">
      <c r="B286" t="str">
        <f t="array" ref="B286">IFERROR(INDEX('Orders Ledger'!$A$2:$A$1501, SMALL(IF(('Orders Ledger'!$J$2:$J$1501="disputed")+('Orders Ledger'!$J$2:$J$1501="PENDING_REVIEW"), ROW('Orders Ledger'!$A$2:$A$1501)-ROW('Orders Ledger'!$A$2)+1), ROW(228:228))), "")</f>
        <v>ORD100966</v>
      </c>
      <c r="C286" s="11" t="str">
        <f>IF(B286="","",_xlfn.XLOOKUP(B286,'Orders Ledger'!$A:$A,'Orders Ledger'!$B:$B,""))</f>
        <v>CUST-1257</v>
      </c>
      <c r="D286" t="str">
        <f>IF(B286="","",_xlfn.XLOOKUP(B286,'Orders Ledger'!$A:$A,'Orders Ledger'!$G:$G,""))</f>
        <v>Unknown Blacklisted Zone</v>
      </c>
      <c r="E286" t="str">
        <f>IF(B286="","",_xlfn.XLOOKUP(B286,'Orders Ledger'!$A:$A,'Orders Ledger'!$H:$H,""))</f>
        <v>Desktop</v>
      </c>
      <c r="F286" t="str">
        <f>IF(B286="","",_xlfn.XLOOKUP(B286,'Orders Ledger'!$A:$A,'Orders Ledger'!$F:$F,""))</f>
        <v>Crypto_Proxy</v>
      </c>
      <c r="G286">
        <f>IF(B286="","",_xlfn.XLOOKUP(B286,'Orders Ledger'!$A:$A,'Orders Ledger'!$N:$N,0))</f>
        <v>102.4</v>
      </c>
    </row>
    <row r="287" spans="2:7" x14ac:dyDescent="0.3">
      <c r="B287" t="str">
        <f t="array" ref="B287">IFERROR(INDEX('Orders Ledger'!$A$2:$A$1501, SMALL(IF(('Orders Ledger'!$J$2:$J$1501="disputed")+('Orders Ledger'!$J$2:$J$1501="PENDING_REVIEW"), ROW('Orders Ledger'!$A$2:$A$1501)-ROW('Orders Ledger'!$A$2)+1), ROW(229:229))), "")</f>
        <v>ORD100970</v>
      </c>
      <c r="C287" s="11" t="str">
        <f>IF(B287="","",_xlfn.XLOOKUP(B287,'Orders Ledger'!$A:$A,'Orders Ledger'!$B:$B,""))</f>
        <v>CUST-1102</v>
      </c>
      <c r="D287" t="str">
        <f>IF(B287="","",_xlfn.XLOOKUP(B287,'Orders Ledger'!$A:$A,'Orders Ledger'!$G:$G,""))</f>
        <v>Unknown Blacklisted Zone</v>
      </c>
      <c r="E287" t="str">
        <f>IF(B287="","",_xlfn.XLOOKUP(B287,'Orders Ledger'!$A:$A,'Orders Ledger'!$H:$H,""))</f>
        <v>Mobile_Emulator</v>
      </c>
      <c r="F287" t="str">
        <f>IF(B287="","",_xlfn.XLOOKUP(B287,'Orders Ledger'!$A:$A,'Orders Ledger'!$F:$F,""))</f>
        <v>Stolen_Card_Sim</v>
      </c>
      <c r="G287">
        <f>IF(B287="","",_xlfn.XLOOKUP(B287,'Orders Ledger'!$A:$A,'Orders Ledger'!$N:$N,0))</f>
        <v>620.76</v>
      </c>
    </row>
    <row r="288" spans="2:7" x14ac:dyDescent="0.3">
      <c r="B288" t="str">
        <f t="array" ref="B288">IFERROR(INDEX('Orders Ledger'!$A$2:$A$1501, SMALL(IF(('Orders Ledger'!$J$2:$J$1501="disputed")+('Orders Ledger'!$J$2:$J$1501="PENDING_REVIEW"), ROW('Orders Ledger'!$A$2:$A$1501)-ROW('Orders Ledger'!$A$2)+1), ROW(230:230))), "")</f>
        <v>ORD100971</v>
      </c>
      <c r="C288" s="11" t="str">
        <f>IF(B288="","",_xlfn.XLOOKUP(B288,'Orders Ledger'!$A:$A,'Orders Ledger'!$B:$B,""))</f>
        <v>CUST-1070</v>
      </c>
      <c r="D288" t="str">
        <f>IF(B288="","",_xlfn.XLOOKUP(B288,'Orders Ledger'!$A:$A,'Orders Ledger'!$G:$G,""))</f>
        <v>Unknown Blacklisted Zone</v>
      </c>
      <c r="E288" t="str">
        <f>IF(B288="","",_xlfn.XLOOKUP(B288,'Orders Ledger'!$A:$A,'Orders Ledger'!$H:$H,""))</f>
        <v>Bot_Server</v>
      </c>
      <c r="F288" t="str">
        <f>IF(B288="","",_xlfn.XLOOKUP(B288,'Orders Ledger'!$A:$A,'Orders Ledger'!$F:$F,""))</f>
        <v>Credit_Card</v>
      </c>
      <c r="G288">
        <f>IF(B288="","",_xlfn.XLOOKUP(B288,'Orders Ledger'!$A:$A,'Orders Ledger'!$N:$N,0))</f>
        <v>184.37</v>
      </c>
    </row>
    <row r="289" spans="2:7" x14ac:dyDescent="0.3">
      <c r="B289" t="str">
        <f t="array" ref="B289">IFERROR(INDEX('Orders Ledger'!$A$2:$A$1501, SMALL(IF(('Orders Ledger'!$J$2:$J$1501="disputed")+('Orders Ledger'!$J$2:$J$1501="PENDING_REVIEW"), ROW('Orders Ledger'!$A$2:$A$1501)-ROW('Orders Ledger'!$A$2)+1), ROW(231:231))), "")</f>
        <v>ORD100974</v>
      </c>
      <c r="C289" s="11" t="str">
        <f>IF(B289="","",_xlfn.XLOOKUP(B289,'Orders Ledger'!$A:$A,'Orders Ledger'!$B:$B,""))</f>
        <v>CUST-1246</v>
      </c>
      <c r="D289" t="str">
        <f>IF(B289="","",_xlfn.XLOOKUP(B289,'Orders Ledger'!$A:$A,'Orders Ledger'!$G:$G,""))</f>
        <v>High-Risk Country Proxy</v>
      </c>
      <c r="E289" t="str">
        <f>IF(B289="","",_xlfn.XLOOKUP(B289,'Orders Ledger'!$A:$A,'Orders Ledger'!$H:$H,""))</f>
        <v>Mobile_Emulator</v>
      </c>
      <c r="F289" t="str">
        <f>IF(B289="","",_xlfn.XLOOKUP(B289,'Orders Ledger'!$A:$A,'Orders Ledger'!$F:$F,""))</f>
        <v>Digital_Wallet</v>
      </c>
      <c r="G289">
        <f>IF(B289="","",_xlfn.XLOOKUP(B289,'Orders Ledger'!$A:$A,'Orders Ledger'!$N:$N,0))</f>
        <v>402.95000000000005</v>
      </c>
    </row>
    <row r="290" spans="2:7" x14ac:dyDescent="0.3">
      <c r="B290" t="str">
        <f t="array" ref="B290">IFERROR(INDEX('Orders Ledger'!$A$2:$A$1501, SMALL(IF(('Orders Ledger'!$J$2:$J$1501="disputed")+('Orders Ledger'!$J$2:$J$1501="PENDING_REVIEW"), ROW('Orders Ledger'!$A$2:$A$1501)-ROW('Orders Ledger'!$A$2)+1), ROW(232:232))), "")</f>
        <v>ORD100979</v>
      </c>
      <c r="C290" s="11" t="str">
        <f>IF(B290="","",_xlfn.XLOOKUP(B290,'Orders Ledger'!$A:$A,'Orders Ledger'!$B:$B,""))</f>
        <v>CUST-1063</v>
      </c>
      <c r="D290" t="str">
        <f>IF(B290="","",_xlfn.XLOOKUP(B290,'Orders Ledger'!$A:$A,'Orders Ledger'!$G:$G,""))</f>
        <v>High-Risk Country Proxy</v>
      </c>
      <c r="E290" t="str">
        <f>IF(B290="","",_xlfn.XLOOKUP(B290,'Orders Ledger'!$A:$A,'Orders Ledger'!$H:$H,""))</f>
        <v>Desktop</v>
      </c>
      <c r="F290" t="str">
        <f>IF(B290="","",_xlfn.XLOOKUP(B290,'Orders Ledger'!$A:$A,'Orders Ledger'!$F:$F,""))</f>
        <v>Credit_Card</v>
      </c>
      <c r="G290">
        <f>IF(B290="","",_xlfn.XLOOKUP(B290,'Orders Ledger'!$A:$A,'Orders Ledger'!$N:$N,0))</f>
        <v>5900.44</v>
      </c>
    </row>
    <row r="291" spans="2:7" x14ac:dyDescent="0.3">
      <c r="B291" t="str">
        <f t="array" ref="B291">IFERROR(INDEX('Orders Ledger'!$A$2:$A$1501, SMALL(IF(('Orders Ledger'!$J$2:$J$1501="disputed")+('Orders Ledger'!$J$2:$J$1501="PENDING_REVIEW"), ROW('Orders Ledger'!$A$2:$A$1501)-ROW('Orders Ledger'!$A$2)+1), ROW(233:233))), "")</f>
        <v>ORD100981</v>
      </c>
      <c r="C291" s="11" t="str">
        <f>IF(B291="","",_xlfn.XLOOKUP(B291,'Orders Ledger'!$A:$A,'Orders Ledger'!$B:$B,""))</f>
        <v>CUST-1042</v>
      </c>
      <c r="D291" t="str">
        <f>IF(B291="","",_xlfn.XLOOKUP(B291,'Orders Ledger'!$A:$A,'Orders Ledger'!$G:$G,""))</f>
        <v>Unknown Blacklisted Zone</v>
      </c>
      <c r="E291" t="str">
        <f>IF(B291="","",_xlfn.XLOOKUP(B291,'Orders Ledger'!$A:$A,'Orders Ledger'!$H:$H,""))</f>
        <v>Desktop</v>
      </c>
      <c r="F291" t="str">
        <f>IF(B291="","",_xlfn.XLOOKUP(B291,'Orders Ledger'!$A:$A,'Orders Ledger'!$F:$F,""))</f>
        <v>Crypto_Proxy</v>
      </c>
      <c r="G291">
        <f>IF(B291="","",_xlfn.XLOOKUP(B291,'Orders Ledger'!$A:$A,'Orders Ledger'!$N:$N,0))</f>
        <v>842.8</v>
      </c>
    </row>
    <row r="292" spans="2:7" x14ac:dyDescent="0.3">
      <c r="B292" t="str">
        <f t="array" ref="B292">IFERROR(INDEX('Orders Ledger'!$A$2:$A$1501, SMALL(IF(('Orders Ledger'!$J$2:$J$1501="disputed")+('Orders Ledger'!$J$2:$J$1501="PENDING_REVIEW"), ROW('Orders Ledger'!$A$2:$A$1501)-ROW('Orders Ledger'!$A$2)+1), ROW(234:234))), "")</f>
        <v>ORD100983</v>
      </c>
      <c r="C292" s="11" t="str">
        <f>IF(B292="","",_xlfn.XLOOKUP(B292,'Orders Ledger'!$A:$A,'Orders Ledger'!$B:$B,""))</f>
        <v>CUST-1139</v>
      </c>
      <c r="D292" t="str">
        <f>IF(B292="","",_xlfn.XLOOKUP(B292,'Orders Ledger'!$A:$A,'Orders Ledger'!$G:$G,""))</f>
        <v>High-Risk Country Proxy</v>
      </c>
      <c r="E292" t="str">
        <f>IF(B292="","",_xlfn.XLOOKUP(B292,'Orders Ledger'!$A:$A,'Orders Ledger'!$H:$H,""))</f>
        <v>Desktop</v>
      </c>
      <c r="F292" t="str">
        <f>IF(B292="","",_xlfn.XLOOKUP(B292,'Orders Ledger'!$A:$A,'Orders Ledger'!$F:$F,""))</f>
        <v>Stolen_Card_Sim</v>
      </c>
      <c r="G292">
        <f>IF(B292="","",_xlfn.XLOOKUP(B292,'Orders Ledger'!$A:$A,'Orders Ledger'!$N:$N,0))</f>
        <v>150.9</v>
      </c>
    </row>
    <row r="293" spans="2:7" x14ac:dyDescent="0.3">
      <c r="B293" t="str">
        <f t="array" ref="B293">IFERROR(INDEX('Orders Ledger'!$A$2:$A$1501, SMALL(IF(('Orders Ledger'!$J$2:$J$1501="disputed")+('Orders Ledger'!$J$2:$J$1501="PENDING_REVIEW"), ROW('Orders Ledger'!$A$2:$A$1501)-ROW('Orders Ledger'!$A$2)+1), ROW(235:235))), "")</f>
        <v>ORD100986</v>
      </c>
      <c r="C293" s="11" t="str">
        <f>IF(B293="","",_xlfn.XLOOKUP(B293,'Orders Ledger'!$A:$A,'Orders Ledger'!$B:$B,""))</f>
        <v>CUST-1075</v>
      </c>
      <c r="D293" t="str">
        <f>IF(B293="","",_xlfn.XLOOKUP(B293,'Orders Ledger'!$A:$A,'Orders Ledger'!$G:$G,""))</f>
        <v>Germany</v>
      </c>
      <c r="E293" t="str">
        <f>IF(B293="","",_xlfn.XLOOKUP(B293,'Orders Ledger'!$A:$A,'Orders Ledger'!$H:$H,""))</f>
        <v>Mobile_Emulator</v>
      </c>
      <c r="F293" t="str">
        <f>IF(B293="","",_xlfn.XLOOKUP(B293,'Orders Ledger'!$A:$A,'Orders Ledger'!$F:$F,""))</f>
        <v>Stolen_Card_Sim</v>
      </c>
      <c r="G293">
        <f>IF(B293="","",_xlfn.XLOOKUP(B293,'Orders Ledger'!$A:$A,'Orders Ledger'!$N:$N,0))</f>
        <v>6870.5</v>
      </c>
    </row>
    <row r="294" spans="2:7" x14ac:dyDescent="0.3">
      <c r="B294" t="str">
        <f t="array" ref="B294">IFERROR(INDEX('Orders Ledger'!$A$2:$A$1501, SMALL(IF(('Orders Ledger'!$J$2:$J$1501="disputed")+('Orders Ledger'!$J$2:$J$1501="PENDING_REVIEW"), ROW('Orders Ledger'!$A$2:$A$1501)-ROW('Orders Ledger'!$A$2)+1), ROW(236:236))), "")</f>
        <v>ORD100987</v>
      </c>
      <c r="C294" s="11" t="str">
        <f>IF(B294="","",_xlfn.XLOOKUP(B294,'Orders Ledger'!$A:$A,'Orders Ledger'!$B:$B,""))</f>
        <v>CUST-1223</v>
      </c>
      <c r="D294" t="str">
        <f>IF(B294="","",_xlfn.XLOOKUP(B294,'Orders Ledger'!$A:$A,'Orders Ledger'!$G:$G,""))</f>
        <v>Unknown Blacklisted Zone</v>
      </c>
      <c r="E294" t="str">
        <f>IF(B294="","",_xlfn.XLOOKUP(B294,'Orders Ledger'!$A:$A,'Orders Ledger'!$H:$H,""))</f>
        <v>Bot_Server</v>
      </c>
      <c r="F294" t="str">
        <f>IF(B294="","",_xlfn.XLOOKUP(B294,'Orders Ledger'!$A:$A,'Orders Ledger'!$F:$F,""))</f>
        <v>Digital_Wallet</v>
      </c>
      <c r="G294">
        <f>IF(B294="","",_xlfn.XLOOKUP(B294,'Orders Ledger'!$A:$A,'Orders Ledger'!$N:$N,0))</f>
        <v>60.02</v>
      </c>
    </row>
    <row r="295" spans="2:7" x14ac:dyDescent="0.3">
      <c r="B295" t="str">
        <f t="array" ref="B295">IFERROR(INDEX('Orders Ledger'!$A$2:$A$1501, SMALL(IF(('Orders Ledger'!$J$2:$J$1501="disputed")+('Orders Ledger'!$J$2:$J$1501="PENDING_REVIEW"), ROW('Orders Ledger'!$A$2:$A$1501)-ROW('Orders Ledger'!$A$2)+1), ROW(237:237))), "")</f>
        <v>ORD100993</v>
      </c>
      <c r="C295" s="11" t="str">
        <f>IF(B295="","",_xlfn.XLOOKUP(B295,'Orders Ledger'!$A:$A,'Orders Ledger'!$B:$B,""))</f>
        <v>CUST-1212</v>
      </c>
      <c r="D295" t="str">
        <f>IF(B295="","",_xlfn.XLOOKUP(B295,'Orders Ledger'!$A:$A,'Orders Ledger'!$G:$G,""))</f>
        <v>Germany</v>
      </c>
      <c r="E295" t="str">
        <f>IF(B295="","",_xlfn.XLOOKUP(B295,'Orders Ledger'!$A:$A,'Orders Ledger'!$H:$H,""))</f>
        <v>Desktop</v>
      </c>
      <c r="F295" t="str">
        <f>IF(B295="","",_xlfn.XLOOKUP(B295,'Orders Ledger'!$A:$A,'Orders Ledger'!$F:$F,""))</f>
        <v>Digital_Wallet</v>
      </c>
      <c r="G295">
        <f>IF(B295="","",_xlfn.XLOOKUP(B295,'Orders Ledger'!$A:$A,'Orders Ledger'!$N:$N,0))</f>
        <v>3838.8999999999996</v>
      </c>
    </row>
    <row r="296" spans="2:7" x14ac:dyDescent="0.3">
      <c r="B296" t="str">
        <f t="array" ref="B296">IFERROR(INDEX('Orders Ledger'!$A$2:$A$1501, SMALL(IF(('Orders Ledger'!$J$2:$J$1501="disputed")+('Orders Ledger'!$J$2:$J$1501="PENDING_REVIEW"), ROW('Orders Ledger'!$A$2:$A$1501)-ROW('Orders Ledger'!$A$2)+1), ROW(238:238))), "")</f>
        <v>ORD100996</v>
      </c>
      <c r="C296" s="11" t="str">
        <f>IF(B296="","",_xlfn.XLOOKUP(B296,'Orders Ledger'!$A:$A,'Orders Ledger'!$B:$B,""))</f>
        <v>CUST-1257</v>
      </c>
      <c r="D296" t="str">
        <f>IF(B296="","",_xlfn.XLOOKUP(B296,'Orders Ledger'!$A:$A,'Orders Ledger'!$G:$G,""))</f>
        <v>Unknown Blacklisted Zone</v>
      </c>
      <c r="E296" t="str">
        <f>IF(B296="","",_xlfn.XLOOKUP(B296,'Orders Ledger'!$A:$A,'Orders Ledger'!$H:$H,""))</f>
        <v>Bot_Server</v>
      </c>
      <c r="F296" t="str">
        <f>IF(B296="","",_xlfn.XLOOKUP(B296,'Orders Ledger'!$A:$A,'Orders Ledger'!$F:$F,""))</f>
        <v>Digital_Wallet</v>
      </c>
      <c r="G296">
        <f>IF(B296="","",_xlfn.XLOOKUP(B296,'Orders Ledger'!$A:$A,'Orders Ledger'!$N:$N,0))</f>
        <v>155.19</v>
      </c>
    </row>
    <row r="297" spans="2:7" x14ac:dyDescent="0.3">
      <c r="B297" t="str">
        <f t="array" ref="B297">IFERROR(INDEX('Orders Ledger'!$A$2:$A$1501, SMALL(IF(('Orders Ledger'!$J$2:$J$1501="disputed")+('Orders Ledger'!$J$2:$J$1501="PENDING_REVIEW"), ROW('Orders Ledger'!$A$2:$A$1501)-ROW('Orders Ledger'!$A$2)+1), ROW(239:239))), "")</f>
        <v>ORD101006</v>
      </c>
      <c r="C297" s="11" t="str">
        <f>IF(B297="","",_xlfn.XLOOKUP(B297,'Orders Ledger'!$A:$A,'Orders Ledger'!$B:$B,""))</f>
        <v>CUST-1171</v>
      </c>
      <c r="D297" t="str">
        <f>IF(B297="","",_xlfn.XLOOKUP(B297,'Orders Ledger'!$A:$A,'Orders Ledger'!$G:$G,""))</f>
        <v>High-Risk Country Proxy</v>
      </c>
      <c r="E297" t="str">
        <f>IF(B297="","",_xlfn.XLOOKUP(B297,'Orders Ledger'!$A:$A,'Orders Ledger'!$H:$H,""))</f>
        <v>Bot_Server</v>
      </c>
      <c r="F297" t="str">
        <f>IF(B297="","",_xlfn.XLOOKUP(B297,'Orders Ledger'!$A:$A,'Orders Ledger'!$F:$F,""))</f>
        <v>Credit_Card</v>
      </c>
      <c r="G297">
        <f>IF(B297="","",_xlfn.XLOOKUP(B297,'Orders Ledger'!$A:$A,'Orders Ledger'!$N:$N,0))</f>
        <v>91.18</v>
      </c>
    </row>
    <row r="298" spans="2:7" x14ac:dyDescent="0.3">
      <c r="B298" t="str">
        <f t="array" ref="B298">IFERROR(INDEX('Orders Ledger'!$A$2:$A$1501, SMALL(IF(('Orders Ledger'!$J$2:$J$1501="disputed")+('Orders Ledger'!$J$2:$J$1501="PENDING_REVIEW"), ROW('Orders Ledger'!$A$2:$A$1501)-ROW('Orders Ledger'!$A$2)+1), ROW(240:240))), "")</f>
        <v>ORD101009</v>
      </c>
      <c r="C298" s="11" t="str">
        <f>IF(B298="","",_xlfn.XLOOKUP(B298,'Orders Ledger'!$A:$A,'Orders Ledger'!$B:$B,""))</f>
        <v>CUST-1019</v>
      </c>
      <c r="D298" t="str">
        <f>IF(B298="","",_xlfn.XLOOKUP(B298,'Orders Ledger'!$A:$A,'Orders Ledger'!$G:$G,""))</f>
        <v>Unknown Blacklisted Zone</v>
      </c>
      <c r="E298" t="str">
        <f>IF(B298="","",_xlfn.XLOOKUP(B298,'Orders Ledger'!$A:$A,'Orders Ledger'!$H:$H,""))</f>
        <v>Desktop</v>
      </c>
      <c r="F298" t="str">
        <f>IF(B298="","",_xlfn.XLOOKUP(B298,'Orders Ledger'!$A:$A,'Orders Ledger'!$F:$F,""))</f>
        <v>Stolen_Card_Sim</v>
      </c>
      <c r="G298">
        <f>IF(B298="","",_xlfn.XLOOKUP(B298,'Orders Ledger'!$A:$A,'Orders Ledger'!$N:$N,0))</f>
        <v>1769.3</v>
      </c>
    </row>
    <row r="299" spans="2:7" x14ac:dyDescent="0.3">
      <c r="B299" t="str">
        <f t="array" ref="B299">IFERROR(INDEX('Orders Ledger'!$A$2:$A$1501, SMALL(IF(('Orders Ledger'!$J$2:$J$1501="disputed")+('Orders Ledger'!$J$2:$J$1501="PENDING_REVIEW"), ROW('Orders Ledger'!$A$2:$A$1501)-ROW('Orders Ledger'!$A$2)+1), ROW(241:241))), "")</f>
        <v>ORD101016</v>
      </c>
      <c r="C299" s="11" t="str">
        <f>IF(B299="","",_xlfn.XLOOKUP(B299,'Orders Ledger'!$A:$A,'Orders Ledger'!$B:$B,""))</f>
        <v>CUST-1040</v>
      </c>
      <c r="D299" t="str">
        <f>IF(B299="","",_xlfn.XLOOKUP(B299,'Orders Ledger'!$A:$A,'Orders Ledger'!$G:$G,""))</f>
        <v>Unknown Blacklisted Zone</v>
      </c>
      <c r="E299" t="str">
        <f>IF(B299="","",_xlfn.XLOOKUP(B299,'Orders Ledger'!$A:$A,'Orders Ledger'!$H:$H,""))</f>
        <v>Mobile_Emulator</v>
      </c>
      <c r="F299" t="str">
        <f>IF(B299="","",_xlfn.XLOOKUP(B299,'Orders Ledger'!$A:$A,'Orders Ledger'!$F:$F,""))</f>
        <v>Crypto_Proxy</v>
      </c>
      <c r="G299">
        <f>IF(B299="","",_xlfn.XLOOKUP(B299,'Orders Ledger'!$A:$A,'Orders Ledger'!$N:$N,0))</f>
        <v>335.6</v>
      </c>
    </row>
    <row r="300" spans="2:7" x14ac:dyDescent="0.3">
      <c r="B300" t="str">
        <f t="array" ref="B300">IFERROR(INDEX('Orders Ledger'!$A$2:$A$1501, SMALL(IF(('Orders Ledger'!$J$2:$J$1501="disputed")+('Orders Ledger'!$J$2:$J$1501="PENDING_REVIEW"), ROW('Orders Ledger'!$A$2:$A$1501)-ROW('Orders Ledger'!$A$2)+1), ROW(242:242))), "")</f>
        <v>ORD101017</v>
      </c>
      <c r="C300" s="11" t="str">
        <f>IF(B300="","",_xlfn.XLOOKUP(B300,'Orders Ledger'!$A:$A,'Orders Ledger'!$B:$B,""))</f>
        <v>CUST-1009</v>
      </c>
      <c r="D300" t="str">
        <f>IF(B300="","",_xlfn.XLOOKUP(B300,'Orders Ledger'!$A:$A,'Orders Ledger'!$G:$G,""))</f>
        <v>High-Risk Country Proxy</v>
      </c>
      <c r="E300" t="str">
        <f>IF(B300="","",_xlfn.XLOOKUP(B300,'Orders Ledger'!$A:$A,'Orders Ledger'!$H:$H,""))</f>
        <v>Desktop</v>
      </c>
      <c r="F300" t="str">
        <f>IF(B300="","",_xlfn.XLOOKUP(B300,'Orders Ledger'!$A:$A,'Orders Ledger'!$F:$F,""))</f>
        <v>Crypto_Proxy</v>
      </c>
      <c r="G300">
        <f>IF(B300="","",_xlfn.XLOOKUP(B300,'Orders Ledger'!$A:$A,'Orders Ledger'!$N:$N,0))</f>
        <v>13.96</v>
      </c>
    </row>
    <row r="301" spans="2:7" x14ac:dyDescent="0.3">
      <c r="B301" t="str">
        <f t="array" ref="B301">IFERROR(INDEX('Orders Ledger'!$A$2:$A$1501, SMALL(IF(('Orders Ledger'!$J$2:$J$1501="disputed")+('Orders Ledger'!$J$2:$J$1501="PENDING_REVIEW"), ROW('Orders Ledger'!$A$2:$A$1501)-ROW('Orders Ledger'!$A$2)+1), ROW(243:243))), "")</f>
        <v>ORD101021</v>
      </c>
      <c r="C301" s="11" t="str">
        <f>IF(B301="","",_xlfn.XLOOKUP(B301,'Orders Ledger'!$A:$A,'Orders Ledger'!$B:$B,""))</f>
        <v>CUST-1280</v>
      </c>
      <c r="D301" t="str">
        <f>IF(B301="","",_xlfn.XLOOKUP(B301,'Orders Ledger'!$A:$A,'Orders Ledger'!$G:$G,""))</f>
        <v>Germany</v>
      </c>
      <c r="E301" t="str">
        <f>IF(B301="","",_xlfn.XLOOKUP(B301,'Orders Ledger'!$A:$A,'Orders Ledger'!$H:$H,""))</f>
        <v>Mobile_Emulator</v>
      </c>
      <c r="F301" t="str">
        <f>IF(B301="","",_xlfn.XLOOKUP(B301,'Orders Ledger'!$A:$A,'Orders Ledger'!$F:$F,""))</f>
        <v>Stolen_Card_Sim</v>
      </c>
      <c r="G301">
        <f>IF(B301="","",_xlfn.XLOOKUP(B301,'Orders Ledger'!$A:$A,'Orders Ledger'!$N:$N,0))</f>
        <v>899.17</v>
      </c>
    </row>
    <row r="302" spans="2:7" x14ac:dyDescent="0.3">
      <c r="B302" t="str">
        <f t="array" ref="B302">IFERROR(INDEX('Orders Ledger'!$A$2:$A$1501, SMALL(IF(('Orders Ledger'!$J$2:$J$1501="disputed")+('Orders Ledger'!$J$2:$J$1501="PENDING_REVIEW"), ROW('Orders Ledger'!$A$2:$A$1501)-ROW('Orders Ledger'!$A$2)+1), ROW(244:244))), "")</f>
        <v>ORD101022</v>
      </c>
      <c r="C302" s="11" t="str">
        <f>IF(B302="","",_xlfn.XLOOKUP(B302,'Orders Ledger'!$A:$A,'Orders Ledger'!$B:$B,""))</f>
        <v>CUST-1270</v>
      </c>
      <c r="D302" t="str">
        <f>IF(B302="","",_xlfn.XLOOKUP(B302,'Orders Ledger'!$A:$A,'Orders Ledger'!$G:$G,""))</f>
        <v>France</v>
      </c>
      <c r="E302" t="str">
        <f>IF(B302="","",_xlfn.XLOOKUP(B302,'Orders Ledger'!$A:$A,'Orders Ledger'!$H:$H,""))</f>
        <v>Mobile_Emulator</v>
      </c>
      <c r="F302" t="str">
        <f>IF(B302="","",_xlfn.XLOOKUP(B302,'Orders Ledger'!$A:$A,'Orders Ledger'!$F:$F,""))</f>
        <v>Crypto_Proxy</v>
      </c>
      <c r="G302">
        <f>IF(B302="","",_xlfn.XLOOKUP(B302,'Orders Ledger'!$A:$A,'Orders Ledger'!$N:$N,0))</f>
        <v>1880.36</v>
      </c>
    </row>
    <row r="303" spans="2:7" x14ac:dyDescent="0.3">
      <c r="B303" t="str">
        <f t="array" ref="B303">IFERROR(INDEX('Orders Ledger'!$A$2:$A$1501, SMALL(IF(('Orders Ledger'!$J$2:$J$1501="disputed")+('Orders Ledger'!$J$2:$J$1501="PENDING_REVIEW"), ROW('Orders Ledger'!$A$2:$A$1501)-ROW('Orders Ledger'!$A$2)+1), ROW(245:245))), "")</f>
        <v>ORD101023</v>
      </c>
      <c r="C303" s="11" t="str">
        <f>IF(B303="","",_xlfn.XLOOKUP(B303,'Orders Ledger'!$A:$A,'Orders Ledger'!$B:$B,""))</f>
        <v>CUST-1216</v>
      </c>
      <c r="D303" t="str">
        <f>IF(B303="","",_xlfn.XLOOKUP(B303,'Orders Ledger'!$A:$A,'Orders Ledger'!$G:$G,""))</f>
        <v>High-Risk Country Proxy</v>
      </c>
      <c r="E303" t="str">
        <f>IF(B303="","",_xlfn.XLOOKUP(B303,'Orders Ledger'!$A:$A,'Orders Ledger'!$H:$H,""))</f>
        <v>Desktop</v>
      </c>
      <c r="F303" t="str">
        <f>IF(B303="","",_xlfn.XLOOKUP(B303,'Orders Ledger'!$A:$A,'Orders Ledger'!$F:$F,""))</f>
        <v>Stolen_Card_Sim</v>
      </c>
      <c r="G303">
        <f>IF(B303="","",_xlfn.XLOOKUP(B303,'Orders Ledger'!$A:$A,'Orders Ledger'!$N:$N,0))</f>
        <v>179.52</v>
      </c>
    </row>
    <row r="304" spans="2:7" x14ac:dyDescent="0.3">
      <c r="B304" t="str">
        <f t="array" ref="B304">IFERROR(INDEX('Orders Ledger'!$A$2:$A$1501, SMALL(IF(('Orders Ledger'!$J$2:$J$1501="disputed")+('Orders Ledger'!$J$2:$J$1501="PENDING_REVIEW"), ROW('Orders Ledger'!$A$2:$A$1501)-ROW('Orders Ledger'!$A$2)+1), ROW(246:246))), "")</f>
        <v>ORD101033</v>
      </c>
      <c r="C304" s="11" t="str">
        <f>IF(B304="","",_xlfn.XLOOKUP(B304,'Orders Ledger'!$A:$A,'Orders Ledger'!$B:$B,""))</f>
        <v>CUST-1032</v>
      </c>
      <c r="D304" t="str">
        <f>IF(B304="","",_xlfn.XLOOKUP(B304,'Orders Ledger'!$A:$A,'Orders Ledger'!$G:$G,""))</f>
        <v>France</v>
      </c>
      <c r="E304" t="str">
        <f>IF(B304="","",_xlfn.XLOOKUP(B304,'Orders Ledger'!$A:$A,'Orders Ledger'!$H:$H,""))</f>
        <v>Mobile_App</v>
      </c>
      <c r="F304" t="str">
        <f>IF(B304="","",_xlfn.XLOOKUP(B304,'Orders Ledger'!$A:$A,'Orders Ledger'!$F:$F,""))</f>
        <v>Credit_Card</v>
      </c>
      <c r="G304">
        <f>IF(B304="","",_xlfn.XLOOKUP(B304,'Orders Ledger'!$A:$A,'Orders Ledger'!$N:$N,0))</f>
        <v>20.48</v>
      </c>
    </row>
    <row r="305" spans="2:7" x14ac:dyDescent="0.3">
      <c r="B305" t="str">
        <f t="array" ref="B305">IFERROR(INDEX('Orders Ledger'!$A$2:$A$1501, SMALL(IF(('Orders Ledger'!$J$2:$J$1501="disputed")+('Orders Ledger'!$J$2:$J$1501="PENDING_REVIEW"), ROW('Orders Ledger'!$A$2:$A$1501)-ROW('Orders Ledger'!$A$2)+1), ROW(247:247))), "")</f>
        <v>ORD101040</v>
      </c>
      <c r="C305" s="11" t="str">
        <f>IF(B305="","",_xlfn.XLOOKUP(B305,'Orders Ledger'!$A:$A,'Orders Ledger'!$B:$B,""))</f>
        <v>CUST-1123</v>
      </c>
      <c r="D305" t="str">
        <f>IF(B305="","",_xlfn.XLOOKUP(B305,'Orders Ledger'!$A:$A,'Orders Ledger'!$G:$G,""))</f>
        <v>High-Risk Country Proxy</v>
      </c>
      <c r="E305" t="str">
        <f>IF(B305="","",_xlfn.XLOOKUP(B305,'Orders Ledger'!$A:$A,'Orders Ledger'!$H:$H,""))</f>
        <v>Bot_Server</v>
      </c>
      <c r="F305" t="str">
        <f>IF(B305="","",_xlfn.XLOOKUP(B305,'Orders Ledger'!$A:$A,'Orders Ledger'!$F:$F,""))</f>
        <v>Stolen_Card_Sim</v>
      </c>
      <c r="G305">
        <f>IF(B305="","",_xlfn.XLOOKUP(B305,'Orders Ledger'!$A:$A,'Orders Ledger'!$N:$N,0))</f>
        <v>257.16000000000003</v>
      </c>
    </row>
    <row r="306" spans="2:7" x14ac:dyDescent="0.3">
      <c r="B306" t="str">
        <f t="array" ref="B306">IFERROR(INDEX('Orders Ledger'!$A$2:$A$1501, SMALL(IF(('Orders Ledger'!$J$2:$J$1501="disputed")+('Orders Ledger'!$J$2:$J$1501="PENDING_REVIEW"), ROW('Orders Ledger'!$A$2:$A$1501)-ROW('Orders Ledger'!$A$2)+1), ROW(248:248))), "")</f>
        <v>ORD101043</v>
      </c>
      <c r="C306" s="11" t="str">
        <f>IF(B306="","",_xlfn.XLOOKUP(B306,'Orders Ledger'!$A:$A,'Orders Ledger'!$B:$B,""))</f>
        <v>CUST-1219</v>
      </c>
      <c r="D306" t="str">
        <f>IF(B306="","",_xlfn.XLOOKUP(B306,'Orders Ledger'!$A:$A,'Orders Ledger'!$G:$G,""))</f>
        <v>High-Risk Country Proxy</v>
      </c>
      <c r="E306" t="str">
        <f>IF(B306="","",_xlfn.XLOOKUP(B306,'Orders Ledger'!$A:$A,'Orders Ledger'!$H:$H,""))</f>
        <v>Desktop</v>
      </c>
      <c r="F306" t="str">
        <f>IF(B306="","",_xlfn.XLOOKUP(B306,'Orders Ledger'!$A:$A,'Orders Ledger'!$F:$F,""))</f>
        <v>Stolen_Card_Sim</v>
      </c>
      <c r="G306">
        <f>IF(B306="","",_xlfn.XLOOKUP(B306,'Orders Ledger'!$A:$A,'Orders Ledger'!$N:$N,0))</f>
        <v>221.95</v>
      </c>
    </row>
    <row r="307" spans="2:7" x14ac:dyDescent="0.3">
      <c r="B307" t="str">
        <f t="array" ref="B307">IFERROR(INDEX('Orders Ledger'!$A$2:$A$1501, SMALL(IF(('Orders Ledger'!$J$2:$J$1501="disputed")+('Orders Ledger'!$J$2:$J$1501="PENDING_REVIEW"), ROW('Orders Ledger'!$A$2:$A$1501)-ROW('Orders Ledger'!$A$2)+1), ROW(249:249))), "")</f>
        <v>ORD101046</v>
      </c>
      <c r="C307" s="11" t="str">
        <f>IF(B307="","",_xlfn.XLOOKUP(B307,'Orders Ledger'!$A:$A,'Orders Ledger'!$B:$B,""))</f>
        <v>CUST-1123</v>
      </c>
      <c r="D307" t="str">
        <f>IF(B307="","",_xlfn.XLOOKUP(B307,'Orders Ledger'!$A:$A,'Orders Ledger'!$G:$G,""))</f>
        <v>High-Risk Country Proxy</v>
      </c>
      <c r="E307" t="str">
        <f>IF(B307="","",_xlfn.XLOOKUP(B307,'Orders Ledger'!$A:$A,'Orders Ledger'!$H:$H,""))</f>
        <v>Desktop</v>
      </c>
      <c r="F307" t="str">
        <f>IF(B307="","",_xlfn.XLOOKUP(B307,'Orders Ledger'!$A:$A,'Orders Ledger'!$F:$F,""))</f>
        <v>Stolen_Card_Sim</v>
      </c>
      <c r="G307">
        <f>IF(B307="","",_xlfn.XLOOKUP(B307,'Orders Ledger'!$A:$A,'Orders Ledger'!$N:$N,0))</f>
        <v>744.52</v>
      </c>
    </row>
    <row r="308" spans="2:7" x14ac:dyDescent="0.3">
      <c r="B308" t="str">
        <f t="array" ref="B308">IFERROR(INDEX('Orders Ledger'!$A$2:$A$1501, SMALL(IF(('Orders Ledger'!$J$2:$J$1501="disputed")+('Orders Ledger'!$J$2:$J$1501="PENDING_REVIEW"), ROW('Orders Ledger'!$A$2:$A$1501)-ROW('Orders Ledger'!$A$2)+1), ROW(250:250))), "")</f>
        <v>ORD101058</v>
      </c>
      <c r="C308" s="11" t="str">
        <f>IF(B308="","",_xlfn.XLOOKUP(B308,'Orders Ledger'!$A:$A,'Orders Ledger'!$B:$B,""))</f>
        <v>CUST-1283</v>
      </c>
      <c r="D308" t="str">
        <f>IF(B308="","",_xlfn.XLOOKUP(B308,'Orders Ledger'!$A:$A,'Orders Ledger'!$G:$G,""))</f>
        <v>Unknown Blacklisted Zone</v>
      </c>
      <c r="E308" t="str">
        <f>IF(B308="","",_xlfn.XLOOKUP(B308,'Orders Ledger'!$A:$A,'Orders Ledger'!$H:$H,""))</f>
        <v>Mobile_Emulator</v>
      </c>
      <c r="F308" t="str">
        <f>IF(B308="","",_xlfn.XLOOKUP(B308,'Orders Ledger'!$A:$A,'Orders Ledger'!$F:$F,""))</f>
        <v>Stolen_Card_Sim</v>
      </c>
      <c r="G308">
        <f>IF(B308="","",_xlfn.XLOOKUP(B308,'Orders Ledger'!$A:$A,'Orders Ledger'!$N:$N,0))</f>
        <v>4982.12</v>
      </c>
    </row>
    <row r="309" spans="2:7" x14ac:dyDescent="0.3">
      <c r="B309" t="str">
        <f t="array" ref="B309">IFERROR(INDEX('Orders Ledger'!$A$2:$A$1501, SMALL(IF(('Orders Ledger'!$J$2:$J$1501="disputed")+('Orders Ledger'!$J$2:$J$1501="PENDING_REVIEW"), ROW('Orders Ledger'!$A$2:$A$1501)-ROW('Orders Ledger'!$A$2)+1), ROW(251:251))), "")</f>
        <v>ORD101059</v>
      </c>
      <c r="C309" s="11" t="str">
        <f>IF(B309="","",_xlfn.XLOOKUP(B309,'Orders Ledger'!$A:$A,'Orders Ledger'!$B:$B,""))</f>
        <v>CUST-1010</v>
      </c>
      <c r="D309" t="str">
        <f>IF(B309="","",_xlfn.XLOOKUP(B309,'Orders Ledger'!$A:$A,'Orders Ledger'!$G:$G,""))</f>
        <v>Unknown Blacklisted Zone</v>
      </c>
      <c r="E309" t="str">
        <f>IF(B309="","",_xlfn.XLOOKUP(B309,'Orders Ledger'!$A:$A,'Orders Ledger'!$H:$H,""))</f>
        <v>Desktop</v>
      </c>
      <c r="F309" t="str">
        <f>IF(B309="","",_xlfn.XLOOKUP(B309,'Orders Ledger'!$A:$A,'Orders Ledger'!$F:$F,""))</f>
        <v>Credit_Card</v>
      </c>
      <c r="G309">
        <f>IF(B309="","",_xlfn.XLOOKUP(B309,'Orders Ledger'!$A:$A,'Orders Ledger'!$N:$N,0))</f>
        <v>169.86</v>
      </c>
    </row>
    <row r="310" spans="2:7" x14ac:dyDescent="0.3">
      <c r="B310" t="str">
        <f t="array" ref="B310">IFERROR(INDEX('Orders Ledger'!$A$2:$A$1501, SMALL(IF(('Orders Ledger'!$J$2:$J$1501="disputed")+('Orders Ledger'!$J$2:$J$1501="PENDING_REVIEW"), ROW('Orders Ledger'!$A$2:$A$1501)-ROW('Orders Ledger'!$A$2)+1), ROW(252:252))), "")</f>
        <v>ORD101068</v>
      </c>
      <c r="C310" s="11" t="str">
        <f>IF(B310="","",_xlfn.XLOOKUP(B310,'Orders Ledger'!$A:$A,'Orders Ledger'!$B:$B,""))</f>
        <v>CUST-1034</v>
      </c>
      <c r="D310" t="str">
        <f>IF(B310="","",_xlfn.XLOOKUP(B310,'Orders Ledger'!$A:$A,'Orders Ledger'!$G:$G,""))</f>
        <v>Canada</v>
      </c>
      <c r="E310" t="str">
        <f>IF(B310="","",_xlfn.XLOOKUP(B310,'Orders Ledger'!$A:$A,'Orders Ledger'!$H:$H,""))</f>
        <v>Mobile_Emulator</v>
      </c>
      <c r="F310" t="str">
        <f>IF(B310="","",_xlfn.XLOOKUP(B310,'Orders Ledger'!$A:$A,'Orders Ledger'!$F:$F,""))</f>
        <v>Digital_Wallet</v>
      </c>
      <c r="G310">
        <f>IF(B310="","",_xlfn.XLOOKUP(B310,'Orders Ledger'!$A:$A,'Orders Ledger'!$N:$N,0))</f>
        <v>6227.65</v>
      </c>
    </row>
    <row r="311" spans="2:7" x14ac:dyDescent="0.3">
      <c r="B311" t="str">
        <f t="array" ref="B311">IFERROR(INDEX('Orders Ledger'!$A$2:$A$1501, SMALL(IF(('Orders Ledger'!$J$2:$J$1501="disputed")+('Orders Ledger'!$J$2:$J$1501="PENDING_REVIEW"), ROW('Orders Ledger'!$A$2:$A$1501)-ROW('Orders Ledger'!$A$2)+1), ROW(253:253))), "")</f>
        <v>ORD101072</v>
      </c>
      <c r="C311" s="11" t="str">
        <f>IF(B311="","",_xlfn.XLOOKUP(B311,'Orders Ledger'!$A:$A,'Orders Ledger'!$B:$B,""))</f>
        <v>CUST-1297</v>
      </c>
      <c r="D311" t="str">
        <f>IF(B311="","",_xlfn.XLOOKUP(B311,'Orders Ledger'!$A:$A,'Orders Ledger'!$G:$G,""))</f>
        <v>Unknown Blacklisted Zone</v>
      </c>
      <c r="E311" t="str">
        <f>IF(B311="","",_xlfn.XLOOKUP(B311,'Orders Ledger'!$A:$A,'Orders Ledger'!$H:$H,""))</f>
        <v>Mobile_Emulator</v>
      </c>
      <c r="F311" t="str">
        <f>IF(B311="","",_xlfn.XLOOKUP(B311,'Orders Ledger'!$A:$A,'Orders Ledger'!$F:$F,""))</f>
        <v>Credit_Card</v>
      </c>
      <c r="G311">
        <f>IF(B311="","",_xlfn.XLOOKUP(B311,'Orders Ledger'!$A:$A,'Orders Ledger'!$N:$N,0))</f>
        <v>343.12</v>
      </c>
    </row>
    <row r="312" spans="2:7" x14ac:dyDescent="0.3">
      <c r="B312" t="str">
        <f t="array" ref="B312">IFERROR(INDEX('Orders Ledger'!$A$2:$A$1501, SMALL(IF(('Orders Ledger'!$J$2:$J$1501="disputed")+('Orders Ledger'!$J$2:$J$1501="PENDING_REVIEW"), ROW('Orders Ledger'!$A$2:$A$1501)-ROW('Orders Ledger'!$A$2)+1), ROW(254:254))), "")</f>
        <v>ORD101073</v>
      </c>
      <c r="C312" s="11" t="str">
        <f>IF(B312="","",_xlfn.XLOOKUP(B312,'Orders Ledger'!$A:$A,'Orders Ledger'!$B:$B,""))</f>
        <v>CUST-1170</v>
      </c>
      <c r="D312" t="str">
        <f>IF(B312="","",_xlfn.XLOOKUP(B312,'Orders Ledger'!$A:$A,'Orders Ledger'!$G:$G,""))</f>
        <v>United States</v>
      </c>
      <c r="E312" t="str">
        <f>IF(B312="","",_xlfn.XLOOKUP(B312,'Orders Ledger'!$A:$A,'Orders Ledger'!$H:$H,""))</f>
        <v>Desktop</v>
      </c>
      <c r="F312" t="str">
        <f>IF(B312="","",_xlfn.XLOOKUP(B312,'Orders Ledger'!$A:$A,'Orders Ledger'!$F:$F,""))</f>
        <v>Crypto_Proxy</v>
      </c>
      <c r="G312">
        <f>IF(B312="","",_xlfn.XLOOKUP(B312,'Orders Ledger'!$A:$A,'Orders Ledger'!$N:$N,0))</f>
        <v>9030.75</v>
      </c>
    </row>
    <row r="313" spans="2:7" x14ac:dyDescent="0.3">
      <c r="B313" t="str">
        <f t="array" ref="B313">IFERROR(INDEX('Orders Ledger'!$A$2:$A$1501, SMALL(IF(('Orders Ledger'!$J$2:$J$1501="disputed")+('Orders Ledger'!$J$2:$J$1501="PENDING_REVIEW"), ROW('Orders Ledger'!$A$2:$A$1501)-ROW('Orders Ledger'!$A$2)+1), ROW(255:255))), "")</f>
        <v>ORD101082</v>
      </c>
      <c r="C313" s="11" t="str">
        <f>IF(B313="","",_xlfn.XLOOKUP(B313,'Orders Ledger'!$A:$A,'Orders Ledger'!$B:$B,""))</f>
        <v>CUST-1093</v>
      </c>
      <c r="D313" t="str">
        <f>IF(B313="","",_xlfn.XLOOKUP(B313,'Orders Ledger'!$A:$A,'Orders Ledger'!$G:$G,""))</f>
        <v>Unknown Blacklisted Zone</v>
      </c>
      <c r="E313" t="str">
        <f>IF(B313="","",_xlfn.XLOOKUP(B313,'Orders Ledger'!$A:$A,'Orders Ledger'!$H:$H,""))</f>
        <v>Mobile_Emulator</v>
      </c>
      <c r="F313" t="str">
        <f>IF(B313="","",_xlfn.XLOOKUP(B313,'Orders Ledger'!$A:$A,'Orders Ledger'!$F:$F,""))</f>
        <v>Stolen_Card_Sim</v>
      </c>
      <c r="G313">
        <f>IF(B313="","",_xlfn.XLOOKUP(B313,'Orders Ledger'!$A:$A,'Orders Ledger'!$N:$N,0))</f>
        <v>757.04</v>
      </c>
    </row>
    <row r="314" spans="2:7" x14ac:dyDescent="0.3">
      <c r="B314" t="str">
        <f t="array" ref="B314">IFERROR(INDEX('Orders Ledger'!$A$2:$A$1501, SMALL(IF(('Orders Ledger'!$J$2:$J$1501="disputed")+('Orders Ledger'!$J$2:$J$1501="PENDING_REVIEW"), ROW('Orders Ledger'!$A$2:$A$1501)-ROW('Orders Ledger'!$A$2)+1), ROW(256:256))), "")</f>
        <v>ORD101085</v>
      </c>
      <c r="C314" s="11" t="str">
        <f>IF(B314="","",_xlfn.XLOOKUP(B314,'Orders Ledger'!$A:$A,'Orders Ledger'!$B:$B,""))</f>
        <v>CUST-1234</v>
      </c>
      <c r="D314" t="str">
        <f>IF(B314="","",_xlfn.XLOOKUP(B314,'Orders Ledger'!$A:$A,'Orders Ledger'!$G:$G,""))</f>
        <v>Canada</v>
      </c>
      <c r="E314" t="str">
        <f>IF(B314="","",_xlfn.XLOOKUP(B314,'Orders Ledger'!$A:$A,'Orders Ledger'!$H:$H,""))</f>
        <v>Bot_Server</v>
      </c>
      <c r="F314" t="str">
        <f>IF(B314="","",_xlfn.XLOOKUP(B314,'Orders Ledger'!$A:$A,'Orders Ledger'!$F:$F,""))</f>
        <v>Crypto_Proxy</v>
      </c>
      <c r="G314">
        <f>IF(B314="","",_xlfn.XLOOKUP(B314,'Orders Ledger'!$A:$A,'Orders Ledger'!$N:$N,0))</f>
        <v>7375.5499999999993</v>
      </c>
    </row>
    <row r="315" spans="2:7" x14ac:dyDescent="0.3">
      <c r="B315" t="str">
        <f t="array" ref="B315">IFERROR(INDEX('Orders Ledger'!$A$2:$A$1501, SMALL(IF(('Orders Ledger'!$J$2:$J$1501="disputed")+('Orders Ledger'!$J$2:$J$1501="PENDING_REVIEW"), ROW('Orders Ledger'!$A$2:$A$1501)-ROW('Orders Ledger'!$A$2)+1), ROW(257:257))), "")</f>
        <v>ORD101089</v>
      </c>
      <c r="C315" s="11" t="str">
        <f>IF(B315="","",_xlfn.XLOOKUP(B315,'Orders Ledger'!$A:$A,'Orders Ledger'!$B:$B,""))</f>
        <v>CUST-1022</v>
      </c>
      <c r="D315" t="str">
        <f>IF(B315="","",_xlfn.XLOOKUP(B315,'Orders Ledger'!$A:$A,'Orders Ledger'!$G:$G,""))</f>
        <v>Unknown Blacklisted Zone</v>
      </c>
      <c r="E315" t="str">
        <f>IF(B315="","",_xlfn.XLOOKUP(B315,'Orders Ledger'!$A:$A,'Orders Ledger'!$H:$H,""))</f>
        <v>Desktop</v>
      </c>
      <c r="F315" t="str">
        <f>IF(B315="","",_xlfn.XLOOKUP(B315,'Orders Ledger'!$A:$A,'Orders Ledger'!$F:$F,""))</f>
        <v>Credit_Card</v>
      </c>
      <c r="G315">
        <f>IF(B315="","",_xlfn.XLOOKUP(B315,'Orders Ledger'!$A:$A,'Orders Ledger'!$N:$N,0))</f>
        <v>20.48</v>
      </c>
    </row>
    <row r="316" spans="2:7" x14ac:dyDescent="0.3">
      <c r="B316" t="str">
        <f t="array" ref="B316">IFERROR(INDEX('Orders Ledger'!$A$2:$A$1501, SMALL(IF(('Orders Ledger'!$J$2:$J$1501="disputed")+('Orders Ledger'!$J$2:$J$1501="PENDING_REVIEW"), ROW('Orders Ledger'!$A$2:$A$1501)-ROW('Orders Ledger'!$A$2)+1), ROW(258:258))), "")</f>
        <v>ORD101094</v>
      </c>
      <c r="C316" s="11" t="str">
        <f>IF(B316="","",_xlfn.XLOOKUP(B316,'Orders Ledger'!$A:$A,'Orders Ledger'!$B:$B,""))</f>
        <v>CUST-1263</v>
      </c>
      <c r="D316" t="str">
        <f>IF(B316="","",_xlfn.XLOOKUP(B316,'Orders Ledger'!$A:$A,'Orders Ledger'!$G:$G,""))</f>
        <v>United Kingdom</v>
      </c>
      <c r="E316" t="str">
        <f>IF(B316="","",_xlfn.XLOOKUP(B316,'Orders Ledger'!$A:$A,'Orders Ledger'!$H:$H,""))</f>
        <v>Desktop</v>
      </c>
      <c r="F316" t="str">
        <f>IF(B316="","",_xlfn.XLOOKUP(B316,'Orders Ledger'!$A:$A,'Orders Ledger'!$F:$F,""))</f>
        <v>Credit_Card</v>
      </c>
      <c r="G316">
        <f>IF(B316="","",_xlfn.XLOOKUP(B316,'Orders Ledger'!$A:$A,'Orders Ledger'!$N:$N,0))</f>
        <v>184.37</v>
      </c>
    </row>
    <row r="317" spans="2:7" x14ac:dyDescent="0.3">
      <c r="B317" t="str">
        <f t="array" ref="B317">IFERROR(INDEX('Orders Ledger'!$A$2:$A$1501, SMALL(IF(('Orders Ledger'!$J$2:$J$1501="disputed")+('Orders Ledger'!$J$2:$J$1501="PENDING_REVIEW"), ROW('Orders Ledger'!$A$2:$A$1501)-ROW('Orders Ledger'!$A$2)+1), ROW(259:259))), "")</f>
        <v>ORD101098</v>
      </c>
      <c r="C317" s="11" t="str">
        <f>IF(B317="","",_xlfn.XLOOKUP(B317,'Orders Ledger'!$A:$A,'Orders Ledger'!$B:$B,""))</f>
        <v>CUST-1129</v>
      </c>
      <c r="D317" t="str">
        <f>IF(B317="","",_xlfn.XLOOKUP(B317,'Orders Ledger'!$A:$A,'Orders Ledger'!$G:$G,""))</f>
        <v>Unknown Blacklisted Zone</v>
      </c>
      <c r="E317" t="str">
        <f>IF(B317="","",_xlfn.XLOOKUP(B317,'Orders Ledger'!$A:$A,'Orders Ledger'!$H:$H,""))</f>
        <v>Mobile_Emulator</v>
      </c>
      <c r="F317" t="str">
        <f>IF(B317="","",_xlfn.XLOOKUP(B317,'Orders Ledger'!$A:$A,'Orders Ledger'!$F:$F,""))</f>
        <v>Stolen_Card_Sim</v>
      </c>
      <c r="G317">
        <f>IF(B317="","",_xlfn.XLOOKUP(B317,'Orders Ledger'!$A:$A,'Orders Ledger'!$N:$N,0))</f>
        <v>804.85</v>
      </c>
    </row>
    <row r="318" spans="2:7" x14ac:dyDescent="0.3">
      <c r="B318" t="str">
        <f t="array" ref="B318">IFERROR(INDEX('Orders Ledger'!$A$2:$A$1501, SMALL(IF(('Orders Ledger'!$J$2:$J$1501="disputed")+('Orders Ledger'!$J$2:$J$1501="PENDING_REVIEW"), ROW('Orders Ledger'!$A$2:$A$1501)-ROW('Orders Ledger'!$A$2)+1), ROW(260:260))), "")</f>
        <v>ORD101102</v>
      </c>
      <c r="C318" s="11" t="str">
        <f>IF(B318="","",_xlfn.XLOOKUP(B318,'Orders Ledger'!$A:$A,'Orders Ledger'!$B:$B,""))</f>
        <v>CUST-1182</v>
      </c>
      <c r="D318" t="str">
        <f>IF(B318="","",_xlfn.XLOOKUP(B318,'Orders Ledger'!$A:$A,'Orders Ledger'!$G:$G,""))</f>
        <v>United States</v>
      </c>
      <c r="E318" t="str">
        <f>IF(B318="","",_xlfn.XLOOKUP(B318,'Orders Ledger'!$A:$A,'Orders Ledger'!$H:$H,""))</f>
        <v>Bot_Server</v>
      </c>
      <c r="F318" t="str">
        <f>IF(B318="","",_xlfn.XLOOKUP(B318,'Orders Ledger'!$A:$A,'Orders Ledger'!$F:$F,""))</f>
        <v>Digital_Wallet</v>
      </c>
      <c r="G318">
        <f>IF(B318="","",_xlfn.XLOOKUP(B318,'Orders Ledger'!$A:$A,'Orders Ledger'!$N:$N,0))</f>
        <v>5359.52</v>
      </c>
    </row>
    <row r="319" spans="2:7" x14ac:dyDescent="0.3">
      <c r="B319" t="str">
        <f t="array" ref="B319">IFERROR(INDEX('Orders Ledger'!$A$2:$A$1501, SMALL(IF(('Orders Ledger'!$J$2:$J$1501="disputed")+('Orders Ledger'!$J$2:$J$1501="PENDING_REVIEW"), ROW('Orders Ledger'!$A$2:$A$1501)-ROW('Orders Ledger'!$A$2)+1), ROW(261:261))), "")</f>
        <v>ORD101105</v>
      </c>
      <c r="C319" s="11" t="str">
        <f>IF(B319="","",_xlfn.XLOOKUP(B319,'Orders Ledger'!$A:$A,'Orders Ledger'!$B:$B,""))</f>
        <v>CUST-1139</v>
      </c>
      <c r="D319" t="str">
        <f>IF(B319="","",_xlfn.XLOOKUP(B319,'Orders Ledger'!$A:$A,'Orders Ledger'!$G:$G,""))</f>
        <v>France</v>
      </c>
      <c r="E319" t="str">
        <f>IF(B319="","",_xlfn.XLOOKUP(B319,'Orders Ledger'!$A:$A,'Orders Ledger'!$H:$H,""))</f>
        <v>Desktop</v>
      </c>
      <c r="F319" t="str">
        <f>IF(B319="","",_xlfn.XLOOKUP(B319,'Orders Ledger'!$A:$A,'Orders Ledger'!$F:$F,""))</f>
        <v>Stolen_Card_Sim</v>
      </c>
      <c r="G319">
        <f>IF(B319="","",_xlfn.XLOOKUP(B319,'Orders Ledger'!$A:$A,'Orders Ledger'!$N:$N,0))</f>
        <v>9376.2000000000007</v>
      </c>
    </row>
    <row r="320" spans="2:7" x14ac:dyDescent="0.3">
      <c r="B320" t="str">
        <f t="array" ref="B320">IFERROR(INDEX('Orders Ledger'!$A$2:$A$1501, SMALL(IF(('Orders Ledger'!$J$2:$J$1501="disputed")+('Orders Ledger'!$J$2:$J$1501="PENDING_REVIEW"), ROW('Orders Ledger'!$A$2:$A$1501)-ROW('Orders Ledger'!$A$2)+1), ROW(262:262))), "")</f>
        <v>ORD101115</v>
      </c>
      <c r="C320" s="11" t="str">
        <f>IF(B320="","",_xlfn.XLOOKUP(B320,'Orders Ledger'!$A:$A,'Orders Ledger'!$B:$B,""))</f>
        <v>CUST-1254</v>
      </c>
      <c r="D320" t="str">
        <f>IF(B320="","",_xlfn.XLOOKUP(B320,'Orders Ledger'!$A:$A,'Orders Ledger'!$G:$G,""))</f>
        <v>Unknown Blacklisted Zone</v>
      </c>
      <c r="E320" t="str">
        <f>IF(B320="","",_xlfn.XLOOKUP(B320,'Orders Ledger'!$A:$A,'Orders Ledger'!$H:$H,""))</f>
        <v>Desktop</v>
      </c>
      <c r="F320" t="str">
        <f>IF(B320="","",_xlfn.XLOOKUP(B320,'Orders Ledger'!$A:$A,'Orders Ledger'!$F:$F,""))</f>
        <v>Digital_Wallet</v>
      </c>
      <c r="G320">
        <f>IF(B320="","",_xlfn.XLOOKUP(B320,'Orders Ledger'!$A:$A,'Orders Ledger'!$N:$N,0))</f>
        <v>291.95</v>
      </c>
    </row>
    <row r="321" spans="2:7" x14ac:dyDescent="0.3">
      <c r="B321" t="str">
        <f t="array" ref="B321">IFERROR(INDEX('Orders Ledger'!$A$2:$A$1501, SMALL(IF(('Orders Ledger'!$J$2:$J$1501="disputed")+('Orders Ledger'!$J$2:$J$1501="PENDING_REVIEW"), ROW('Orders Ledger'!$A$2:$A$1501)-ROW('Orders Ledger'!$A$2)+1), ROW(263:263))), "")</f>
        <v>ORD101116</v>
      </c>
      <c r="C321" s="11" t="str">
        <f>IF(B321="","",_xlfn.XLOOKUP(B321,'Orders Ledger'!$A:$A,'Orders Ledger'!$B:$B,""))</f>
        <v>CUST-1188</v>
      </c>
      <c r="D321" t="str">
        <f>IF(B321="","",_xlfn.XLOOKUP(B321,'Orders Ledger'!$A:$A,'Orders Ledger'!$G:$G,""))</f>
        <v>Unknown Blacklisted Zone</v>
      </c>
      <c r="E321" t="str">
        <f>IF(B321="","",_xlfn.XLOOKUP(B321,'Orders Ledger'!$A:$A,'Orders Ledger'!$H:$H,""))</f>
        <v>Mobile_Emulator</v>
      </c>
      <c r="F321" t="str">
        <f>IF(B321="","",_xlfn.XLOOKUP(B321,'Orders Ledger'!$A:$A,'Orders Ledger'!$F:$F,""))</f>
        <v>Credit_Card</v>
      </c>
      <c r="G321">
        <f>IF(B321="","",_xlfn.XLOOKUP(B321,'Orders Ledger'!$A:$A,'Orders Ledger'!$N:$N,0))</f>
        <v>709.68</v>
      </c>
    </row>
    <row r="322" spans="2:7" x14ac:dyDescent="0.3">
      <c r="B322" t="str">
        <f t="array" ref="B322">IFERROR(INDEX('Orders Ledger'!$A$2:$A$1501, SMALL(IF(('Orders Ledger'!$J$2:$J$1501="disputed")+('Orders Ledger'!$J$2:$J$1501="PENDING_REVIEW"), ROW('Orders Ledger'!$A$2:$A$1501)-ROW('Orders Ledger'!$A$2)+1), ROW(264:264))), "")</f>
        <v>ORD101117</v>
      </c>
      <c r="C322" s="11" t="str">
        <f>IF(B322="","",_xlfn.XLOOKUP(B322,'Orders Ledger'!$A:$A,'Orders Ledger'!$B:$B,""))</f>
        <v>CUST-1265</v>
      </c>
      <c r="D322" t="str">
        <f>IF(B322="","",_xlfn.XLOOKUP(B322,'Orders Ledger'!$A:$A,'Orders Ledger'!$G:$G,""))</f>
        <v>Unknown Blacklisted Zone</v>
      </c>
      <c r="E322" t="str">
        <f>IF(B322="","",_xlfn.XLOOKUP(B322,'Orders Ledger'!$A:$A,'Orders Ledger'!$H:$H,""))</f>
        <v>Desktop</v>
      </c>
      <c r="F322" t="str">
        <f>IF(B322="","",_xlfn.XLOOKUP(B322,'Orders Ledger'!$A:$A,'Orders Ledger'!$F:$F,""))</f>
        <v>Digital_Wallet</v>
      </c>
      <c r="G322">
        <f>IF(B322="","",_xlfn.XLOOKUP(B322,'Orders Ledger'!$A:$A,'Orders Ledger'!$N:$N,0))</f>
        <v>222.76</v>
      </c>
    </row>
    <row r="323" spans="2:7" x14ac:dyDescent="0.3">
      <c r="B323" t="str">
        <f t="array" ref="B323">IFERROR(INDEX('Orders Ledger'!$A$2:$A$1501, SMALL(IF(('Orders Ledger'!$J$2:$J$1501="disputed")+('Orders Ledger'!$J$2:$J$1501="PENDING_REVIEW"), ROW('Orders Ledger'!$A$2:$A$1501)-ROW('Orders Ledger'!$A$2)+1), ROW(265:265))), "")</f>
        <v>ORD101126</v>
      </c>
      <c r="C323" s="11" t="str">
        <f>IF(B323="","",_xlfn.XLOOKUP(B323,'Orders Ledger'!$A:$A,'Orders Ledger'!$B:$B,""))</f>
        <v>CUST-1164</v>
      </c>
      <c r="D323" t="str">
        <f>IF(B323="","",_xlfn.XLOOKUP(B323,'Orders Ledger'!$A:$A,'Orders Ledger'!$G:$G,""))</f>
        <v>Germany</v>
      </c>
      <c r="E323" t="str">
        <f>IF(B323="","",_xlfn.XLOOKUP(B323,'Orders Ledger'!$A:$A,'Orders Ledger'!$H:$H,""))</f>
        <v>Mobile_Emulator</v>
      </c>
      <c r="F323" t="str">
        <f>IF(B323="","",_xlfn.XLOOKUP(B323,'Orders Ledger'!$A:$A,'Orders Ledger'!$F:$F,""))</f>
        <v>Digital_Wallet</v>
      </c>
      <c r="G323">
        <f>IF(B323="","",_xlfn.XLOOKUP(B323,'Orders Ledger'!$A:$A,'Orders Ledger'!$N:$N,0))</f>
        <v>9954.6</v>
      </c>
    </row>
    <row r="324" spans="2:7" x14ac:dyDescent="0.3">
      <c r="B324" t="str">
        <f t="array" ref="B324">IFERROR(INDEX('Orders Ledger'!$A$2:$A$1501, SMALL(IF(('Orders Ledger'!$J$2:$J$1501="disputed")+('Orders Ledger'!$J$2:$J$1501="PENDING_REVIEW"), ROW('Orders Ledger'!$A$2:$A$1501)-ROW('Orders Ledger'!$A$2)+1), ROW(266:266))), "")</f>
        <v>ORD101127</v>
      </c>
      <c r="C324" s="11" t="str">
        <f>IF(B324="","",_xlfn.XLOOKUP(B324,'Orders Ledger'!$A:$A,'Orders Ledger'!$B:$B,""))</f>
        <v>CUST-1052</v>
      </c>
      <c r="D324" t="str">
        <f>IF(B324="","",_xlfn.XLOOKUP(B324,'Orders Ledger'!$A:$A,'Orders Ledger'!$G:$G,""))</f>
        <v>Unknown Blacklisted Zone</v>
      </c>
      <c r="E324" t="str">
        <f>IF(B324="","",_xlfn.XLOOKUP(B324,'Orders Ledger'!$A:$A,'Orders Ledger'!$H:$H,""))</f>
        <v>Mobile_Emulator</v>
      </c>
      <c r="F324" t="str">
        <f>IF(B324="","",_xlfn.XLOOKUP(B324,'Orders Ledger'!$A:$A,'Orders Ledger'!$F:$F,""))</f>
        <v>Credit_Card</v>
      </c>
      <c r="G324">
        <f>IF(B324="","",_xlfn.XLOOKUP(B324,'Orders Ledger'!$A:$A,'Orders Ledger'!$N:$N,0))</f>
        <v>241.56</v>
      </c>
    </row>
    <row r="325" spans="2:7" x14ac:dyDescent="0.3">
      <c r="B325" t="str">
        <f t="array" ref="B325">IFERROR(INDEX('Orders Ledger'!$A$2:$A$1501, SMALL(IF(('Orders Ledger'!$J$2:$J$1501="disputed")+('Orders Ledger'!$J$2:$J$1501="PENDING_REVIEW"), ROW('Orders Ledger'!$A$2:$A$1501)-ROW('Orders Ledger'!$A$2)+1), ROW(267:267))), "")</f>
        <v>ORD101128</v>
      </c>
      <c r="C325" s="11" t="str">
        <f>IF(B325="","",_xlfn.XLOOKUP(B325,'Orders Ledger'!$A:$A,'Orders Ledger'!$B:$B,""))</f>
        <v>CUST-1040</v>
      </c>
      <c r="D325" t="str">
        <f>IF(B325="","",_xlfn.XLOOKUP(B325,'Orders Ledger'!$A:$A,'Orders Ledger'!$G:$G,""))</f>
        <v>Canada</v>
      </c>
      <c r="E325" t="str">
        <f>IF(B325="","",_xlfn.XLOOKUP(B325,'Orders Ledger'!$A:$A,'Orders Ledger'!$H:$H,""))</f>
        <v>Desktop</v>
      </c>
      <c r="F325" t="str">
        <f>IF(B325="","",_xlfn.XLOOKUP(B325,'Orders Ledger'!$A:$A,'Orders Ledger'!$F:$F,""))</f>
        <v>Stolen_Card_Sim</v>
      </c>
      <c r="G325">
        <f>IF(B325="","",_xlfn.XLOOKUP(B325,'Orders Ledger'!$A:$A,'Orders Ledger'!$N:$N,0))</f>
        <v>2527.25</v>
      </c>
    </row>
    <row r="326" spans="2:7" x14ac:dyDescent="0.3">
      <c r="B326" t="str">
        <f t="array" ref="B326">IFERROR(INDEX('Orders Ledger'!$A$2:$A$1501, SMALL(IF(('Orders Ledger'!$J$2:$J$1501="disputed")+('Orders Ledger'!$J$2:$J$1501="PENDING_REVIEW"), ROW('Orders Ledger'!$A$2:$A$1501)-ROW('Orders Ledger'!$A$2)+1), ROW(268:268))), "")</f>
        <v>ORD101131</v>
      </c>
      <c r="C326" s="11" t="str">
        <f>IF(B326="","",_xlfn.XLOOKUP(B326,'Orders Ledger'!$A:$A,'Orders Ledger'!$B:$B,""))</f>
        <v>CUST-1156</v>
      </c>
      <c r="D326" t="str">
        <f>IF(B326="","",_xlfn.XLOOKUP(B326,'Orders Ledger'!$A:$A,'Orders Ledger'!$G:$G,""))</f>
        <v>Canada</v>
      </c>
      <c r="E326" t="str">
        <f>IF(B326="","",_xlfn.XLOOKUP(B326,'Orders Ledger'!$A:$A,'Orders Ledger'!$H:$H,""))</f>
        <v>Mobile_Emulator</v>
      </c>
      <c r="F326" t="str">
        <f>IF(B326="","",_xlfn.XLOOKUP(B326,'Orders Ledger'!$A:$A,'Orders Ledger'!$F:$F,""))</f>
        <v>Digital_Wallet</v>
      </c>
      <c r="G326">
        <f>IF(B326="","",_xlfn.XLOOKUP(B326,'Orders Ledger'!$A:$A,'Orders Ledger'!$N:$N,0))</f>
        <v>359.33</v>
      </c>
    </row>
    <row r="327" spans="2:7" x14ac:dyDescent="0.3">
      <c r="B327" t="str">
        <f t="array" ref="B327">IFERROR(INDEX('Orders Ledger'!$A$2:$A$1501, SMALL(IF(('Orders Ledger'!$J$2:$J$1501="disputed")+('Orders Ledger'!$J$2:$J$1501="PENDING_REVIEW"), ROW('Orders Ledger'!$A$2:$A$1501)-ROW('Orders Ledger'!$A$2)+1), ROW(269:269))), "")</f>
        <v>ORD101132</v>
      </c>
      <c r="C327" s="11" t="str">
        <f>IF(B327="","",_xlfn.XLOOKUP(B327,'Orders Ledger'!$A:$A,'Orders Ledger'!$B:$B,""))</f>
        <v>CUST-1228</v>
      </c>
      <c r="D327" t="str">
        <f>IF(B327="","",_xlfn.XLOOKUP(B327,'Orders Ledger'!$A:$A,'Orders Ledger'!$G:$G,""))</f>
        <v>Unknown Blacklisted Zone</v>
      </c>
      <c r="E327" t="str">
        <f>IF(B327="","",_xlfn.XLOOKUP(B327,'Orders Ledger'!$A:$A,'Orders Ledger'!$H:$H,""))</f>
        <v>Desktop</v>
      </c>
      <c r="F327" t="str">
        <f>IF(B327="","",_xlfn.XLOOKUP(B327,'Orders Ledger'!$A:$A,'Orders Ledger'!$F:$F,""))</f>
        <v>Credit_Card</v>
      </c>
      <c r="G327">
        <f>IF(B327="","",_xlfn.XLOOKUP(B327,'Orders Ledger'!$A:$A,'Orders Ledger'!$N:$N,0))</f>
        <v>340.20000000000005</v>
      </c>
    </row>
    <row r="328" spans="2:7" x14ac:dyDescent="0.3">
      <c r="B328" t="str">
        <f t="array" ref="B328">IFERROR(INDEX('Orders Ledger'!$A$2:$A$1501, SMALL(IF(('Orders Ledger'!$J$2:$J$1501="disputed")+('Orders Ledger'!$J$2:$J$1501="PENDING_REVIEW"), ROW('Orders Ledger'!$A$2:$A$1501)-ROW('Orders Ledger'!$A$2)+1), ROW(270:270))), "")</f>
        <v>ORD101136</v>
      </c>
      <c r="C328" s="11" t="str">
        <f>IF(B328="","",_xlfn.XLOOKUP(B328,'Orders Ledger'!$A:$A,'Orders Ledger'!$B:$B,""))</f>
        <v>CUST-1179</v>
      </c>
      <c r="D328" t="str">
        <f>IF(B328="","",_xlfn.XLOOKUP(B328,'Orders Ledger'!$A:$A,'Orders Ledger'!$G:$G,""))</f>
        <v>Canada</v>
      </c>
      <c r="E328" t="str">
        <f>IF(B328="","",_xlfn.XLOOKUP(B328,'Orders Ledger'!$A:$A,'Orders Ledger'!$H:$H,""))</f>
        <v>Desktop</v>
      </c>
      <c r="F328" t="str">
        <f>IF(B328="","",_xlfn.XLOOKUP(B328,'Orders Ledger'!$A:$A,'Orders Ledger'!$F:$F,""))</f>
        <v>Credit_Card</v>
      </c>
      <c r="G328">
        <f>IF(B328="","",_xlfn.XLOOKUP(B328,'Orders Ledger'!$A:$A,'Orders Ledger'!$N:$N,0))</f>
        <v>410.48</v>
      </c>
    </row>
    <row r="329" spans="2:7" x14ac:dyDescent="0.3">
      <c r="B329" t="str">
        <f t="array" ref="B329">IFERROR(INDEX('Orders Ledger'!$A$2:$A$1501, SMALL(IF(('Orders Ledger'!$J$2:$J$1501="disputed")+('Orders Ledger'!$J$2:$J$1501="PENDING_REVIEW"), ROW('Orders Ledger'!$A$2:$A$1501)-ROW('Orders Ledger'!$A$2)+1), ROW(271:271))), "")</f>
        <v>ORD101142</v>
      </c>
      <c r="C329" s="11" t="str">
        <f>IF(B329="","",_xlfn.XLOOKUP(B329,'Orders Ledger'!$A:$A,'Orders Ledger'!$B:$B,""))</f>
        <v>CUST-1029</v>
      </c>
      <c r="D329" t="str">
        <f>IF(B329="","",_xlfn.XLOOKUP(B329,'Orders Ledger'!$A:$A,'Orders Ledger'!$G:$G,""))</f>
        <v>High-Risk Country Proxy</v>
      </c>
      <c r="E329" t="str">
        <f>IF(B329="","",_xlfn.XLOOKUP(B329,'Orders Ledger'!$A:$A,'Orders Ledger'!$H:$H,""))</f>
        <v>Desktop</v>
      </c>
      <c r="F329" t="str">
        <f>IF(B329="","",_xlfn.XLOOKUP(B329,'Orders Ledger'!$A:$A,'Orders Ledger'!$F:$F,""))</f>
        <v>Digital_Wallet</v>
      </c>
      <c r="G329">
        <f>IF(B329="","",_xlfn.XLOOKUP(B329,'Orders Ledger'!$A:$A,'Orders Ledger'!$N:$N,0))</f>
        <v>564.45000000000005</v>
      </c>
    </row>
    <row r="330" spans="2:7" x14ac:dyDescent="0.3">
      <c r="B330" t="str">
        <f t="array" ref="B330">IFERROR(INDEX('Orders Ledger'!$A$2:$A$1501, SMALL(IF(('Orders Ledger'!$J$2:$J$1501="disputed")+('Orders Ledger'!$J$2:$J$1501="PENDING_REVIEW"), ROW('Orders Ledger'!$A$2:$A$1501)-ROW('Orders Ledger'!$A$2)+1), ROW(272:272))), "")</f>
        <v>ORD101147</v>
      </c>
      <c r="C330" s="11" t="str">
        <f>IF(B330="","",_xlfn.XLOOKUP(B330,'Orders Ledger'!$A:$A,'Orders Ledger'!$B:$B,""))</f>
        <v>CUST-1081</v>
      </c>
      <c r="D330" t="str">
        <f>IF(B330="","",_xlfn.XLOOKUP(B330,'Orders Ledger'!$A:$A,'Orders Ledger'!$G:$G,""))</f>
        <v>France</v>
      </c>
      <c r="E330" t="str">
        <f>IF(B330="","",_xlfn.XLOOKUP(B330,'Orders Ledger'!$A:$A,'Orders Ledger'!$H:$H,""))</f>
        <v>Mobile_Emulator</v>
      </c>
      <c r="F330" t="str">
        <f>IF(B330="","",_xlfn.XLOOKUP(B330,'Orders Ledger'!$A:$A,'Orders Ledger'!$F:$F,""))</f>
        <v>Credit_Card</v>
      </c>
      <c r="G330">
        <f>IF(B330="","",_xlfn.XLOOKUP(B330,'Orders Ledger'!$A:$A,'Orders Ledger'!$N:$N,0))</f>
        <v>3688</v>
      </c>
    </row>
    <row r="331" spans="2:7" x14ac:dyDescent="0.3">
      <c r="B331" t="str">
        <f t="array" ref="B331">IFERROR(INDEX('Orders Ledger'!$A$2:$A$1501, SMALL(IF(('Orders Ledger'!$J$2:$J$1501="disputed")+('Orders Ledger'!$J$2:$J$1501="PENDING_REVIEW"), ROW('Orders Ledger'!$A$2:$A$1501)-ROW('Orders Ledger'!$A$2)+1), ROW(273:273))), "")</f>
        <v>ORD101152</v>
      </c>
      <c r="C331" s="11" t="str">
        <f>IF(B331="","",_xlfn.XLOOKUP(B331,'Orders Ledger'!$A:$A,'Orders Ledger'!$B:$B,""))</f>
        <v>CUST-1064</v>
      </c>
      <c r="D331" t="str">
        <f>IF(B331="","",_xlfn.XLOOKUP(B331,'Orders Ledger'!$A:$A,'Orders Ledger'!$G:$G,""))</f>
        <v>Germany</v>
      </c>
      <c r="E331" t="str">
        <f>IF(B331="","",_xlfn.XLOOKUP(B331,'Orders Ledger'!$A:$A,'Orders Ledger'!$H:$H,""))</f>
        <v>Desktop</v>
      </c>
      <c r="F331" t="str">
        <f>IF(B331="","",_xlfn.XLOOKUP(B331,'Orders Ledger'!$A:$A,'Orders Ledger'!$F:$F,""))</f>
        <v>Credit_Card</v>
      </c>
      <c r="G331">
        <f>IF(B331="","",_xlfn.XLOOKUP(B331,'Orders Ledger'!$A:$A,'Orders Ledger'!$N:$N,0))</f>
        <v>169.86</v>
      </c>
    </row>
    <row r="332" spans="2:7" x14ac:dyDescent="0.3">
      <c r="B332" t="str">
        <f t="array" ref="B332">IFERROR(INDEX('Orders Ledger'!$A$2:$A$1501, SMALL(IF(('Orders Ledger'!$J$2:$J$1501="disputed")+('Orders Ledger'!$J$2:$J$1501="PENDING_REVIEW"), ROW('Orders Ledger'!$A$2:$A$1501)-ROW('Orders Ledger'!$A$2)+1), ROW(274:274))), "")</f>
        <v>ORD101153</v>
      </c>
      <c r="C332" s="11" t="str">
        <f>IF(B332="","",_xlfn.XLOOKUP(B332,'Orders Ledger'!$A:$A,'Orders Ledger'!$B:$B,""))</f>
        <v>CUST-1034</v>
      </c>
      <c r="D332" t="str">
        <f>IF(B332="","",_xlfn.XLOOKUP(B332,'Orders Ledger'!$A:$A,'Orders Ledger'!$G:$G,""))</f>
        <v>Unknown Blacklisted Zone</v>
      </c>
      <c r="E332" t="str">
        <f>IF(B332="","",_xlfn.XLOOKUP(B332,'Orders Ledger'!$A:$A,'Orders Ledger'!$H:$H,""))</f>
        <v>Bot_Server</v>
      </c>
      <c r="F332" t="str">
        <f>IF(B332="","",_xlfn.XLOOKUP(B332,'Orders Ledger'!$A:$A,'Orders Ledger'!$F:$F,""))</f>
        <v>Digital_Wallet</v>
      </c>
      <c r="G332">
        <f>IF(B332="","",_xlfn.XLOOKUP(B332,'Orders Ledger'!$A:$A,'Orders Ledger'!$N:$N,0))</f>
        <v>53.05</v>
      </c>
    </row>
    <row r="333" spans="2:7" x14ac:dyDescent="0.3">
      <c r="B333" t="str">
        <f t="array" ref="B333">IFERROR(INDEX('Orders Ledger'!$A$2:$A$1501, SMALL(IF(('Orders Ledger'!$J$2:$J$1501="disputed")+('Orders Ledger'!$J$2:$J$1501="PENDING_REVIEW"), ROW('Orders Ledger'!$A$2:$A$1501)-ROW('Orders Ledger'!$A$2)+1), ROW(275:275))), "")</f>
        <v>ORD101154</v>
      </c>
      <c r="C333" s="11" t="str">
        <f>IF(B333="","",_xlfn.XLOOKUP(B333,'Orders Ledger'!$A:$A,'Orders Ledger'!$B:$B,""))</f>
        <v>CUST-1120</v>
      </c>
      <c r="D333" t="str">
        <f>IF(B333="","",_xlfn.XLOOKUP(B333,'Orders Ledger'!$A:$A,'Orders Ledger'!$G:$G,""))</f>
        <v>High-Risk Country Proxy</v>
      </c>
      <c r="E333" t="str">
        <f>IF(B333="","",_xlfn.XLOOKUP(B333,'Orders Ledger'!$A:$A,'Orders Ledger'!$H:$H,""))</f>
        <v>Mobile_Emulator</v>
      </c>
      <c r="F333" t="str">
        <f>IF(B333="","",_xlfn.XLOOKUP(B333,'Orders Ledger'!$A:$A,'Orders Ledger'!$F:$F,""))</f>
        <v>Digital_Wallet</v>
      </c>
      <c r="G333">
        <f>IF(B333="","",_xlfn.XLOOKUP(B333,'Orders Ledger'!$A:$A,'Orders Ledger'!$N:$N,0))</f>
        <v>1740.35</v>
      </c>
    </row>
    <row r="334" spans="2:7" x14ac:dyDescent="0.3">
      <c r="B334" t="str">
        <f t="array" ref="B334">IFERROR(INDEX('Orders Ledger'!$A$2:$A$1501, SMALL(IF(('Orders Ledger'!$J$2:$J$1501="disputed")+('Orders Ledger'!$J$2:$J$1501="PENDING_REVIEW"), ROW('Orders Ledger'!$A$2:$A$1501)-ROW('Orders Ledger'!$A$2)+1), ROW(276:276))), "")</f>
        <v>ORD101164</v>
      </c>
      <c r="C334" s="11" t="str">
        <f>IF(B334="","",_xlfn.XLOOKUP(B334,'Orders Ledger'!$A:$A,'Orders Ledger'!$B:$B,""))</f>
        <v>CUST-1227</v>
      </c>
      <c r="D334" t="str">
        <f>IF(B334="","",_xlfn.XLOOKUP(B334,'Orders Ledger'!$A:$A,'Orders Ledger'!$G:$G,""))</f>
        <v>France</v>
      </c>
      <c r="E334" t="str">
        <f>IF(B334="","",_xlfn.XLOOKUP(B334,'Orders Ledger'!$A:$A,'Orders Ledger'!$H:$H,""))</f>
        <v>Mobile_Emulator</v>
      </c>
      <c r="F334" t="str">
        <f>IF(B334="","",_xlfn.XLOOKUP(B334,'Orders Ledger'!$A:$A,'Orders Ledger'!$F:$F,""))</f>
        <v>Crypto_Proxy</v>
      </c>
      <c r="G334">
        <f>IF(B334="","",_xlfn.XLOOKUP(B334,'Orders Ledger'!$A:$A,'Orders Ledger'!$N:$N,0))</f>
        <v>1740.35</v>
      </c>
    </row>
    <row r="335" spans="2:7" x14ac:dyDescent="0.3">
      <c r="B335" t="str">
        <f t="array" ref="B335">IFERROR(INDEX('Orders Ledger'!$A$2:$A$1501, SMALL(IF(('Orders Ledger'!$J$2:$J$1501="disputed")+('Orders Ledger'!$J$2:$J$1501="PENDING_REVIEW"), ROW('Orders Ledger'!$A$2:$A$1501)-ROW('Orders Ledger'!$A$2)+1), ROW(277:277))), "")</f>
        <v>ORD101167</v>
      </c>
      <c r="C335" s="11" t="str">
        <f>IF(B335="","",_xlfn.XLOOKUP(B335,'Orders Ledger'!$A:$A,'Orders Ledger'!$B:$B,""))</f>
        <v>CUST-1070</v>
      </c>
      <c r="D335" t="str">
        <f>IF(B335="","",_xlfn.XLOOKUP(B335,'Orders Ledger'!$A:$A,'Orders Ledger'!$G:$G,""))</f>
        <v>Unknown Blacklisted Zone</v>
      </c>
      <c r="E335" t="str">
        <f>IF(B335="","",_xlfn.XLOOKUP(B335,'Orders Ledger'!$A:$A,'Orders Ledger'!$H:$H,""))</f>
        <v>Desktop</v>
      </c>
      <c r="F335" t="str">
        <f>IF(B335="","",_xlfn.XLOOKUP(B335,'Orders Ledger'!$A:$A,'Orders Ledger'!$F:$F,""))</f>
        <v>Stolen_Card_Sim</v>
      </c>
      <c r="G335">
        <f>IF(B335="","",_xlfn.XLOOKUP(B335,'Orders Ledger'!$A:$A,'Orders Ledger'!$N:$N,0))</f>
        <v>9401.7999999999993</v>
      </c>
    </row>
    <row r="336" spans="2:7" x14ac:dyDescent="0.3">
      <c r="B336" t="str">
        <f t="array" ref="B336">IFERROR(INDEX('Orders Ledger'!$A$2:$A$1501, SMALL(IF(('Orders Ledger'!$J$2:$J$1501="disputed")+('Orders Ledger'!$J$2:$J$1501="PENDING_REVIEW"), ROW('Orders Ledger'!$A$2:$A$1501)-ROW('Orders Ledger'!$A$2)+1), ROW(278:278))), "")</f>
        <v>ORD101170</v>
      </c>
      <c r="C336" s="11" t="str">
        <f>IF(B336="","",_xlfn.XLOOKUP(B336,'Orders Ledger'!$A:$A,'Orders Ledger'!$B:$B,""))</f>
        <v>CUST-1203</v>
      </c>
      <c r="D336" t="str">
        <f>IF(B336="","",_xlfn.XLOOKUP(B336,'Orders Ledger'!$A:$A,'Orders Ledger'!$G:$G,""))</f>
        <v>France</v>
      </c>
      <c r="E336" t="str">
        <f>IF(B336="","",_xlfn.XLOOKUP(B336,'Orders Ledger'!$A:$A,'Orders Ledger'!$H:$H,""))</f>
        <v>Desktop</v>
      </c>
      <c r="F336" t="str">
        <f>IF(B336="","",_xlfn.XLOOKUP(B336,'Orders Ledger'!$A:$A,'Orders Ledger'!$F:$F,""))</f>
        <v>Crypto_Proxy</v>
      </c>
      <c r="G336">
        <f>IF(B336="","",_xlfn.XLOOKUP(B336,'Orders Ledger'!$A:$A,'Orders Ledger'!$N:$N,0))</f>
        <v>1806.15</v>
      </c>
    </row>
    <row r="337" spans="2:7" x14ac:dyDescent="0.3">
      <c r="B337" t="str">
        <f t="array" ref="B337">IFERROR(INDEX('Orders Ledger'!$A$2:$A$1501, SMALL(IF(('Orders Ledger'!$J$2:$J$1501="disputed")+('Orders Ledger'!$J$2:$J$1501="PENDING_REVIEW"), ROW('Orders Ledger'!$A$2:$A$1501)-ROW('Orders Ledger'!$A$2)+1), ROW(279:279))), "")</f>
        <v>ORD101173</v>
      </c>
      <c r="C337" s="11" t="str">
        <f>IF(B337="","",_xlfn.XLOOKUP(B337,'Orders Ledger'!$A:$A,'Orders Ledger'!$B:$B,""))</f>
        <v>CUST-1127</v>
      </c>
      <c r="D337" t="str">
        <f>IF(B337="","",_xlfn.XLOOKUP(B337,'Orders Ledger'!$A:$A,'Orders Ledger'!$G:$G,""))</f>
        <v>High-Risk Country Proxy</v>
      </c>
      <c r="E337" t="str">
        <f>IF(B337="","",_xlfn.XLOOKUP(B337,'Orders Ledger'!$A:$A,'Orders Ledger'!$H:$H,""))</f>
        <v>Desktop</v>
      </c>
      <c r="F337" t="str">
        <f>IF(B337="","",_xlfn.XLOOKUP(B337,'Orders Ledger'!$A:$A,'Orders Ledger'!$F:$F,""))</f>
        <v>Crypto_Proxy</v>
      </c>
      <c r="G337">
        <f>IF(B337="","",_xlfn.XLOOKUP(B337,'Orders Ledger'!$A:$A,'Orders Ledger'!$N:$N,0))</f>
        <v>116.99</v>
      </c>
    </row>
    <row r="338" spans="2:7" x14ac:dyDescent="0.3">
      <c r="B338" t="str">
        <f t="array" ref="B338">IFERROR(INDEX('Orders Ledger'!$A$2:$A$1501, SMALL(IF(('Orders Ledger'!$J$2:$J$1501="disputed")+('Orders Ledger'!$J$2:$J$1501="PENDING_REVIEW"), ROW('Orders Ledger'!$A$2:$A$1501)-ROW('Orders Ledger'!$A$2)+1), ROW(280:280))), "")</f>
        <v>ORD101174</v>
      </c>
      <c r="C338" s="11" t="str">
        <f>IF(B338="","",_xlfn.XLOOKUP(B338,'Orders Ledger'!$A:$A,'Orders Ledger'!$B:$B,""))</f>
        <v>CUST-1058</v>
      </c>
      <c r="D338" t="str">
        <f>IF(B338="","",_xlfn.XLOOKUP(B338,'Orders Ledger'!$A:$A,'Orders Ledger'!$G:$G,""))</f>
        <v>Unknown Blacklisted Zone</v>
      </c>
      <c r="E338" t="str">
        <f>IF(B338="","",_xlfn.XLOOKUP(B338,'Orders Ledger'!$A:$A,'Orders Ledger'!$H:$H,""))</f>
        <v>Mobile_Emulator</v>
      </c>
      <c r="F338" t="str">
        <f>IF(B338="","",_xlfn.XLOOKUP(B338,'Orders Ledger'!$A:$A,'Orders Ledger'!$F:$F,""))</f>
        <v>Credit_Card</v>
      </c>
      <c r="G338">
        <f>IF(B338="","",_xlfn.XLOOKUP(B338,'Orders Ledger'!$A:$A,'Orders Ledger'!$N:$N,0))</f>
        <v>534.5</v>
      </c>
    </row>
    <row r="339" spans="2:7" x14ac:dyDescent="0.3">
      <c r="B339" t="str">
        <f t="array" ref="B339">IFERROR(INDEX('Orders Ledger'!$A$2:$A$1501, SMALL(IF(('Orders Ledger'!$J$2:$J$1501="disputed")+('Orders Ledger'!$J$2:$J$1501="PENDING_REVIEW"), ROW('Orders Ledger'!$A$2:$A$1501)-ROW('Orders Ledger'!$A$2)+1), ROW(281:281))), "")</f>
        <v>ORD101177</v>
      </c>
      <c r="C339" s="11" t="str">
        <f>IF(B339="","",_xlfn.XLOOKUP(B339,'Orders Ledger'!$A:$A,'Orders Ledger'!$B:$B,""))</f>
        <v>CUST-1255</v>
      </c>
      <c r="D339" t="str">
        <f>IF(B339="","",_xlfn.XLOOKUP(B339,'Orders Ledger'!$A:$A,'Orders Ledger'!$G:$G,""))</f>
        <v>Unknown Blacklisted Zone</v>
      </c>
      <c r="E339" t="str">
        <f>IF(B339="","",_xlfn.XLOOKUP(B339,'Orders Ledger'!$A:$A,'Orders Ledger'!$H:$H,""))</f>
        <v>Desktop</v>
      </c>
      <c r="F339" t="str">
        <f>IF(B339="","",_xlfn.XLOOKUP(B339,'Orders Ledger'!$A:$A,'Orders Ledger'!$F:$F,""))</f>
        <v>Digital_Wallet</v>
      </c>
      <c r="G339">
        <f>IF(B339="","",_xlfn.XLOOKUP(B339,'Orders Ledger'!$A:$A,'Orders Ledger'!$N:$N,0))</f>
        <v>80.59</v>
      </c>
    </row>
    <row r="340" spans="2:7" x14ac:dyDescent="0.3">
      <c r="B340" t="str">
        <f t="array" ref="B340">IFERROR(INDEX('Orders Ledger'!$A$2:$A$1501, SMALL(IF(('Orders Ledger'!$J$2:$J$1501="disputed")+('Orders Ledger'!$J$2:$J$1501="PENDING_REVIEW"), ROW('Orders Ledger'!$A$2:$A$1501)-ROW('Orders Ledger'!$A$2)+1), ROW(282:282))), "")</f>
        <v>ORD101182</v>
      </c>
      <c r="C340" s="11" t="str">
        <f>IF(B340="","",_xlfn.XLOOKUP(B340,'Orders Ledger'!$A:$A,'Orders Ledger'!$B:$B,""))</f>
        <v>CUST-1134</v>
      </c>
      <c r="D340" t="str">
        <f>IF(B340="","",_xlfn.XLOOKUP(B340,'Orders Ledger'!$A:$A,'Orders Ledger'!$G:$G,""))</f>
        <v>Unknown Blacklisted Zone</v>
      </c>
      <c r="E340" t="str">
        <f>IF(B340="","",_xlfn.XLOOKUP(B340,'Orders Ledger'!$A:$A,'Orders Ledger'!$H:$H,""))</f>
        <v>Desktop</v>
      </c>
      <c r="F340" t="str">
        <f>IF(B340="","",_xlfn.XLOOKUP(B340,'Orders Ledger'!$A:$A,'Orders Ledger'!$F:$F,""))</f>
        <v>Crypto_Proxy</v>
      </c>
      <c r="G340">
        <f>IF(B340="","",_xlfn.XLOOKUP(B340,'Orders Ledger'!$A:$A,'Orders Ledger'!$N:$N,0))</f>
        <v>106.9</v>
      </c>
    </row>
    <row r="341" spans="2:7" x14ac:dyDescent="0.3">
      <c r="B341" t="str">
        <f t="array" ref="B341">IFERROR(INDEX('Orders Ledger'!$A$2:$A$1501, SMALL(IF(('Orders Ledger'!$J$2:$J$1501="disputed")+('Orders Ledger'!$J$2:$J$1501="PENDING_REVIEW"), ROW('Orders Ledger'!$A$2:$A$1501)-ROW('Orders Ledger'!$A$2)+1), ROW(283:283))), "")</f>
        <v>ORD101193</v>
      </c>
      <c r="C341" s="11" t="str">
        <f>IF(B341="","",_xlfn.XLOOKUP(B341,'Orders Ledger'!$A:$A,'Orders Ledger'!$B:$B,""))</f>
        <v>CUST-1088</v>
      </c>
      <c r="D341" t="str">
        <f>IF(B341="","",_xlfn.XLOOKUP(B341,'Orders Ledger'!$A:$A,'Orders Ledger'!$G:$G,""))</f>
        <v>United States</v>
      </c>
      <c r="E341" t="str">
        <f>IF(B341="","",_xlfn.XLOOKUP(B341,'Orders Ledger'!$A:$A,'Orders Ledger'!$H:$H,""))</f>
        <v>Bot_Server</v>
      </c>
      <c r="F341" t="str">
        <f>IF(B341="","",_xlfn.XLOOKUP(B341,'Orders Ledger'!$A:$A,'Orders Ledger'!$F:$F,""))</f>
        <v>Credit_Card</v>
      </c>
      <c r="G341">
        <f>IF(B341="","",_xlfn.XLOOKUP(B341,'Orders Ledger'!$A:$A,'Orders Ledger'!$N:$N,0))</f>
        <v>5900.44</v>
      </c>
    </row>
    <row r="342" spans="2:7" x14ac:dyDescent="0.3">
      <c r="B342" t="str">
        <f t="array" ref="B342">IFERROR(INDEX('Orders Ledger'!$A$2:$A$1501, SMALL(IF(('Orders Ledger'!$J$2:$J$1501="disputed")+('Orders Ledger'!$J$2:$J$1501="PENDING_REVIEW"), ROW('Orders Ledger'!$A$2:$A$1501)-ROW('Orders Ledger'!$A$2)+1), ROW(284:284))), "")</f>
        <v>ORD101196</v>
      </c>
      <c r="C342" s="11" t="str">
        <f>IF(B342="","",_xlfn.XLOOKUP(B342,'Orders Ledger'!$A:$A,'Orders Ledger'!$B:$B,""))</f>
        <v>CUST-1163</v>
      </c>
      <c r="D342" t="str">
        <f>IF(B342="","",_xlfn.XLOOKUP(B342,'Orders Ledger'!$A:$A,'Orders Ledger'!$G:$G,""))</f>
        <v>Germany</v>
      </c>
      <c r="E342" t="str">
        <f>IF(B342="","",_xlfn.XLOOKUP(B342,'Orders Ledger'!$A:$A,'Orders Ledger'!$H:$H,""))</f>
        <v>Desktop</v>
      </c>
      <c r="F342" t="str">
        <f>IF(B342="","",_xlfn.XLOOKUP(B342,'Orders Ledger'!$A:$A,'Orders Ledger'!$F:$F,""))</f>
        <v>Digital_Wallet</v>
      </c>
      <c r="G342">
        <f>IF(B342="","",_xlfn.XLOOKUP(B342,'Orders Ledger'!$A:$A,'Orders Ledger'!$N:$N,0))</f>
        <v>7995.4</v>
      </c>
    </row>
    <row r="343" spans="2:7" x14ac:dyDescent="0.3">
      <c r="B343" t="str">
        <f t="array" ref="B343">IFERROR(INDEX('Orders Ledger'!$A$2:$A$1501, SMALL(IF(('Orders Ledger'!$J$2:$J$1501="disputed")+('Orders Ledger'!$J$2:$J$1501="PENDING_REVIEW"), ROW('Orders Ledger'!$A$2:$A$1501)-ROW('Orders Ledger'!$A$2)+1), ROW(285:285))), "")</f>
        <v>ORD101201</v>
      </c>
      <c r="C343" s="11" t="str">
        <f>IF(B343="","",_xlfn.XLOOKUP(B343,'Orders Ledger'!$A:$A,'Orders Ledger'!$B:$B,""))</f>
        <v>CUST-1148</v>
      </c>
      <c r="D343" t="str">
        <f>IF(B343="","",_xlfn.XLOOKUP(B343,'Orders Ledger'!$A:$A,'Orders Ledger'!$G:$G,""))</f>
        <v>United States</v>
      </c>
      <c r="E343" t="str">
        <f>IF(B343="","",_xlfn.XLOOKUP(B343,'Orders Ledger'!$A:$A,'Orders Ledger'!$H:$H,""))</f>
        <v>Desktop</v>
      </c>
      <c r="F343" t="str">
        <f>IF(B343="","",_xlfn.XLOOKUP(B343,'Orders Ledger'!$A:$A,'Orders Ledger'!$F:$F,""))</f>
        <v>Crypto_Proxy</v>
      </c>
      <c r="G343">
        <f>IF(B343="","",_xlfn.XLOOKUP(B343,'Orders Ledger'!$A:$A,'Orders Ledger'!$N:$N,0))</f>
        <v>1263.28</v>
      </c>
    </row>
    <row r="344" spans="2:7" x14ac:dyDescent="0.3">
      <c r="B344" t="str">
        <f t="array" ref="B344">IFERROR(INDEX('Orders Ledger'!$A$2:$A$1501, SMALL(IF(('Orders Ledger'!$J$2:$J$1501="disputed")+('Orders Ledger'!$J$2:$J$1501="PENDING_REVIEW"), ROW('Orders Ledger'!$A$2:$A$1501)-ROW('Orders Ledger'!$A$2)+1), ROW(286:286))), "")</f>
        <v>ORD101202</v>
      </c>
      <c r="C344" s="11" t="str">
        <f>IF(B344="","",_xlfn.XLOOKUP(B344,'Orders Ledger'!$A:$A,'Orders Ledger'!$B:$B,""))</f>
        <v>CUST-1153</v>
      </c>
      <c r="D344" t="str">
        <f>IF(B344="","",_xlfn.XLOOKUP(B344,'Orders Ledger'!$A:$A,'Orders Ledger'!$G:$G,""))</f>
        <v>High-Risk Country Proxy</v>
      </c>
      <c r="E344" t="str">
        <f>IF(B344="","",_xlfn.XLOOKUP(B344,'Orders Ledger'!$A:$A,'Orders Ledger'!$H:$H,""))</f>
        <v>Desktop</v>
      </c>
      <c r="F344" t="str">
        <f>IF(B344="","",_xlfn.XLOOKUP(B344,'Orders Ledger'!$A:$A,'Orders Ledger'!$F:$F,""))</f>
        <v>Crypto_Proxy</v>
      </c>
      <c r="G344">
        <f>IF(B344="","",_xlfn.XLOOKUP(B344,'Orders Ledger'!$A:$A,'Orders Ledger'!$N:$N,0))</f>
        <v>11.22</v>
      </c>
    </row>
    <row r="345" spans="2:7" x14ac:dyDescent="0.3">
      <c r="B345" t="str">
        <f t="array" ref="B345">IFERROR(INDEX('Orders Ledger'!$A$2:$A$1501, SMALL(IF(('Orders Ledger'!$J$2:$J$1501="disputed")+('Orders Ledger'!$J$2:$J$1501="PENDING_REVIEW"), ROW('Orders Ledger'!$A$2:$A$1501)-ROW('Orders Ledger'!$A$2)+1), ROW(287:287))), "")</f>
        <v>ORD101203</v>
      </c>
      <c r="C345" s="11" t="str">
        <f>IF(B345="","",_xlfn.XLOOKUP(B345,'Orders Ledger'!$A:$A,'Orders Ledger'!$B:$B,""))</f>
        <v>CUST-1080</v>
      </c>
      <c r="D345" t="str">
        <f>IF(B345="","",_xlfn.XLOOKUP(B345,'Orders Ledger'!$A:$A,'Orders Ledger'!$G:$G,""))</f>
        <v>France</v>
      </c>
      <c r="E345" t="str">
        <f>IF(B345="","",_xlfn.XLOOKUP(B345,'Orders Ledger'!$A:$A,'Orders Ledger'!$H:$H,""))</f>
        <v>Mobile_App</v>
      </c>
      <c r="F345" t="str">
        <f>IF(B345="","",_xlfn.XLOOKUP(B345,'Orders Ledger'!$A:$A,'Orders Ledger'!$F:$F,""))</f>
        <v>Credit_Card</v>
      </c>
      <c r="G345">
        <f>IF(B345="","",_xlfn.XLOOKUP(B345,'Orders Ledger'!$A:$A,'Orders Ledger'!$N:$N,0))</f>
        <v>112.89</v>
      </c>
    </row>
    <row r="346" spans="2:7" x14ac:dyDescent="0.3">
      <c r="B346" t="str">
        <f t="array" ref="B346">IFERROR(INDEX('Orders Ledger'!$A$2:$A$1501, SMALL(IF(('Orders Ledger'!$J$2:$J$1501="disputed")+('Orders Ledger'!$J$2:$J$1501="PENDING_REVIEW"), ROW('Orders Ledger'!$A$2:$A$1501)-ROW('Orders Ledger'!$A$2)+1), ROW(288:288))), "")</f>
        <v>ORD101205</v>
      </c>
      <c r="C346" s="11" t="str">
        <f>IF(B346="","",_xlfn.XLOOKUP(B346,'Orders Ledger'!$A:$A,'Orders Ledger'!$B:$B,""))</f>
        <v>CUST-1185</v>
      </c>
      <c r="D346" t="str">
        <f>IF(B346="","",_xlfn.XLOOKUP(B346,'Orders Ledger'!$A:$A,'Orders Ledger'!$G:$G,""))</f>
        <v>Unknown Blacklisted Zone</v>
      </c>
      <c r="E346" t="str">
        <f>IF(B346="","",_xlfn.XLOOKUP(B346,'Orders Ledger'!$A:$A,'Orders Ledger'!$H:$H,""))</f>
        <v>Bot_Server</v>
      </c>
      <c r="F346" t="str">
        <f>IF(B346="","",_xlfn.XLOOKUP(B346,'Orders Ledger'!$A:$A,'Orders Ledger'!$F:$F,""))</f>
        <v>Crypto_Proxy</v>
      </c>
      <c r="G346">
        <f>IF(B346="","",_xlfn.XLOOKUP(B346,'Orders Ledger'!$A:$A,'Orders Ledger'!$N:$N,0))</f>
        <v>574.4</v>
      </c>
    </row>
    <row r="347" spans="2:7" x14ac:dyDescent="0.3">
      <c r="B347" t="str">
        <f t="array" ref="B347">IFERROR(INDEX('Orders Ledger'!$A$2:$A$1501, SMALL(IF(('Orders Ledger'!$J$2:$J$1501="disputed")+('Orders Ledger'!$J$2:$J$1501="PENDING_REVIEW"), ROW('Orders Ledger'!$A$2:$A$1501)-ROW('Orders Ledger'!$A$2)+1), ROW(289:289))), "")</f>
        <v>ORD101207</v>
      </c>
      <c r="C347" s="11" t="str">
        <f>IF(B347="","",_xlfn.XLOOKUP(B347,'Orders Ledger'!$A:$A,'Orders Ledger'!$B:$B,""))</f>
        <v>CUST-1114</v>
      </c>
      <c r="D347" t="str">
        <f>IF(B347="","",_xlfn.XLOOKUP(B347,'Orders Ledger'!$A:$A,'Orders Ledger'!$G:$G,""))</f>
        <v>United States</v>
      </c>
      <c r="E347" t="str">
        <f>IF(B347="","",_xlfn.XLOOKUP(B347,'Orders Ledger'!$A:$A,'Orders Ledger'!$H:$H,""))</f>
        <v>Desktop</v>
      </c>
      <c r="F347" t="str">
        <f>IF(B347="","",_xlfn.XLOOKUP(B347,'Orders Ledger'!$A:$A,'Orders Ledger'!$F:$F,""))</f>
        <v>Stolen_Card_Sim</v>
      </c>
      <c r="G347">
        <f>IF(B347="","",_xlfn.XLOOKUP(B347,'Orders Ledger'!$A:$A,'Orders Ledger'!$N:$N,0))</f>
        <v>6227.65</v>
      </c>
    </row>
    <row r="348" spans="2:7" x14ac:dyDescent="0.3">
      <c r="B348" t="str">
        <f t="array" ref="B348">IFERROR(INDEX('Orders Ledger'!$A$2:$A$1501, SMALL(IF(('Orders Ledger'!$J$2:$J$1501="disputed")+('Orders Ledger'!$J$2:$J$1501="PENDING_REVIEW"), ROW('Orders Ledger'!$A$2:$A$1501)-ROW('Orders Ledger'!$A$2)+1), ROW(290:290))), "")</f>
        <v>ORD101208</v>
      </c>
      <c r="C348" s="11" t="str">
        <f>IF(B348="","",_xlfn.XLOOKUP(B348,'Orders Ledger'!$A:$A,'Orders Ledger'!$B:$B,""))</f>
        <v>CUST-1062</v>
      </c>
      <c r="D348" t="str">
        <f>IF(B348="","",_xlfn.XLOOKUP(B348,'Orders Ledger'!$A:$A,'Orders Ledger'!$G:$G,""))</f>
        <v>Unknown Blacklisted Zone</v>
      </c>
      <c r="E348" t="str">
        <f>IF(B348="","",_xlfn.XLOOKUP(B348,'Orders Ledger'!$A:$A,'Orders Ledger'!$H:$H,""))</f>
        <v>Bot_Server</v>
      </c>
      <c r="F348" t="str">
        <f>IF(B348="","",_xlfn.XLOOKUP(B348,'Orders Ledger'!$A:$A,'Orders Ledger'!$F:$F,""))</f>
        <v>Digital_Wallet</v>
      </c>
      <c r="G348">
        <f>IF(B348="","",_xlfn.XLOOKUP(B348,'Orders Ledger'!$A:$A,'Orders Ledger'!$N:$N,0))</f>
        <v>55.69</v>
      </c>
    </row>
    <row r="349" spans="2:7" x14ac:dyDescent="0.3">
      <c r="B349" t="str">
        <f t="array" ref="B349">IFERROR(INDEX('Orders Ledger'!$A$2:$A$1501, SMALL(IF(('Orders Ledger'!$J$2:$J$1501="disputed")+('Orders Ledger'!$J$2:$J$1501="PENDING_REVIEW"), ROW('Orders Ledger'!$A$2:$A$1501)-ROW('Orders Ledger'!$A$2)+1), ROW(291:291))), "")</f>
        <v>ORD101209</v>
      </c>
      <c r="C349" s="11" t="str">
        <f>IF(B349="","",_xlfn.XLOOKUP(B349,'Orders Ledger'!$A:$A,'Orders Ledger'!$B:$B,""))</f>
        <v>CUST-1102</v>
      </c>
      <c r="D349" t="str">
        <f>IF(B349="","",_xlfn.XLOOKUP(B349,'Orders Ledger'!$A:$A,'Orders Ledger'!$G:$G,""))</f>
        <v>France</v>
      </c>
      <c r="E349" t="str">
        <f>IF(B349="","",_xlfn.XLOOKUP(B349,'Orders Ledger'!$A:$A,'Orders Ledger'!$H:$H,""))</f>
        <v>Desktop</v>
      </c>
      <c r="F349" t="str">
        <f>IF(B349="","",_xlfn.XLOOKUP(B349,'Orders Ledger'!$A:$A,'Orders Ledger'!$F:$F,""))</f>
        <v>Digital_Wallet</v>
      </c>
      <c r="G349">
        <f>IF(B349="","",_xlfn.XLOOKUP(B349,'Orders Ledger'!$A:$A,'Orders Ledger'!$N:$N,0))</f>
        <v>187.9</v>
      </c>
    </row>
    <row r="350" spans="2:7" x14ac:dyDescent="0.3">
      <c r="B350" t="str">
        <f t="array" ref="B350">IFERROR(INDEX('Orders Ledger'!$A$2:$A$1501, SMALL(IF(('Orders Ledger'!$J$2:$J$1501="disputed")+('Orders Ledger'!$J$2:$J$1501="PENDING_REVIEW"), ROW('Orders Ledger'!$A$2:$A$1501)-ROW('Orders Ledger'!$A$2)+1), ROW(292:292))), "")</f>
        <v>ORD101212</v>
      </c>
      <c r="C350" s="11" t="str">
        <f>IF(B350="","",_xlfn.XLOOKUP(B350,'Orders Ledger'!$A:$A,'Orders Ledger'!$B:$B,""))</f>
        <v>CUST-1252</v>
      </c>
      <c r="D350" t="str">
        <f>IF(B350="","",_xlfn.XLOOKUP(B350,'Orders Ledger'!$A:$A,'Orders Ledger'!$G:$G,""))</f>
        <v>High-Risk Country Proxy</v>
      </c>
      <c r="E350" t="str">
        <f>IF(B350="","",_xlfn.XLOOKUP(B350,'Orders Ledger'!$A:$A,'Orders Ledger'!$H:$H,""))</f>
        <v>Bot_Server</v>
      </c>
      <c r="F350" t="str">
        <f>IF(B350="","",_xlfn.XLOOKUP(B350,'Orders Ledger'!$A:$A,'Orders Ledger'!$F:$F,""))</f>
        <v>Crypto_Proxy</v>
      </c>
      <c r="G350">
        <f>IF(B350="","",_xlfn.XLOOKUP(B350,'Orders Ledger'!$A:$A,'Orders Ledger'!$N:$N,0))</f>
        <v>736.3</v>
      </c>
    </row>
    <row r="351" spans="2:7" x14ac:dyDescent="0.3">
      <c r="B351" t="str">
        <f t="array" ref="B351">IFERROR(INDEX('Orders Ledger'!$A$2:$A$1501, SMALL(IF(('Orders Ledger'!$J$2:$J$1501="disputed")+('Orders Ledger'!$J$2:$J$1501="PENDING_REVIEW"), ROW('Orders Ledger'!$A$2:$A$1501)-ROW('Orders Ledger'!$A$2)+1), ROW(293:293))), "")</f>
        <v>ORD101213</v>
      </c>
      <c r="C351" s="11" t="str">
        <f>IF(B351="","",_xlfn.XLOOKUP(B351,'Orders Ledger'!$A:$A,'Orders Ledger'!$B:$B,""))</f>
        <v>CUST-1013</v>
      </c>
      <c r="D351" t="str">
        <f>IF(B351="","",_xlfn.XLOOKUP(B351,'Orders Ledger'!$A:$A,'Orders Ledger'!$G:$G,""))</f>
        <v>High-Risk Country Proxy</v>
      </c>
      <c r="E351" t="str">
        <f>IF(B351="","",_xlfn.XLOOKUP(B351,'Orders Ledger'!$A:$A,'Orders Ledger'!$H:$H,""))</f>
        <v>Mobile_Emulator</v>
      </c>
      <c r="F351" t="str">
        <f>IF(B351="","",_xlfn.XLOOKUP(B351,'Orders Ledger'!$A:$A,'Orders Ledger'!$F:$F,""))</f>
        <v>Credit_Card</v>
      </c>
      <c r="G351">
        <f>IF(B351="","",_xlfn.XLOOKUP(B351,'Orders Ledger'!$A:$A,'Orders Ledger'!$N:$N,0))</f>
        <v>79.23</v>
      </c>
    </row>
    <row r="352" spans="2:7" x14ac:dyDescent="0.3">
      <c r="B352" t="str">
        <f t="array" ref="B352">IFERROR(INDEX('Orders Ledger'!$A$2:$A$1501, SMALL(IF(('Orders Ledger'!$J$2:$J$1501="disputed")+('Orders Ledger'!$J$2:$J$1501="PENDING_REVIEW"), ROW('Orders Ledger'!$A$2:$A$1501)-ROW('Orders Ledger'!$A$2)+1), ROW(294:294))), "")</f>
        <v>ORD101226</v>
      </c>
      <c r="C352" s="11" t="str">
        <f>IF(B352="","",_xlfn.XLOOKUP(B352,'Orders Ledger'!$A:$A,'Orders Ledger'!$B:$B,""))</f>
        <v>CUST-1269</v>
      </c>
      <c r="D352" t="str">
        <f>IF(B352="","",_xlfn.XLOOKUP(B352,'Orders Ledger'!$A:$A,'Orders Ledger'!$G:$G,""))</f>
        <v>Unknown Blacklisted Zone</v>
      </c>
      <c r="E352" t="str">
        <f>IF(B352="","",_xlfn.XLOOKUP(B352,'Orders Ledger'!$A:$A,'Orders Ledger'!$H:$H,""))</f>
        <v>Desktop</v>
      </c>
      <c r="F352" t="str">
        <f>IF(B352="","",_xlfn.XLOOKUP(B352,'Orders Ledger'!$A:$A,'Orders Ledger'!$F:$F,""))</f>
        <v>Digital_Wallet</v>
      </c>
      <c r="G352">
        <f>IF(B352="","",_xlfn.XLOOKUP(B352,'Orders Ledger'!$A:$A,'Orders Ledger'!$N:$N,0))</f>
        <v>887.09999999999991</v>
      </c>
    </row>
    <row r="353" spans="2:7" x14ac:dyDescent="0.3">
      <c r="B353" t="str">
        <f t="array" ref="B353">IFERROR(INDEX('Orders Ledger'!$A$2:$A$1501, SMALL(IF(('Orders Ledger'!$J$2:$J$1501="disputed")+('Orders Ledger'!$J$2:$J$1501="PENDING_REVIEW"), ROW('Orders Ledger'!$A$2:$A$1501)-ROW('Orders Ledger'!$A$2)+1), ROW(295:295))), "")</f>
        <v>ORD101229</v>
      </c>
      <c r="C353" s="11" t="str">
        <f>IF(B353="","",_xlfn.XLOOKUP(B353,'Orders Ledger'!$A:$A,'Orders Ledger'!$B:$B,""))</f>
        <v>CUST-1294</v>
      </c>
      <c r="D353" t="str">
        <f>IF(B353="","",_xlfn.XLOOKUP(B353,'Orders Ledger'!$A:$A,'Orders Ledger'!$G:$G,""))</f>
        <v>High-Risk Country Proxy</v>
      </c>
      <c r="E353" t="str">
        <f>IF(B353="","",_xlfn.XLOOKUP(B353,'Orders Ledger'!$A:$A,'Orders Ledger'!$H:$H,""))</f>
        <v>Mobile_Emulator</v>
      </c>
      <c r="F353" t="str">
        <f>IF(B353="","",_xlfn.XLOOKUP(B353,'Orders Ledger'!$A:$A,'Orders Ledger'!$F:$F,""))</f>
        <v>Crypto_Proxy</v>
      </c>
      <c r="G353">
        <f>IF(B353="","",_xlfn.XLOOKUP(B353,'Orders Ledger'!$A:$A,'Orders Ledger'!$N:$N,0))</f>
        <v>75.45</v>
      </c>
    </row>
    <row r="354" spans="2:7" x14ac:dyDescent="0.3">
      <c r="B354" t="str">
        <f t="array" ref="B354">IFERROR(INDEX('Orders Ledger'!$A$2:$A$1501, SMALL(IF(('Orders Ledger'!$J$2:$J$1501="disputed")+('Orders Ledger'!$J$2:$J$1501="PENDING_REVIEW"), ROW('Orders Ledger'!$A$2:$A$1501)-ROW('Orders Ledger'!$A$2)+1), ROW(296:296))), "")</f>
        <v>ORD101233</v>
      </c>
      <c r="C354" s="11" t="str">
        <f>IF(B354="","",_xlfn.XLOOKUP(B354,'Orders Ledger'!$A:$A,'Orders Ledger'!$B:$B,""))</f>
        <v>CUST-1037</v>
      </c>
      <c r="D354" t="str">
        <f>IF(B354="","",_xlfn.XLOOKUP(B354,'Orders Ledger'!$A:$A,'Orders Ledger'!$G:$G,""))</f>
        <v>High-Risk Country Proxy</v>
      </c>
      <c r="E354" t="str">
        <f>IF(B354="","",_xlfn.XLOOKUP(B354,'Orders Ledger'!$A:$A,'Orders Ledger'!$H:$H,""))</f>
        <v>Mobile_Emulator</v>
      </c>
      <c r="F354" t="str">
        <f>IF(B354="","",_xlfn.XLOOKUP(B354,'Orders Ledger'!$A:$A,'Orders Ledger'!$F:$F,""))</f>
        <v>Digital_Wallet</v>
      </c>
      <c r="G354">
        <f>IF(B354="","",_xlfn.XLOOKUP(B354,'Orders Ledger'!$A:$A,'Orders Ledger'!$N:$N,0))</f>
        <v>23.19</v>
      </c>
    </row>
    <row r="355" spans="2:7" x14ac:dyDescent="0.3">
      <c r="B355" t="str">
        <f t="array" ref="B355">IFERROR(INDEX('Orders Ledger'!$A$2:$A$1501, SMALL(IF(('Orders Ledger'!$J$2:$J$1501="disputed")+('Orders Ledger'!$J$2:$J$1501="PENDING_REVIEW"), ROW('Orders Ledger'!$A$2:$A$1501)-ROW('Orders Ledger'!$A$2)+1), ROW(297:297))), "")</f>
        <v>ORD101243</v>
      </c>
      <c r="C355" s="11" t="str">
        <f>IF(B355="","",_xlfn.XLOOKUP(B355,'Orders Ledger'!$A:$A,'Orders Ledger'!$B:$B,""))</f>
        <v>CUST-1221</v>
      </c>
      <c r="D355" t="str">
        <f>IF(B355="","",_xlfn.XLOOKUP(B355,'Orders Ledger'!$A:$A,'Orders Ledger'!$G:$G,""))</f>
        <v>High-Risk Country Proxy</v>
      </c>
      <c r="E355" t="str">
        <f>IF(B355="","",_xlfn.XLOOKUP(B355,'Orders Ledger'!$A:$A,'Orders Ledger'!$H:$H,""))</f>
        <v>Bot_Server</v>
      </c>
      <c r="F355" t="str">
        <f>IF(B355="","",_xlfn.XLOOKUP(B355,'Orders Ledger'!$A:$A,'Orders Ledger'!$F:$F,""))</f>
        <v>Credit_Card</v>
      </c>
      <c r="G355">
        <f>IF(B355="","",_xlfn.XLOOKUP(B355,'Orders Ledger'!$A:$A,'Orders Ledger'!$N:$N,0))</f>
        <v>819.56</v>
      </c>
    </row>
    <row r="356" spans="2:7" x14ac:dyDescent="0.3">
      <c r="B356" t="str">
        <f t="array" ref="B356">IFERROR(INDEX('Orders Ledger'!$A$2:$A$1501, SMALL(IF(('Orders Ledger'!$J$2:$J$1501="disputed")+('Orders Ledger'!$J$2:$J$1501="PENDING_REVIEW"), ROW('Orders Ledger'!$A$2:$A$1501)-ROW('Orders Ledger'!$A$2)+1), ROW(298:298))), "")</f>
        <v>ORD101250</v>
      </c>
      <c r="C356" s="11" t="str">
        <f>IF(B356="","",_xlfn.XLOOKUP(B356,'Orders Ledger'!$A:$A,'Orders Ledger'!$B:$B,""))</f>
        <v>CUST-1084</v>
      </c>
      <c r="D356" t="str">
        <f>IF(B356="","",_xlfn.XLOOKUP(B356,'Orders Ledger'!$A:$A,'Orders Ledger'!$G:$G,""))</f>
        <v>High-Risk Country Proxy</v>
      </c>
      <c r="E356" t="str">
        <f>IF(B356="","",_xlfn.XLOOKUP(B356,'Orders Ledger'!$A:$A,'Orders Ledger'!$H:$H,""))</f>
        <v>Mobile_Emulator</v>
      </c>
      <c r="F356" t="str">
        <f>IF(B356="","",_xlfn.XLOOKUP(B356,'Orders Ledger'!$A:$A,'Orders Ledger'!$F:$F,""))</f>
        <v>Digital_Wallet</v>
      </c>
      <c r="G356">
        <f>IF(B356="","",_xlfn.XLOOKUP(B356,'Orders Ledger'!$A:$A,'Orders Ledger'!$N:$N,0))</f>
        <v>75.400000000000006</v>
      </c>
    </row>
    <row r="357" spans="2:7" x14ac:dyDescent="0.3">
      <c r="B357" t="str">
        <f t="array" ref="B357">IFERROR(INDEX('Orders Ledger'!$A$2:$A$1501, SMALL(IF(('Orders Ledger'!$J$2:$J$1501="disputed")+('Orders Ledger'!$J$2:$J$1501="PENDING_REVIEW"), ROW('Orders Ledger'!$A$2:$A$1501)-ROW('Orders Ledger'!$A$2)+1), ROW(299:299))), "")</f>
        <v>ORD101251</v>
      </c>
      <c r="C357" s="11" t="str">
        <f>IF(B357="","",_xlfn.XLOOKUP(B357,'Orders Ledger'!$A:$A,'Orders Ledger'!$B:$B,""))</f>
        <v>CUST-1082</v>
      </c>
      <c r="D357" t="str">
        <f>IF(B357="","",_xlfn.XLOOKUP(B357,'Orders Ledger'!$A:$A,'Orders Ledger'!$G:$G,""))</f>
        <v>High-Risk Country Proxy</v>
      </c>
      <c r="E357" t="str">
        <f>IF(B357="","",_xlfn.XLOOKUP(B357,'Orders Ledger'!$A:$A,'Orders Ledger'!$H:$H,""))</f>
        <v>Mobile_Emulator</v>
      </c>
      <c r="F357" t="str">
        <f>IF(B357="","",_xlfn.XLOOKUP(B357,'Orders Ledger'!$A:$A,'Orders Ledger'!$F:$F,""))</f>
        <v>Digital_Wallet</v>
      </c>
      <c r="G357">
        <f>IF(B357="","",_xlfn.XLOOKUP(B357,'Orders Ledger'!$A:$A,'Orders Ledger'!$N:$N,0))</f>
        <v>55.48</v>
      </c>
    </row>
    <row r="358" spans="2:7" x14ac:dyDescent="0.3">
      <c r="B358" t="str">
        <f t="array" ref="B358">IFERROR(INDEX('Orders Ledger'!$A$2:$A$1501, SMALL(IF(('Orders Ledger'!$J$2:$J$1501="disputed")+('Orders Ledger'!$J$2:$J$1501="PENDING_REVIEW"), ROW('Orders Ledger'!$A$2:$A$1501)-ROW('Orders Ledger'!$A$2)+1), ROW(300:300))), "")</f>
        <v>ORD101254</v>
      </c>
      <c r="C358" s="11" t="str">
        <f>IF(B358="","",_xlfn.XLOOKUP(B358,'Orders Ledger'!$A:$A,'Orders Ledger'!$B:$B,""))</f>
        <v>CUST-1177</v>
      </c>
      <c r="D358" t="str">
        <f>IF(B358="","",_xlfn.XLOOKUP(B358,'Orders Ledger'!$A:$A,'Orders Ledger'!$G:$G,""))</f>
        <v>Germany</v>
      </c>
      <c r="E358" t="str">
        <f>IF(B358="","",_xlfn.XLOOKUP(B358,'Orders Ledger'!$A:$A,'Orders Ledger'!$H:$H,""))</f>
        <v>Mobile_Emulator</v>
      </c>
      <c r="F358" t="str">
        <f>IF(B358="","",_xlfn.XLOOKUP(B358,'Orders Ledger'!$A:$A,'Orders Ledger'!$F:$F,""))</f>
        <v>Stolen_Card_Sim</v>
      </c>
      <c r="G358">
        <f>IF(B358="","",_xlfn.XLOOKUP(B358,'Orders Ledger'!$A:$A,'Orders Ledger'!$N:$N,0))</f>
        <v>4842.6000000000004</v>
      </c>
    </row>
    <row r="359" spans="2:7" x14ac:dyDescent="0.3">
      <c r="B359" t="str">
        <f t="array" ref="B359">IFERROR(INDEX('Orders Ledger'!$A$2:$A$1501, SMALL(IF(('Orders Ledger'!$J$2:$J$1501="disputed")+('Orders Ledger'!$J$2:$J$1501="PENDING_REVIEW"), ROW('Orders Ledger'!$A$2:$A$1501)-ROW('Orders Ledger'!$A$2)+1), ROW(301:301))), "")</f>
        <v>ORD101256</v>
      </c>
      <c r="C359" s="11" t="str">
        <f>IF(B359="","",_xlfn.XLOOKUP(B359,'Orders Ledger'!$A:$A,'Orders Ledger'!$B:$B,""))</f>
        <v>CUST-1145</v>
      </c>
      <c r="D359" t="str">
        <f>IF(B359="","",_xlfn.XLOOKUP(B359,'Orders Ledger'!$A:$A,'Orders Ledger'!$G:$G,""))</f>
        <v>Germany</v>
      </c>
      <c r="E359" t="str">
        <f>IF(B359="","",_xlfn.XLOOKUP(B359,'Orders Ledger'!$A:$A,'Orders Ledger'!$H:$H,""))</f>
        <v>Bot_Server</v>
      </c>
      <c r="F359" t="str">
        <f>IF(B359="","",_xlfn.XLOOKUP(B359,'Orders Ledger'!$A:$A,'Orders Ledger'!$F:$F,""))</f>
        <v>Digital_Wallet</v>
      </c>
      <c r="G359">
        <f>IF(B359="","",_xlfn.XLOOKUP(B359,'Orders Ledger'!$A:$A,'Orders Ledger'!$N:$N,0))</f>
        <v>7224.6</v>
      </c>
    </row>
    <row r="360" spans="2:7" x14ac:dyDescent="0.3">
      <c r="B360" t="str">
        <f t="array" ref="B360">IFERROR(INDEX('Orders Ledger'!$A$2:$A$1501, SMALL(IF(('Orders Ledger'!$J$2:$J$1501="disputed")+('Orders Ledger'!$J$2:$J$1501="PENDING_REVIEW"), ROW('Orders Ledger'!$A$2:$A$1501)-ROW('Orders Ledger'!$A$2)+1), ROW(302:302))), "")</f>
        <v>ORD101258</v>
      </c>
      <c r="C360" s="11" t="str">
        <f>IF(B360="","",_xlfn.XLOOKUP(B360,'Orders Ledger'!$A:$A,'Orders Ledger'!$B:$B,""))</f>
        <v>CUST-1128</v>
      </c>
      <c r="D360" t="str">
        <f>IF(B360="","",_xlfn.XLOOKUP(B360,'Orders Ledger'!$A:$A,'Orders Ledger'!$G:$G,""))</f>
        <v>United Kingdom</v>
      </c>
      <c r="E360" t="str">
        <f>IF(B360="","",_xlfn.XLOOKUP(B360,'Orders Ledger'!$A:$A,'Orders Ledger'!$H:$H,""))</f>
        <v>Desktop</v>
      </c>
      <c r="F360" t="str">
        <f>IF(B360="","",_xlfn.XLOOKUP(B360,'Orders Ledger'!$A:$A,'Orders Ledger'!$F:$F,""))</f>
        <v>Credit_Card</v>
      </c>
      <c r="G360">
        <f>IF(B360="","",_xlfn.XLOOKUP(B360,'Orders Ledger'!$A:$A,'Orders Ledger'!$N:$N,0))</f>
        <v>6509.6</v>
      </c>
    </row>
    <row r="361" spans="2:7" x14ac:dyDescent="0.3">
      <c r="B361" t="str">
        <f t="array" ref="B361">IFERROR(INDEX('Orders Ledger'!$A$2:$A$1501, SMALL(IF(('Orders Ledger'!$J$2:$J$1501="disputed")+('Orders Ledger'!$J$2:$J$1501="PENDING_REVIEW"), ROW('Orders Ledger'!$A$2:$A$1501)-ROW('Orders Ledger'!$A$2)+1), ROW(303:303))), "")</f>
        <v>ORD101267</v>
      </c>
      <c r="C361" s="11" t="str">
        <f>IF(B361="","",_xlfn.XLOOKUP(B361,'Orders Ledger'!$A:$A,'Orders Ledger'!$B:$B,""))</f>
        <v>CUST-1086</v>
      </c>
      <c r="D361" t="str">
        <f>IF(B361="","",_xlfn.XLOOKUP(B361,'Orders Ledger'!$A:$A,'Orders Ledger'!$G:$G,""))</f>
        <v>Canada</v>
      </c>
      <c r="E361" t="str">
        <f>IF(B361="","",_xlfn.XLOOKUP(B361,'Orders Ledger'!$A:$A,'Orders Ledger'!$H:$H,""))</f>
        <v>Mobile_Web</v>
      </c>
      <c r="F361" t="str">
        <f>IF(B361="","",_xlfn.XLOOKUP(B361,'Orders Ledger'!$A:$A,'Orders Ledger'!$F:$F,""))</f>
        <v>Credit_Card</v>
      </c>
      <c r="G361">
        <f>IF(B361="","",_xlfn.XLOOKUP(B361,'Orders Ledger'!$A:$A,'Orders Ledger'!$N:$N,0))</f>
        <v>154.30000000000001</v>
      </c>
    </row>
    <row r="362" spans="2:7" x14ac:dyDescent="0.3">
      <c r="B362" t="str">
        <f t="array" ref="B362">IFERROR(INDEX('Orders Ledger'!$A$2:$A$1501, SMALL(IF(('Orders Ledger'!$J$2:$J$1501="disputed")+('Orders Ledger'!$J$2:$J$1501="PENDING_REVIEW"), ROW('Orders Ledger'!$A$2:$A$1501)-ROW('Orders Ledger'!$A$2)+1), ROW(304:304))), "")</f>
        <v>ORD101268</v>
      </c>
      <c r="C362" s="11" t="str">
        <f>IF(B362="","",_xlfn.XLOOKUP(B362,'Orders Ledger'!$A:$A,'Orders Ledger'!$B:$B,""))</f>
        <v>CUST-1297</v>
      </c>
      <c r="D362" t="str">
        <f>IF(B362="","",_xlfn.XLOOKUP(B362,'Orders Ledger'!$A:$A,'Orders Ledger'!$G:$G,""))</f>
        <v>United Kingdom</v>
      </c>
      <c r="E362" t="str">
        <f>IF(B362="","",_xlfn.XLOOKUP(B362,'Orders Ledger'!$A:$A,'Orders Ledger'!$H:$H,""))</f>
        <v>Mobile_Emulator</v>
      </c>
      <c r="F362" t="str">
        <f>IF(B362="","",_xlfn.XLOOKUP(B362,'Orders Ledger'!$A:$A,'Orders Ledger'!$F:$F,""))</f>
        <v>Credit_Card</v>
      </c>
      <c r="G362">
        <f>IF(B362="","",_xlfn.XLOOKUP(B362,'Orders Ledger'!$A:$A,'Orders Ledger'!$N:$N,0))</f>
        <v>484.68</v>
      </c>
    </row>
    <row r="363" spans="2:7" x14ac:dyDescent="0.3">
      <c r="B363" t="str">
        <f t="array" ref="B363">IFERROR(INDEX('Orders Ledger'!$A$2:$A$1501, SMALL(IF(('Orders Ledger'!$J$2:$J$1501="disputed")+('Orders Ledger'!$J$2:$J$1501="PENDING_REVIEW"), ROW('Orders Ledger'!$A$2:$A$1501)-ROW('Orders Ledger'!$A$2)+1), ROW(305:305))), "")</f>
        <v>ORD101271</v>
      </c>
      <c r="C363" s="11" t="str">
        <f>IF(B363="","",_xlfn.XLOOKUP(B363,'Orders Ledger'!$A:$A,'Orders Ledger'!$B:$B,""))</f>
        <v>CUST-1172</v>
      </c>
      <c r="D363" t="str">
        <f>IF(B363="","",_xlfn.XLOOKUP(B363,'Orders Ledger'!$A:$A,'Orders Ledger'!$G:$G,""))</f>
        <v>High-Risk Country Proxy</v>
      </c>
      <c r="E363" t="str">
        <f>IF(B363="","",_xlfn.XLOOKUP(B363,'Orders Ledger'!$A:$A,'Orders Ledger'!$H:$H,""))</f>
        <v>Mobile_Emulator</v>
      </c>
      <c r="F363" t="str">
        <f>IF(B363="","",_xlfn.XLOOKUP(B363,'Orders Ledger'!$A:$A,'Orders Ledger'!$F:$F,""))</f>
        <v>Digital_Wallet</v>
      </c>
      <c r="G363">
        <f>IF(B363="","",_xlfn.XLOOKUP(B363,'Orders Ledger'!$A:$A,'Orders Ledger'!$N:$N,0))</f>
        <v>1301.92</v>
      </c>
    </row>
    <row r="364" spans="2:7" x14ac:dyDescent="0.3">
      <c r="B364" t="str">
        <f t="array" ref="B364">IFERROR(INDEX('Orders Ledger'!$A$2:$A$1501, SMALL(IF(('Orders Ledger'!$J$2:$J$1501="disputed")+('Orders Ledger'!$J$2:$J$1501="PENDING_REVIEW"), ROW('Orders Ledger'!$A$2:$A$1501)-ROW('Orders Ledger'!$A$2)+1), ROW(306:306))), "")</f>
        <v>ORD101274</v>
      </c>
      <c r="C364" s="11" t="str">
        <f>IF(B364="","",_xlfn.XLOOKUP(B364,'Orders Ledger'!$A:$A,'Orders Ledger'!$B:$B,""))</f>
        <v>CUST-1014</v>
      </c>
      <c r="D364" t="str">
        <f>IF(B364="","",_xlfn.XLOOKUP(B364,'Orders Ledger'!$A:$A,'Orders Ledger'!$G:$G,""))</f>
        <v>United States</v>
      </c>
      <c r="E364" t="str">
        <f>IF(B364="","",_xlfn.XLOOKUP(B364,'Orders Ledger'!$A:$A,'Orders Ledger'!$H:$H,""))</f>
        <v>Bot_Server</v>
      </c>
      <c r="F364" t="str">
        <f>IF(B364="","",_xlfn.XLOOKUP(B364,'Orders Ledger'!$A:$A,'Orders Ledger'!$F:$F,""))</f>
        <v>Credit_Card</v>
      </c>
      <c r="G364">
        <f>IF(B364="","",_xlfn.XLOOKUP(B364,'Orders Ledger'!$A:$A,'Orders Ledger'!$N:$N,0))</f>
        <v>3202.75</v>
      </c>
    </row>
    <row r="365" spans="2:7" x14ac:dyDescent="0.3">
      <c r="B365" t="str">
        <f t="array" ref="B365">IFERROR(INDEX('Orders Ledger'!$A$2:$A$1501, SMALL(IF(('Orders Ledger'!$J$2:$J$1501="disputed")+('Orders Ledger'!$J$2:$J$1501="PENDING_REVIEW"), ROW('Orders Ledger'!$A$2:$A$1501)-ROW('Orders Ledger'!$A$2)+1), ROW(307:307))), "")</f>
        <v>ORD101277</v>
      </c>
      <c r="C365" s="11" t="str">
        <f>IF(B365="","",_xlfn.XLOOKUP(B365,'Orders Ledger'!$A:$A,'Orders Ledger'!$B:$B,""))</f>
        <v>CUST-1295</v>
      </c>
      <c r="D365" t="str">
        <f>IF(B365="","",_xlfn.XLOOKUP(B365,'Orders Ledger'!$A:$A,'Orders Ledger'!$G:$G,""))</f>
        <v>United States</v>
      </c>
      <c r="E365" t="str">
        <f>IF(B365="","",_xlfn.XLOOKUP(B365,'Orders Ledger'!$A:$A,'Orders Ledger'!$H:$H,""))</f>
        <v>Desktop</v>
      </c>
      <c r="F365" t="str">
        <f>IF(B365="","",_xlfn.XLOOKUP(B365,'Orders Ledger'!$A:$A,'Orders Ledger'!$F:$F,""))</f>
        <v>Credit_Card</v>
      </c>
      <c r="G365">
        <f>IF(B365="","",_xlfn.XLOOKUP(B365,'Orders Ledger'!$A:$A,'Orders Ledger'!$N:$N,0))</f>
        <v>737.6</v>
      </c>
    </row>
    <row r="366" spans="2:7" x14ac:dyDescent="0.3">
      <c r="B366" t="str">
        <f t="array" ref="B366">IFERROR(INDEX('Orders Ledger'!$A$2:$A$1501, SMALL(IF(('Orders Ledger'!$J$2:$J$1501="disputed")+('Orders Ledger'!$J$2:$J$1501="PENDING_REVIEW"), ROW('Orders Ledger'!$A$2:$A$1501)-ROW('Orders Ledger'!$A$2)+1), ROW(308:308))), "")</f>
        <v>ORD101278</v>
      </c>
      <c r="C366" s="11" t="str">
        <f>IF(B366="","",_xlfn.XLOOKUP(B366,'Orders Ledger'!$A:$A,'Orders Ledger'!$B:$B,""))</f>
        <v>CUST-1135</v>
      </c>
      <c r="D366" t="str">
        <f>IF(B366="","",_xlfn.XLOOKUP(B366,'Orders Ledger'!$A:$A,'Orders Ledger'!$G:$G,""))</f>
        <v>Germany</v>
      </c>
      <c r="E366" t="str">
        <f>IF(B366="","",_xlfn.XLOOKUP(B366,'Orders Ledger'!$A:$A,'Orders Ledger'!$H:$H,""))</f>
        <v>Desktop</v>
      </c>
      <c r="F366" t="str">
        <f>IF(B366="","",_xlfn.XLOOKUP(B366,'Orders Ledger'!$A:$A,'Orders Ledger'!$F:$F,""))</f>
        <v>Credit_Card</v>
      </c>
      <c r="G366">
        <f>IF(B366="","",_xlfn.XLOOKUP(B366,'Orders Ledger'!$A:$A,'Orders Ledger'!$N:$N,0))</f>
        <v>219.96</v>
      </c>
    </row>
    <row r="367" spans="2:7" x14ac:dyDescent="0.3">
      <c r="B367" t="str">
        <f t="array" ref="B367">IFERROR(INDEX('Orders Ledger'!$A$2:$A$1501, SMALL(IF(('Orders Ledger'!$J$2:$J$1501="disputed")+('Orders Ledger'!$J$2:$J$1501="PENDING_REVIEW"), ROW('Orders Ledger'!$A$2:$A$1501)-ROW('Orders Ledger'!$A$2)+1), ROW(309:309))), "")</f>
        <v>ORD101286</v>
      </c>
      <c r="C367" s="11" t="str">
        <f>IF(B367="","",_xlfn.XLOOKUP(B367,'Orders Ledger'!$A:$A,'Orders Ledger'!$B:$B,""))</f>
        <v>CUST-1154</v>
      </c>
      <c r="D367" t="str">
        <f>IF(B367="","",_xlfn.XLOOKUP(B367,'Orders Ledger'!$A:$A,'Orders Ledger'!$G:$G,""))</f>
        <v>United States</v>
      </c>
      <c r="E367" t="str">
        <f>IF(B367="","",_xlfn.XLOOKUP(B367,'Orders Ledger'!$A:$A,'Orders Ledger'!$H:$H,""))</f>
        <v>Mobile_Emulator</v>
      </c>
      <c r="F367" t="str">
        <f>IF(B367="","",_xlfn.XLOOKUP(B367,'Orders Ledger'!$A:$A,'Orders Ledger'!$F:$F,""))</f>
        <v>Crypto_Proxy</v>
      </c>
      <c r="G367">
        <f>IF(B367="","",_xlfn.XLOOKUP(B367,'Orders Ledger'!$A:$A,'Orders Ledger'!$N:$N,0))</f>
        <v>7521.44</v>
      </c>
    </row>
    <row r="368" spans="2:7" x14ac:dyDescent="0.3">
      <c r="B368" t="str">
        <f t="array" ref="B368">IFERROR(INDEX('Orders Ledger'!$A$2:$A$1501, SMALL(IF(('Orders Ledger'!$J$2:$J$1501="disputed")+('Orders Ledger'!$J$2:$J$1501="PENDING_REVIEW"), ROW('Orders Ledger'!$A$2:$A$1501)-ROW('Orders Ledger'!$A$2)+1), ROW(310:310))), "")</f>
        <v>ORD101290</v>
      </c>
      <c r="C368" s="11" t="str">
        <f>IF(B368="","",_xlfn.XLOOKUP(B368,'Orders Ledger'!$A:$A,'Orders Ledger'!$B:$B,""))</f>
        <v>CUST-1152</v>
      </c>
      <c r="D368" t="str">
        <f>IF(B368="","",_xlfn.XLOOKUP(B368,'Orders Ledger'!$A:$A,'Orders Ledger'!$G:$G,""))</f>
        <v>Germany</v>
      </c>
      <c r="E368" t="str">
        <f>IF(B368="","",_xlfn.XLOOKUP(B368,'Orders Ledger'!$A:$A,'Orders Ledger'!$H:$H,""))</f>
        <v>Desktop</v>
      </c>
      <c r="F368" t="str">
        <f>IF(B368="","",_xlfn.XLOOKUP(B368,'Orders Ledger'!$A:$A,'Orders Ledger'!$F:$F,""))</f>
        <v>Digital_Wallet</v>
      </c>
      <c r="G368">
        <f>IF(B368="","",_xlfn.XLOOKUP(B368,'Orders Ledger'!$A:$A,'Orders Ledger'!$N:$N,0))</f>
        <v>169.86</v>
      </c>
    </row>
    <row r="369" spans="2:7" x14ac:dyDescent="0.3">
      <c r="B369" t="str">
        <f t="array" ref="B369">IFERROR(INDEX('Orders Ledger'!$A$2:$A$1501, SMALL(IF(('Orders Ledger'!$J$2:$J$1501="disputed")+('Orders Ledger'!$J$2:$J$1501="PENDING_REVIEW"), ROW('Orders Ledger'!$A$2:$A$1501)-ROW('Orders Ledger'!$A$2)+1), ROW(311:311))), "")</f>
        <v>ORD101291</v>
      </c>
      <c r="C369" s="11" t="str">
        <f>IF(B369="","",_xlfn.XLOOKUP(B369,'Orders Ledger'!$A:$A,'Orders Ledger'!$B:$B,""))</f>
        <v>CUST-1232</v>
      </c>
      <c r="D369" t="str">
        <f>IF(B369="","",_xlfn.XLOOKUP(B369,'Orders Ledger'!$A:$A,'Orders Ledger'!$G:$G,""))</f>
        <v>United States</v>
      </c>
      <c r="E369" t="str">
        <f>IF(B369="","",_xlfn.XLOOKUP(B369,'Orders Ledger'!$A:$A,'Orders Ledger'!$H:$H,""))</f>
        <v>Desktop</v>
      </c>
      <c r="F369" t="str">
        <f>IF(B369="","",_xlfn.XLOOKUP(B369,'Orders Ledger'!$A:$A,'Orders Ledger'!$F:$F,""))</f>
        <v>Digital_Wallet</v>
      </c>
      <c r="G369">
        <f>IF(B369="","",_xlfn.XLOOKUP(B369,'Orders Ledger'!$A:$A,'Orders Ledger'!$N:$N,0))</f>
        <v>1301.92</v>
      </c>
    </row>
    <row r="370" spans="2:7" x14ac:dyDescent="0.3">
      <c r="B370" t="str">
        <f t="array" ref="B370">IFERROR(INDEX('Orders Ledger'!$A$2:$A$1501, SMALL(IF(('Orders Ledger'!$J$2:$J$1501="disputed")+('Orders Ledger'!$J$2:$J$1501="PENDING_REVIEW"), ROW('Orders Ledger'!$A$2:$A$1501)-ROW('Orders Ledger'!$A$2)+1), ROW(312:312))), "")</f>
        <v>ORD101292</v>
      </c>
      <c r="C370" s="11" t="str">
        <f>IF(B370="","",_xlfn.XLOOKUP(B370,'Orders Ledger'!$A:$A,'Orders Ledger'!$B:$B,""))</f>
        <v>CUST-1037</v>
      </c>
      <c r="D370" t="str">
        <f>IF(B370="","",_xlfn.XLOOKUP(B370,'Orders Ledger'!$A:$A,'Orders Ledger'!$G:$G,""))</f>
        <v>Unknown Blacklisted Zone</v>
      </c>
      <c r="E370" t="str">
        <f>IF(B370="","",_xlfn.XLOOKUP(B370,'Orders Ledger'!$A:$A,'Orders Ledger'!$H:$H,""))</f>
        <v>Mobile_Emulator</v>
      </c>
      <c r="F370" t="str">
        <f>IF(B370="","",_xlfn.XLOOKUP(B370,'Orders Ledger'!$A:$A,'Orders Ledger'!$F:$F,""))</f>
        <v>Credit_Card</v>
      </c>
      <c r="G370">
        <f>IF(B370="","",_xlfn.XLOOKUP(B370,'Orders Ledger'!$A:$A,'Orders Ledger'!$N:$N,0))</f>
        <v>3874.08</v>
      </c>
    </row>
    <row r="371" spans="2:7" x14ac:dyDescent="0.3">
      <c r="B371" t="str">
        <f t="array" ref="B371">IFERROR(INDEX('Orders Ledger'!$A$2:$A$1501, SMALL(IF(('Orders Ledger'!$J$2:$J$1501="disputed")+('Orders Ledger'!$J$2:$J$1501="PENDING_REVIEW"), ROW('Orders Ledger'!$A$2:$A$1501)-ROW('Orders Ledger'!$A$2)+1), ROW(313:313))), "")</f>
        <v>ORD101297</v>
      </c>
      <c r="C371" s="11" t="str">
        <f>IF(B371="","",_xlfn.XLOOKUP(B371,'Orders Ledger'!$A:$A,'Orders Ledger'!$B:$B,""))</f>
        <v>CUST-1247</v>
      </c>
      <c r="D371" t="str">
        <f>IF(B371="","",_xlfn.XLOOKUP(B371,'Orders Ledger'!$A:$A,'Orders Ledger'!$G:$G,""))</f>
        <v>France</v>
      </c>
      <c r="E371" t="str">
        <f>IF(B371="","",_xlfn.XLOOKUP(B371,'Orders Ledger'!$A:$A,'Orders Ledger'!$H:$H,""))</f>
        <v>Desktop</v>
      </c>
      <c r="F371" t="str">
        <f>IF(B371="","",_xlfn.XLOOKUP(B371,'Orders Ledger'!$A:$A,'Orders Ledger'!$F:$F,""))</f>
        <v>Crypto_Proxy</v>
      </c>
      <c r="G371">
        <f>IF(B371="","",_xlfn.XLOOKUP(B371,'Orders Ledger'!$A:$A,'Orders Ledger'!$N:$N,0))</f>
        <v>1301.92</v>
      </c>
    </row>
    <row r="372" spans="2:7" x14ac:dyDescent="0.3">
      <c r="B372" t="str">
        <f t="array" ref="B372">IFERROR(INDEX('Orders Ledger'!$A$2:$A$1501, SMALL(IF(('Orders Ledger'!$J$2:$J$1501="disputed")+('Orders Ledger'!$J$2:$J$1501="PENDING_REVIEW"), ROW('Orders Ledger'!$A$2:$A$1501)-ROW('Orders Ledger'!$A$2)+1), ROW(314:314))), "")</f>
        <v>ORD101300</v>
      </c>
      <c r="C372" s="11" t="str">
        <f>IF(B372="","",_xlfn.XLOOKUP(B372,'Orders Ledger'!$A:$A,'Orders Ledger'!$B:$B,""))</f>
        <v>CUST-1174</v>
      </c>
      <c r="D372" t="str">
        <f>IF(B372="","",_xlfn.XLOOKUP(B372,'Orders Ledger'!$A:$A,'Orders Ledger'!$G:$G,""))</f>
        <v>Unknown Blacklisted Zone</v>
      </c>
      <c r="E372" t="str">
        <f>IF(B372="","",_xlfn.XLOOKUP(B372,'Orders Ledger'!$A:$A,'Orders Ledger'!$H:$H,""))</f>
        <v>Desktop</v>
      </c>
      <c r="F372" t="str">
        <f>IF(B372="","",_xlfn.XLOOKUP(B372,'Orders Ledger'!$A:$A,'Orders Ledger'!$F:$F,""))</f>
        <v>Stolen_Card_Sim</v>
      </c>
      <c r="G372">
        <f>IF(B372="","",_xlfn.XLOOKUP(B372,'Orders Ledger'!$A:$A,'Orders Ledger'!$N:$N,0))</f>
        <v>2336.6799999999998</v>
      </c>
    </row>
    <row r="373" spans="2:7" x14ac:dyDescent="0.3">
      <c r="B373" t="str">
        <f t="array" ref="B373">IFERROR(INDEX('Orders Ledger'!$A$2:$A$1501, SMALL(IF(('Orders Ledger'!$J$2:$J$1501="disputed")+('Orders Ledger'!$J$2:$J$1501="PENDING_REVIEW"), ROW('Orders Ledger'!$A$2:$A$1501)-ROW('Orders Ledger'!$A$2)+1), ROW(315:315))), "")</f>
        <v>ORD101301</v>
      </c>
      <c r="C373" s="11" t="str">
        <f>IF(B373="","",_xlfn.XLOOKUP(B373,'Orders Ledger'!$A:$A,'Orders Ledger'!$B:$B,""))</f>
        <v>CUST-1073</v>
      </c>
      <c r="D373" t="str">
        <f>IF(B373="","",_xlfn.XLOOKUP(B373,'Orders Ledger'!$A:$A,'Orders Ledger'!$G:$G,""))</f>
        <v>United Kingdom</v>
      </c>
      <c r="E373" t="str">
        <f>IF(B373="","",_xlfn.XLOOKUP(B373,'Orders Ledger'!$A:$A,'Orders Ledger'!$H:$H,""))</f>
        <v>Mobile_Web</v>
      </c>
      <c r="F373" t="str">
        <f>IF(B373="","",_xlfn.XLOOKUP(B373,'Orders Ledger'!$A:$A,'Orders Ledger'!$F:$F,""))</f>
        <v>Credit_Card</v>
      </c>
      <c r="G373">
        <f>IF(B373="","",_xlfn.XLOOKUP(B373,'Orders Ledger'!$A:$A,'Orders Ledger'!$N:$N,0))</f>
        <v>378.52</v>
      </c>
    </row>
    <row r="374" spans="2:7" x14ac:dyDescent="0.3">
      <c r="B374" t="str">
        <f t="array" ref="B374">IFERROR(INDEX('Orders Ledger'!$A$2:$A$1501, SMALL(IF(('Orders Ledger'!$J$2:$J$1501="disputed")+('Orders Ledger'!$J$2:$J$1501="PENDING_REVIEW"), ROW('Orders Ledger'!$A$2:$A$1501)-ROW('Orders Ledger'!$A$2)+1), ROW(316:316))), "")</f>
        <v>ORD101302</v>
      </c>
      <c r="C374" s="11" t="str">
        <f>IF(B374="","",_xlfn.XLOOKUP(B374,'Orders Ledger'!$A:$A,'Orders Ledger'!$B:$B,""))</f>
        <v>CUST-1160</v>
      </c>
      <c r="D374" t="str">
        <f>IF(B374="","",_xlfn.XLOOKUP(B374,'Orders Ledger'!$A:$A,'Orders Ledger'!$G:$G,""))</f>
        <v>United Kingdom</v>
      </c>
      <c r="E374" t="str">
        <f>IF(B374="","",_xlfn.XLOOKUP(B374,'Orders Ledger'!$A:$A,'Orders Ledger'!$H:$H,""))</f>
        <v>Bot_Server</v>
      </c>
      <c r="F374" t="str">
        <f>IF(B374="","",_xlfn.XLOOKUP(B374,'Orders Ledger'!$A:$A,'Orders Ledger'!$F:$F,""))</f>
        <v>Digital_Wallet</v>
      </c>
      <c r="G374">
        <f>IF(B374="","",_xlfn.XLOOKUP(B374,'Orders Ledger'!$A:$A,'Orders Ledger'!$N:$N,0))</f>
        <v>767.78</v>
      </c>
    </row>
    <row r="375" spans="2:7" x14ac:dyDescent="0.3">
      <c r="B375" t="str">
        <f t="array" ref="B375">IFERROR(INDEX('Orders Ledger'!$A$2:$A$1501, SMALL(IF(('Orders Ledger'!$J$2:$J$1501="disputed")+('Orders Ledger'!$J$2:$J$1501="PENDING_REVIEW"), ROW('Orders Ledger'!$A$2:$A$1501)-ROW('Orders Ledger'!$A$2)+1), ROW(317:317))), "")</f>
        <v>ORD101309</v>
      </c>
      <c r="C375" s="11" t="str">
        <f>IF(B375="","",_xlfn.XLOOKUP(B375,'Orders Ledger'!$A:$A,'Orders Ledger'!$B:$B,""))</f>
        <v>CUST-1287</v>
      </c>
      <c r="D375" t="str">
        <f>IF(B375="","",_xlfn.XLOOKUP(B375,'Orders Ledger'!$A:$A,'Orders Ledger'!$G:$G,""))</f>
        <v>United States</v>
      </c>
      <c r="E375" t="str">
        <f>IF(B375="","",_xlfn.XLOOKUP(B375,'Orders Ledger'!$A:$A,'Orders Ledger'!$H:$H,""))</f>
        <v>Mobile_Emulator</v>
      </c>
      <c r="F375" t="str">
        <f>IF(B375="","",_xlfn.XLOOKUP(B375,'Orders Ledger'!$A:$A,'Orders Ledger'!$F:$F,""))</f>
        <v>Crypto_Proxy</v>
      </c>
      <c r="G375">
        <f>IF(B375="","",_xlfn.XLOOKUP(B375,'Orders Ledger'!$A:$A,'Orders Ledger'!$N:$N,0))</f>
        <v>1579.1</v>
      </c>
    </row>
    <row r="376" spans="2:7" x14ac:dyDescent="0.3">
      <c r="B376" t="str">
        <f t="array" ref="B376">IFERROR(INDEX('Orders Ledger'!$A$2:$A$1501, SMALL(IF(('Orders Ledger'!$J$2:$J$1501="disputed")+('Orders Ledger'!$J$2:$J$1501="PENDING_REVIEW"), ROW('Orders Ledger'!$A$2:$A$1501)-ROW('Orders Ledger'!$A$2)+1), ROW(318:318))), "")</f>
        <v>ORD101310</v>
      </c>
      <c r="C376" s="11" t="str">
        <f>IF(B376="","",_xlfn.XLOOKUP(B376,'Orders Ledger'!$A:$A,'Orders Ledger'!$B:$B,""))</f>
        <v>CUST-1054</v>
      </c>
      <c r="D376" t="str">
        <f>IF(B376="","",_xlfn.XLOOKUP(B376,'Orders Ledger'!$A:$A,'Orders Ledger'!$G:$G,""))</f>
        <v>United Kingdom</v>
      </c>
      <c r="E376" t="str">
        <f>IF(B376="","",_xlfn.XLOOKUP(B376,'Orders Ledger'!$A:$A,'Orders Ledger'!$H:$H,""))</f>
        <v>Mobile_Emulator</v>
      </c>
      <c r="F376" t="str">
        <f>IF(B376="","",_xlfn.XLOOKUP(B376,'Orders Ledger'!$A:$A,'Orders Ledger'!$F:$F,""))</f>
        <v>Crypto_Proxy</v>
      </c>
      <c r="G376">
        <f>IF(B376="","",_xlfn.XLOOKUP(B376,'Orders Ledger'!$A:$A,'Orders Ledger'!$N:$N,0))</f>
        <v>4262.3500000000004</v>
      </c>
    </row>
    <row r="377" spans="2:7" x14ac:dyDescent="0.3">
      <c r="B377" t="str">
        <f t="array" ref="B377">IFERROR(INDEX('Orders Ledger'!$A$2:$A$1501, SMALL(IF(('Orders Ledger'!$J$2:$J$1501="disputed")+('Orders Ledger'!$J$2:$J$1501="PENDING_REVIEW"), ROW('Orders Ledger'!$A$2:$A$1501)-ROW('Orders Ledger'!$A$2)+1), ROW(319:319))), "")</f>
        <v>ORD101315</v>
      </c>
      <c r="C377" s="11" t="str">
        <f>IF(B377="","",_xlfn.XLOOKUP(B377,'Orders Ledger'!$A:$A,'Orders Ledger'!$B:$B,""))</f>
        <v>CUST-1136</v>
      </c>
      <c r="D377" t="str">
        <f>IF(B377="","",_xlfn.XLOOKUP(B377,'Orders Ledger'!$A:$A,'Orders Ledger'!$G:$G,""))</f>
        <v>France</v>
      </c>
      <c r="E377" t="str">
        <f>IF(B377="","",_xlfn.XLOOKUP(B377,'Orders Ledger'!$A:$A,'Orders Ledger'!$H:$H,""))</f>
        <v>Mobile_App</v>
      </c>
      <c r="F377" t="str">
        <f>IF(B377="","",_xlfn.XLOOKUP(B377,'Orders Ledger'!$A:$A,'Orders Ledger'!$F:$F,""))</f>
        <v>Digital_Wallet</v>
      </c>
      <c r="G377">
        <f>IF(B377="","",_xlfn.XLOOKUP(B377,'Orders Ledger'!$A:$A,'Orders Ledger'!$N:$N,0))</f>
        <v>9.73</v>
      </c>
    </row>
    <row r="378" spans="2:7" x14ac:dyDescent="0.3">
      <c r="B378" t="str">
        <f t="array" ref="B378">IFERROR(INDEX('Orders Ledger'!$A$2:$A$1501, SMALL(IF(('Orders Ledger'!$J$2:$J$1501="disputed")+('Orders Ledger'!$J$2:$J$1501="PENDING_REVIEW"), ROW('Orders Ledger'!$A$2:$A$1501)-ROW('Orders Ledger'!$A$2)+1), ROW(320:320))), "")</f>
        <v>ORD101316</v>
      </c>
      <c r="C378" s="11" t="str">
        <f>IF(B378="","",_xlfn.XLOOKUP(B378,'Orders Ledger'!$A:$A,'Orders Ledger'!$B:$B,""))</f>
        <v>CUST-1230</v>
      </c>
      <c r="D378" t="str">
        <f>IF(B378="","",_xlfn.XLOOKUP(B378,'Orders Ledger'!$A:$A,'Orders Ledger'!$G:$G,""))</f>
        <v>Canada</v>
      </c>
      <c r="E378" t="str">
        <f>IF(B378="","",_xlfn.XLOOKUP(B378,'Orders Ledger'!$A:$A,'Orders Ledger'!$H:$H,""))</f>
        <v>Bot_Server</v>
      </c>
      <c r="F378" t="str">
        <f>IF(B378="","",_xlfn.XLOOKUP(B378,'Orders Ledger'!$A:$A,'Orders Ledger'!$F:$F,""))</f>
        <v>Digital_Wallet</v>
      </c>
      <c r="G378">
        <f>IF(B378="","",_xlfn.XLOOKUP(B378,'Orders Ledger'!$A:$A,'Orders Ledger'!$N:$N,0))</f>
        <v>1339.88</v>
      </c>
    </row>
    <row r="379" spans="2:7" x14ac:dyDescent="0.3">
      <c r="B379" t="str">
        <f t="array" ref="B379">IFERROR(INDEX('Orders Ledger'!$A$2:$A$1501, SMALL(IF(('Orders Ledger'!$J$2:$J$1501="disputed")+('Orders Ledger'!$J$2:$J$1501="PENDING_REVIEW"), ROW('Orders Ledger'!$A$2:$A$1501)-ROW('Orders Ledger'!$A$2)+1), ROW(321:321))), "")</f>
        <v>ORD101320</v>
      </c>
      <c r="C379" s="11" t="str">
        <f>IF(B379="","",_xlfn.XLOOKUP(B379,'Orders Ledger'!$A:$A,'Orders Ledger'!$B:$B,""))</f>
        <v>CUST-1025</v>
      </c>
      <c r="D379" t="str">
        <f>IF(B379="","",_xlfn.XLOOKUP(B379,'Orders Ledger'!$A:$A,'Orders Ledger'!$G:$G,""))</f>
        <v>France</v>
      </c>
      <c r="E379" t="str">
        <f>IF(B379="","",_xlfn.XLOOKUP(B379,'Orders Ledger'!$A:$A,'Orders Ledger'!$H:$H,""))</f>
        <v>Mobile_App</v>
      </c>
      <c r="F379" t="str">
        <f>IF(B379="","",_xlfn.XLOOKUP(B379,'Orders Ledger'!$A:$A,'Orders Ledger'!$F:$F,""))</f>
        <v>Bank_Transfer</v>
      </c>
      <c r="G379">
        <f>IF(B379="","",_xlfn.XLOOKUP(B379,'Orders Ledger'!$A:$A,'Orders Ledger'!$N:$N,0))</f>
        <v>465.4</v>
      </c>
    </row>
    <row r="380" spans="2:7" x14ac:dyDescent="0.3">
      <c r="B380" t="str">
        <f t="array" ref="B380">IFERROR(INDEX('Orders Ledger'!$A$2:$A$1501, SMALL(IF(('Orders Ledger'!$J$2:$J$1501="disputed")+('Orders Ledger'!$J$2:$J$1501="PENDING_REVIEW"), ROW('Orders Ledger'!$A$2:$A$1501)-ROW('Orders Ledger'!$A$2)+1), ROW(322:322))), "")</f>
        <v>ORD101322</v>
      </c>
      <c r="C380" s="11" t="str">
        <f>IF(B380="","",_xlfn.XLOOKUP(B380,'Orders Ledger'!$A:$A,'Orders Ledger'!$B:$B,""))</f>
        <v>CUST-1196</v>
      </c>
      <c r="D380" t="str">
        <f>IF(B380="","",_xlfn.XLOOKUP(B380,'Orders Ledger'!$A:$A,'Orders Ledger'!$G:$G,""))</f>
        <v>Germany</v>
      </c>
      <c r="E380" t="str">
        <f>IF(B380="","",_xlfn.XLOOKUP(B380,'Orders Ledger'!$A:$A,'Orders Ledger'!$H:$H,""))</f>
        <v>Mobile_App</v>
      </c>
      <c r="F380" t="str">
        <f>IF(B380="","",_xlfn.XLOOKUP(B380,'Orders Ledger'!$A:$A,'Orders Ledger'!$F:$F,""))</f>
        <v>Credit_Card</v>
      </c>
      <c r="G380">
        <f>IF(B380="","",_xlfn.XLOOKUP(B380,'Orders Ledger'!$A:$A,'Orders Ledger'!$N:$N,0))</f>
        <v>179.22</v>
      </c>
    </row>
    <row r="381" spans="2:7" x14ac:dyDescent="0.3">
      <c r="B381" t="str">
        <f t="array" ref="B381">IFERROR(INDEX('Orders Ledger'!$A$2:$A$1501, SMALL(IF(('Orders Ledger'!$J$2:$J$1501="disputed")+('Orders Ledger'!$J$2:$J$1501="PENDING_REVIEW"), ROW('Orders Ledger'!$A$2:$A$1501)-ROW('Orders Ledger'!$A$2)+1), ROW(323:323))), "")</f>
        <v>ORD101329</v>
      </c>
      <c r="C381" s="11" t="str">
        <f>IF(B381="","",_xlfn.XLOOKUP(B381,'Orders Ledger'!$A:$A,'Orders Ledger'!$B:$B,""))</f>
        <v>CUST-1097</v>
      </c>
      <c r="D381" t="str">
        <f>IF(B381="","",_xlfn.XLOOKUP(B381,'Orders Ledger'!$A:$A,'Orders Ledger'!$G:$G,""))</f>
        <v>Unknown Blacklisted Zone</v>
      </c>
      <c r="E381" t="str">
        <f>IF(B381="","",_xlfn.XLOOKUP(B381,'Orders Ledger'!$A:$A,'Orders Ledger'!$H:$H,""))</f>
        <v>Bot_Server</v>
      </c>
      <c r="F381" t="str">
        <f>IF(B381="","",_xlfn.XLOOKUP(B381,'Orders Ledger'!$A:$A,'Orders Ledger'!$F:$F,""))</f>
        <v>Stolen_Card_Sim</v>
      </c>
      <c r="G381">
        <f>IF(B381="","",_xlfn.XLOOKUP(B381,'Orders Ledger'!$A:$A,'Orders Ledger'!$N:$N,0))</f>
        <v>326.44</v>
      </c>
    </row>
    <row r="382" spans="2:7" x14ac:dyDescent="0.3">
      <c r="B382" t="str">
        <f t="array" ref="B382">IFERROR(INDEX('Orders Ledger'!$A$2:$A$1501, SMALL(IF(('Orders Ledger'!$J$2:$J$1501="disputed")+('Orders Ledger'!$J$2:$J$1501="PENDING_REVIEW"), ROW('Orders Ledger'!$A$2:$A$1501)-ROW('Orders Ledger'!$A$2)+1), ROW(324:324))), "")</f>
        <v>ORD101331</v>
      </c>
      <c r="C382" s="11" t="str">
        <f>IF(B382="","",_xlfn.XLOOKUP(B382,'Orders Ledger'!$A:$A,'Orders Ledger'!$B:$B,""))</f>
        <v>CUST-1255</v>
      </c>
      <c r="D382" t="str">
        <f>IF(B382="","",_xlfn.XLOOKUP(B382,'Orders Ledger'!$A:$A,'Orders Ledger'!$G:$G,""))</f>
        <v>France</v>
      </c>
      <c r="E382" t="str">
        <f>IF(B382="","",_xlfn.XLOOKUP(B382,'Orders Ledger'!$A:$A,'Orders Ledger'!$H:$H,""))</f>
        <v>Mobile_Emulator</v>
      </c>
      <c r="F382" t="str">
        <f>IF(B382="","",_xlfn.XLOOKUP(B382,'Orders Ledger'!$A:$A,'Orders Ledger'!$F:$F,""))</f>
        <v>Crypto_Proxy</v>
      </c>
      <c r="G382">
        <f>IF(B382="","",_xlfn.XLOOKUP(B382,'Orders Ledger'!$A:$A,'Orders Ledger'!$N:$N,0))</f>
        <v>3688</v>
      </c>
    </row>
    <row r="383" spans="2:7" x14ac:dyDescent="0.3">
      <c r="B383" t="str">
        <f t="array" ref="B383">IFERROR(INDEX('Orders Ledger'!$A$2:$A$1501, SMALL(IF(('Orders Ledger'!$J$2:$J$1501="disputed")+('Orders Ledger'!$J$2:$J$1501="PENDING_REVIEW"), ROW('Orders Ledger'!$A$2:$A$1501)-ROW('Orders Ledger'!$A$2)+1), ROW(325:325))), "")</f>
        <v>ORD101334</v>
      </c>
      <c r="C383" s="11" t="str">
        <f>IF(B383="","",_xlfn.XLOOKUP(B383,'Orders Ledger'!$A:$A,'Orders Ledger'!$B:$B,""))</f>
        <v>CUST-1255</v>
      </c>
      <c r="D383" t="str">
        <f>IF(B383="","",_xlfn.XLOOKUP(B383,'Orders Ledger'!$A:$A,'Orders Ledger'!$G:$G,""))</f>
        <v>France</v>
      </c>
      <c r="E383" t="str">
        <f>IF(B383="","",_xlfn.XLOOKUP(B383,'Orders Ledger'!$A:$A,'Orders Ledger'!$H:$H,""))</f>
        <v>Desktop</v>
      </c>
      <c r="F383" t="str">
        <f>IF(B383="","",_xlfn.XLOOKUP(B383,'Orders Ledger'!$A:$A,'Orders Ledger'!$F:$F,""))</f>
        <v>Crypto_Proxy</v>
      </c>
      <c r="G383">
        <f>IF(B383="","",_xlfn.XLOOKUP(B383,'Orders Ledger'!$A:$A,'Orders Ledger'!$N:$N,0))</f>
        <v>315.82</v>
      </c>
    </row>
    <row r="384" spans="2:7" x14ac:dyDescent="0.3">
      <c r="B384" t="str">
        <f t="array" ref="B384">IFERROR(INDEX('Orders Ledger'!$A$2:$A$1501, SMALL(IF(('Orders Ledger'!$J$2:$J$1501="disputed")+('Orders Ledger'!$J$2:$J$1501="PENDING_REVIEW"), ROW('Orders Ledger'!$A$2:$A$1501)-ROW('Orders Ledger'!$A$2)+1), ROW(326:326))), "")</f>
        <v>ORD101335</v>
      </c>
      <c r="C384" s="11" t="str">
        <f>IF(B384="","",_xlfn.XLOOKUP(B384,'Orders Ledger'!$A:$A,'Orders Ledger'!$B:$B,""))</f>
        <v>CUST-1157</v>
      </c>
      <c r="D384" t="str">
        <f>IF(B384="","",_xlfn.XLOOKUP(B384,'Orders Ledger'!$A:$A,'Orders Ledger'!$G:$G,""))</f>
        <v>High-Risk Country Proxy</v>
      </c>
      <c r="E384" t="str">
        <f>IF(B384="","",_xlfn.XLOOKUP(B384,'Orders Ledger'!$A:$A,'Orders Ledger'!$H:$H,""))</f>
        <v>Bot_Server</v>
      </c>
      <c r="F384" t="str">
        <f>IF(B384="","",_xlfn.XLOOKUP(B384,'Orders Ledger'!$A:$A,'Orders Ledger'!$F:$F,""))</f>
        <v>Crypto_Proxy</v>
      </c>
      <c r="G384">
        <f>IF(B384="","",_xlfn.XLOOKUP(B384,'Orders Ledger'!$A:$A,'Orders Ledger'!$N:$N,0))</f>
        <v>30.18</v>
      </c>
    </row>
    <row r="385" spans="2:7" x14ac:dyDescent="0.3">
      <c r="B385" t="str">
        <f t="array" ref="B385">IFERROR(INDEX('Orders Ledger'!$A$2:$A$1501, SMALL(IF(('Orders Ledger'!$J$2:$J$1501="disputed")+('Orders Ledger'!$J$2:$J$1501="PENDING_REVIEW"), ROW('Orders Ledger'!$A$2:$A$1501)-ROW('Orders Ledger'!$A$2)+1), ROW(327:327))), "")</f>
        <v>ORD101346</v>
      </c>
      <c r="C385" s="11" t="str">
        <f>IF(B385="","",_xlfn.XLOOKUP(B385,'Orders Ledger'!$A:$A,'Orders Ledger'!$B:$B,""))</f>
        <v>CUST-1024</v>
      </c>
      <c r="D385" t="str">
        <f>IF(B385="","",_xlfn.XLOOKUP(B385,'Orders Ledger'!$A:$A,'Orders Ledger'!$G:$G,""))</f>
        <v>Unknown Blacklisted Zone</v>
      </c>
      <c r="E385" t="str">
        <f>IF(B385="","",_xlfn.XLOOKUP(B385,'Orders Ledger'!$A:$A,'Orders Ledger'!$H:$H,""))</f>
        <v>Desktop</v>
      </c>
      <c r="F385" t="str">
        <f>IF(B385="","",_xlfn.XLOOKUP(B385,'Orders Ledger'!$A:$A,'Orders Ledger'!$F:$F,""))</f>
        <v>Crypto_Proxy</v>
      </c>
      <c r="G385">
        <f>IF(B385="","",_xlfn.XLOOKUP(B385,'Orders Ledger'!$A:$A,'Orders Ledger'!$N:$N,0))</f>
        <v>399.28</v>
      </c>
    </row>
    <row r="386" spans="2:7" x14ac:dyDescent="0.3">
      <c r="B386" t="str">
        <f t="array" ref="B386">IFERROR(INDEX('Orders Ledger'!$A$2:$A$1501, SMALL(IF(('Orders Ledger'!$J$2:$J$1501="disputed")+('Orders Ledger'!$J$2:$J$1501="PENDING_REVIEW"), ROW('Orders Ledger'!$A$2:$A$1501)-ROW('Orders Ledger'!$A$2)+1), ROW(328:328))), "")</f>
        <v>ORD101349</v>
      </c>
      <c r="C386" s="11" t="str">
        <f>IF(B386="","",_xlfn.XLOOKUP(B386,'Orders Ledger'!$A:$A,'Orders Ledger'!$B:$B,""))</f>
        <v>CUST-1253</v>
      </c>
      <c r="D386" t="str">
        <f>IF(B386="","",_xlfn.XLOOKUP(B386,'Orders Ledger'!$A:$A,'Orders Ledger'!$G:$G,""))</f>
        <v>Canada</v>
      </c>
      <c r="E386" t="str">
        <f>IF(B386="","",_xlfn.XLOOKUP(B386,'Orders Ledger'!$A:$A,'Orders Ledger'!$H:$H,""))</f>
        <v>Bot_Server</v>
      </c>
      <c r="F386" t="str">
        <f>IF(B386="","",_xlfn.XLOOKUP(B386,'Orders Ledger'!$A:$A,'Orders Ledger'!$F:$F,""))</f>
        <v>Credit_Card</v>
      </c>
      <c r="G386">
        <f>IF(B386="","",_xlfn.XLOOKUP(B386,'Orders Ledger'!$A:$A,'Orders Ledger'!$N:$N,0))</f>
        <v>7995.4</v>
      </c>
    </row>
    <row r="387" spans="2:7" x14ac:dyDescent="0.3">
      <c r="B387" t="str">
        <f t="array" ref="B387">IFERROR(INDEX('Orders Ledger'!$A$2:$A$1501, SMALL(IF(('Orders Ledger'!$J$2:$J$1501="disputed")+('Orders Ledger'!$J$2:$J$1501="PENDING_REVIEW"), ROW('Orders Ledger'!$A$2:$A$1501)-ROW('Orders Ledger'!$A$2)+1), ROW(329:329))), "")</f>
        <v>ORD101352</v>
      </c>
      <c r="C387" s="11" t="str">
        <f>IF(B387="","",_xlfn.XLOOKUP(B387,'Orders Ledger'!$A:$A,'Orders Ledger'!$B:$B,""))</f>
        <v>CUST-1274</v>
      </c>
      <c r="D387" t="str">
        <f>IF(B387="","",_xlfn.XLOOKUP(B387,'Orders Ledger'!$A:$A,'Orders Ledger'!$G:$G,""))</f>
        <v>United States</v>
      </c>
      <c r="E387" t="str">
        <f>IF(B387="","",_xlfn.XLOOKUP(B387,'Orders Ledger'!$A:$A,'Orders Ledger'!$H:$H,""))</f>
        <v>Desktop</v>
      </c>
      <c r="F387" t="str">
        <f>IF(B387="","",_xlfn.XLOOKUP(B387,'Orders Ledger'!$A:$A,'Orders Ledger'!$F:$F,""))</f>
        <v>Credit_Card</v>
      </c>
      <c r="G387">
        <f>IF(B387="","",_xlfn.XLOOKUP(B387,'Orders Ledger'!$A:$A,'Orders Ledger'!$N:$N,0))</f>
        <v>640.54999999999995</v>
      </c>
    </row>
    <row r="388" spans="2:7" x14ac:dyDescent="0.3">
      <c r="B388" t="str">
        <f t="array" ref="B388">IFERROR(INDEX('Orders Ledger'!$A$2:$A$1501, SMALL(IF(('Orders Ledger'!$J$2:$J$1501="disputed")+('Orders Ledger'!$J$2:$J$1501="PENDING_REVIEW"), ROW('Orders Ledger'!$A$2:$A$1501)-ROW('Orders Ledger'!$A$2)+1), ROW(330:330))), "")</f>
        <v>ORD101355</v>
      </c>
      <c r="C388" s="11" t="str">
        <f>IF(B388="","",_xlfn.XLOOKUP(B388,'Orders Ledger'!$A:$A,'Orders Ledger'!$B:$B,""))</f>
        <v>CUST-1220</v>
      </c>
      <c r="D388" t="str">
        <f>IF(B388="","",_xlfn.XLOOKUP(B388,'Orders Ledger'!$A:$A,'Orders Ledger'!$G:$G,""))</f>
        <v>Unknown Blacklisted Zone</v>
      </c>
      <c r="E388" t="str">
        <f>IF(B388="","",_xlfn.XLOOKUP(B388,'Orders Ledger'!$A:$A,'Orders Ledger'!$H:$H,""))</f>
        <v>Bot_Server</v>
      </c>
      <c r="F388" t="str">
        <f>IF(B388="","",_xlfn.XLOOKUP(B388,'Orders Ledger'!$A:$A,'Orders Ledger'!$F:$F,""))</f>
        <v>Crypto_Proxy</v>
      </c>
      <c r="G388">
        <f>IF(B388="","",_xlfn.XLOOKUP(B388,'Orders Ledger'!$A:$A,'Orders Ledger'!$N:$N,0))</f>
        <v>396.72</v>
      </c>
    </row>
    <row r="389" spans="2:7" x14ac:dyDescent="0.3">
      <c r="B389" t="str">
        <f t="array" ref="B389">IFERROR(INDEX('Orders Ledger'!$A$2:$A$1501, SMALL(IF(('Orders Ledger'!$J$2:$J$1501="disputed")+('Orders Ledger'!$J$2:$J$1501="PENDING_REVIEW"), ROW('Orders Ledger'!$A$2:$A$1501)-ROW('Orders Ledger'!$A$2)+1), ROW(331:331))), "")</f>
        <v>ORD101357</v>
      </c>
      <c r="C389" s="11" t="str">
        <f>IF(B389="","",_xlfn.XLOOKUP(B389,'Orders Ledger'!$A:$A,'Orders Ledger'!$B:$B,""))</f>
        <v>CUST-1135</v>
      </c>
      <c r="D389" t="str">
        <f>IF(B389="","",_xlfn.XLOOKUP(B389,'Orders Ledger'!$A:$A,'Orders Ledger'!$G:$G,""))</f>
        <v>High-Risk Country Proxy</v>
      </c>
      <c r="E389" t="str">
        <f>IF(B389="","",_xlfn.XLOOKUP(B389,'Orders Ledger'!$A:$A,'Orders Ledger'!$H:$H,""))</f>
        <v>Desktop</v>
      </c>
      <c r="F389" t="str">
        <f>IF(B389="","",_xlfn.XLOOKUP(B389,'Orders Ledger'!$A:$A,'Orders Ledger'!$F:$F,""))</f>
        <v>Digital_Wallet</v>
      </c>
      <c r="G389">
        <f>IF(B389="","",_xlfn.XLOOKUP(B389,'Orders Ledger'!$A:$A,'Orders Ledger'!$N:$N,0))</f>
        <v>2125.6999999999998</v>
      </c>
    </row>
    <row r="390" spans="2:7" x14ac:dyDescent="0.3">
      <c r="B390" t="str">
        <f t="array" ref="B390">IFERROR(INDEX('Orders Ledger'!$A$2:$A$1501, SMALL(IF(('Orders Ledger'!$J$2:$J$1501="disputed")+('Orders Ledger'!$J$2:$J$1501="PENDING_REVIEW"), ROW('Orders Ledger'!$A$2:$A$1501)-ROW('Orders Ledger'!$A$2)+1), ROW(332:332))), "")</f>
        <v>ORD101368</v>
      </c>
      <c r="C390" s="11" t="str">
        <f>IF(B390="","",_xlfn.XLOOKUP(B390,'Orders Ledger'!$A:$A,'Orders Ledger'!$B:$B,""))</f>
        <v>CUST-1283</v>
      </c>
      <c r="D390" t="str">
        <f>IF(B390="","",_xlfn.XLOOKUP(B390,'Orders Ledger'!$A:$A,'Orders Ledger'!$G:$G,""))</f>
        <v>High-Risk Country Proxy</v>
      </c>
      <c r="E390" t="str">
        <f>IF(B390="","",_xlfn.XLOOKUP(B390,'Orders Ledger'!$A:$A,'Orders Ledger'!$H:$H,""))</f>
        <v>Bot_Server</v>
      </c>
      <c r="F390" t="str">
        <f>IF(B390="","",_xlfn.XLOOKUP(B390,'Orders Ledger'!$A:$A,'Orders Ledger'!$F:$F,""))</f>
        <v>Digital_Wallet</v>
      </c>
      <c r="G390">
        <f>IF(B390="","",_xlfn.XLOOKUP(B390,'Orders Ledger'!$A:$A,'Orders Ledger'!$N:$N,0))</f>
        <v>656.24</v>
      </c>
    </row>
    <row r="391" spans="2:7" x14ac:dyDescent="0.3">
      <c r="B391" t="str">
        <f t="array" ref="B391">IFERROR(INDEX('Orders Ledger'!$A$2:$A$1501, SMALL(IF(('Orders Ledger'!$J$2:$J$1501="disputed")+('Orders Ledger'!$J$2:$J$1501="PENDING_REVIEW"), ROW('Orders Ledger'!$A$2:$A$1501)-ROW('Orders Ledger'!$A$2)+1), ROW(333:333))), "")</f>
        <v>ORD101370</v>
      </c>
      <c r="C391" s="11" t="str">
        <f>IF(B391="","",_xlfn.XLOOKUP(B391,'Orders Ledger'!$A:$A,'Orders Ledger'!$B:$B,""))</f>
        <v>CUST-1037</v>
      </c>
      <c r="D391" t="str">
        <f>IF(B391="","",_xlfn.XLOOKUP(B391,'Orders Ledger'!$A:$A,'Orders Ledger'!$G:$G,""))</f>
        <v>Germany</v>
      </c>
      <c r="E391" t="str">
        <f>IF(B391="","",_xlfn.XLOOKUP(B391,'Orders Ledger'!$A:$A,'Orders Ledger'!$H:$H,""))</f>
        <v>Mobile_Emulator</v>
      </c>
      <c r="F391" t="str">
        <f>IF(B391="","",_xlfn.XLOOKUP(B391,'Orders Ledger'!$A:$A,'Orders Ledger'!$F:$F,""))</f>
        <v>Stolen_Card_Sim</v>
      </c>
      <c r="G391">
        <f>IF(B391="","",_xlfn.XLOOKUP(B391,'Orders Ledger'!$A:$A,'Orders Ledger'!$N:$N,0))</f>
        <v>3688</v>
      </c>
    </row>
    <row r="392" spans="2:7" x14ac:dyDescent="0.3">
      <c r="B392" t="str">
        <f t="array" ref="B392">IFERROR(INDEX('Orders Ledger'!$A$2:$A$1501, SMALL(IF(('Orders Ledger'!$J$2:$J$1501="disputed")+('Orders Ledger'!$J$2:$J$1501="PENDING_REVIEW"), ROW('Orders Ledger'!$A$2:$A$1501)-ROW('Orders Ledger'!$A$2)+1), ROW(334:334))), "")</f>
        <v>ORD101371</v>
      </c>
      <c r="C392" s="11" t="str">
        <f>IF(B392="","",_xlfn.XLOOKUP(B392,'Orders Ledger'!$A:$A,'Orders Ledger'!$B:$B,""))</f>
        <v>CUST-1197</v>
      </c>
      <c r="D392" t="str">
        <f>IF(B392="","",_xlfn.XLOOKUP(B392,'Orders Ledger'!$A:$A,'Orders Ledger'!$G:$G,""))</f>
        <v>Germany</v>
      </c>
      <c r="E392" t="str">
        <f>IF(B392="","",_xlfn.XLOOKUP(B392,'Orders Ledger'!$A:$A,'Orders Ledger'!$H:$H,""))</f>
        <v>Desktop</v>
      </c>
      <c r="F392" t="str">
        <f>IF(B392="","",_xlfn.XLOOKUP(B392,'Orders Ledger'!$A:$A,'Orders Ledger'!$F:$F,""))</f>
        <v>Digital_Wallet</v>
      </c>
      <c r="G392">
        <f>IF(B392="","",_xlfn.XLOOKUP(B392,'Orders Ledger'!$A:$A,'Orders Ledger'!$N:$N,0))</f>
        <v>92.33</v>
      </c>
    </row>
    <row r="393" spans="2:7" x14ac:dyDescent="0.3">
      <c r="B393" t="str">
        <f t="array" ref="B393">IFERROR(INDEX('Orders Ledger'!$A$2:$A$1501, SMALL(IF(('Orders Ledger'!$J$2:$J$1501="disputed")+('Orders Ledger'!$J$2:$J$1501="PENDING_REVIEW"), ROW('Orders Ledger'!$A$2:$A$1501)-ROW('Orders Ledger'!$A$2)+1), ROW(335:335))), "")</f>
        <v>ORD101373</v>
      </c>
      <c r="C393" s="11" t="str">
        <f>IF(B393="","",_xlfn.XLOOKUP(B393,'Orders Ledger'!$A:$A,'Orders Ledger'!$B:$B,""))</f>
        <v>CUST-1230</v>
      </c>
      <c r="D393" t="str">
        <f>IF(B393="","",_xlfn.XLOOKUP(B393,'Orders Ledger'!$A:$A,'Orders Ledger'!$G:$G,""))</f>
        <v>Unknown Blacklisted Zone</v>
      </c>
      <c r="E393" t="str">
        <f>IF(B393="","",_xlfn.XLOOKUP(B393,'Orders Ledger'!$A:$A,'Orders Ledger'!$H:$H,""))</f>
        <v>Desktop</v>
      </c>
      <c r="F393" t="str">
        <f>IF(B393="","",_xlfn.XLOOKUP(B393,'Orders Ledger'!$A:$A,'Orders Ledger'!$F:$F,""))</f>
        <v>Credit_Card</v>
      </c>
      <c r="G393">
        <f>IF(B393="","",_xlfn.XLOOKUP(B393,'Orders Ledger'!$A:$A,'Orders Ledger'!$N:$N,0))</f>
        <v>8846.5</v>
      </c>
    </row>
    <row r="394" spans="2:7" x14ac:dyDescent="0.3">
      <c r="B394" t="str">
        <f t="array" ref="B394">IFERROR(INDEX('Orders Ledger'!$A$2:$A$1501, SMALL(IF(('Orders Ledger'!$J$2:$J$1501="disputed")+('Orders Ledger'!$J$2:$J$1501="PENDING_REVIEW"), ROW('Orders Ledger'!$A$2:$A$1501)-ROW('Orders Ledger'!$A$2)+1), ROW(336:336))), "")</f>
        <v>ORD101375</v>
      </c>
      <c r="C394" s="11" t="str">
        <f>IF(B394="","",_xlfn.XLOOKUP(B394,'Orders Ledger'!$A:$A,'Orders Ledger'!$B:$B,""))</f>
        <v>CUST-1143</v>
      </c>
      <c r="D394" t="str">
        <f>IF(B394="","",_xlfn.XLOOKUP(B394,'Orders Ledger'!$A:$A,'Orders Ledger'!$G:$G,""))</f>
        <v>Canada</v>
      </c>
      <c r="E394" t="str">
        <f>IF(B394="","",_xlfn.XLOOKUP(B394,'Orders Ledger'!$A:$A,'Orders Ledger'!$H:$H,""))</f>
        <v>Mobile_Emulator</v>
      </c>
      <c r="F394" t="str">
        <f>IF(B394="","",_xlfn.XLOOKUP(B394,'Orders Ledger'!$A:$A,'Orders Ledger'!$F:$F,""))</f>
        <v>Credit_Card</v>
      </c>
      <c r="G394">
        <f>IF(B394="","",_xlfn.XLOOKUP(B394,'Orders Ledger'!$A:$A,'Orders Ledger'!$N:$N,0))</f>
        <v>2423.4</v>
      </c>
    </row>
    <row r="395" spans="2:7" x14ac:dyDescent="0.3">
      <c r="B395" t="str">
        <f t="array" ref="B395">IFERROR(INDEX('Orders Ledger'!$A$2:$A$1501, SMALL(IF(('Orders Ledger'!$J$2:$J$1501="disputed")+('Orders Ledger'!$J$2:$J$1501="PENDING_REVIEW"), ROW('Orders Ledger'!$A$2:$A$1501)-ROW('Orders Ledger'!$A$2)+1), ROW(337:337))), "")</f>
        <v>ORD101377</v>
      </c>
      <c r="C395" s="11" t="str">
        <f>IF(B395="","",_xlfn.XLOOKUP(B395,'Orders Ledger'!$A:$A,'Orders Ledger'!$B:$B,""))</f>
        <v>CUST-1065</v>
      </c>
      <c r="D395" t="str">
        <f>IF(B395="","",_xlfn.XLOOKUP(B395,'Orders Ledger'!$A:$A,'Orders Ledger'!$G:$G,""))</f>
        <v>Unknown Blacklisted Zone</v>
      </c>
      <c r="E395" t="str">
        <f>IF(B395="","",_xlfn.XLOOKUP(B395,'Orders Ledger'!$A:$A,'Orders Ledger'!$H:$H,""))</f>
        <v>Desktop</v>
      </c>
      <c r="F395" t="str">
        <f>IF(B395="","",_xlfn.XLOOKUP(B395,'Orders Ledger'!$A:$A,'Orders Ledger'!$F:$F,""))</f>
        <v>Crypto_Proxy</v>
      </c>
      <c r="G395">
        <f>IF(B395="","",_xlfn.XLOOKUP(B395,'Orders Ledger'!$A:$A,'Orders Ledger'!$N:$N,0))</f>
        <v>451.56</v>
      </c>
    </row>
    <row r="396" spans="2:7" x14ac:dyDescent="0.3">
      <c r="B396" t="str">
        <f t="array" ref="B396">IFERROR(INDEX('Orders Ledger'!$A$2:$A$1501, SMALL(IF(('Orders Ledger'!$J$2:$J$1501="disputed")+('Orders Ledger'!$J$2:$J$1501="PENDING_REVIEW"), ROW('Orders Ledger'!$A$2:$A$1501)-ROW('Orders Ledger'!$A$2)+1), ROW(338:338))), "")</f>
        <v>ORD101385</v>
      </c>
      <c r="C396" s="11" t="str">
        <f>IF(B396="","",_xlfn.XLOOKUP(B396,'Orders Ledger'!$A:$A,'Orders Ledger'!$B:$B,""))</f>
        <v>CUST-1101</v>
      </c>
      <c r="D396" t="str">
        <f>IF(B396="","",_xlfn.XLOOKUP(B396,'Orders Ledger'!$A:$A,'Orders Ledger'!$G:$G,""))</f>
        <v>United Kingdom</v>
      </c>
      <c r="E396" t="str">
        <f>IF(B396="","",_xlfn.XLOOKUP(B396,'Orders Ledger'!$A:$A,'Orders Ledger'!$H:$H,""))</f>
        <v>Mobile_Emulator</v>
      </c>
      <c r="F396" t="str">
        <f>IF(B396="","",_xlfn.XLOOKUP(B396,'Orders Ledger'!$A:$A,'Orders Ledger'!$F:$F,""))</f>
        <v>Stolen_Card_Sim</v>
      </c>
      <c r="G396">
        <f>IF(B396="","",_xlfn.XLOOKUP(B396,'Orders Ledger'!$A:$A,'Orders Ledger'!$N:$N,0))</f>
        <v>6961.4</v>
      </c>
    </row>
    <row r="397" spans="2:7" x14ac:dyDescent="0.3">
      <c r="B397" t="str">
        <f t="array" ref="B397">IFERROR(INDEX('Orders Ledger'!$A$2:$A$1501, SMALL(IF(('Orders Ledger'!$J$2:$J$1501="disputed")+('Orders Ledger'!$J$2:$J$1501="PENDING_REVIEW"), ROW('Orders Ledger'!$A$2:$A$1501)-ROW('Orders Ledger'!$A$2)+1), ROW(339:339))), "")</f>
        <v>ORD101386</v>
      </c>
      <c r="C397" s="11" t="str">
        <f>IF(B397="","",_xlfn.XLOOKUP(B397,'Orders Ledger'!$A:$A,'Orders Ledger'!$B:$B,""))</f>
        <v>CUST-1260</v>
      </c>
      <c r="D397" t="str">
        <f>IF(B397="","",_xlfn.XLOOKUP(B397,'Orders Ledger'!$A:$A,'Orders Ledger'!$G:$G,""))</f>
        <v>Unknown Blacklisted Zone</v>
      </c>
      <c r="E397" t="str">
        <f>IF(B397="","",_xlfn.XLOOKUP(B397,'Orders Ledger'!$A:$A,'Orders Ledger'!$H:$H,""))</f>
        <v>Desktop</v>
      </c>
      <c r="F397" t="str">
        <f>IF(B397="","",_xlfn.XLOOKUP(B397,'Orders Ledger'!$A:$A,'Orders Ledger'!$F:$F,""))</f>
        <v>Digital_Wallet</v>
      </c>
      <c r="G397">
        <f>IF(B397="","",_xlfn.XLOOKUP(B397,'Orders Ledger'!$A:$A,'Orders Ledger'!$N:$N,0))</f>
        <v>75.45</v>
      </c>
    </row>
    <row r="398" spans="2:7" x14ac:dyDescent="0.3">
      <c r="B398" t="str">
        <f t="array" ref="B398">IFERROR(INDEX('Orders Ledger'!$A$2:$A$1501, SMALL(IF(('Orders Ledger'!$J$2:$J$1501="disputed")+('Orders Ledger'!$J$2:$J$1501="PENDING_REVIEW"), ROW('Orders Ledger'!$A$2:$A$1501)-ROW('Orders Ledger'!$A$2)+1), ROW(340:340))), "")</f>
        <v>ORD101387</v>
      </c>
      <c r="C398" s="11" t="str">
        <f>IF(B398="","",_xlfn.XLOOKUP(B398,'Orders Ledger'!$A:$A,'Orders Ledger'!$B:$B,""))</f>
        <v>CUST-1205</v>
      </c>
      <c r="D398" t="str">
        <f>IF(B398="","",_xlfn.XLOOKUP(B398,'Orders Ledger'!$A:$A,'Orders Ledger'!$G:$G,""))</f>
        <v>Germany</v>
      </c>
      <c r="E398" t="str">
        <f>IF(B398="","",_xlfn.XLOOKUP(B398,'Orders Ledger'!$A:$A,'Orders Ledger'!$H:$H,""))</f>
        <v>Desktop</v>
      </c>
      <c r="F398" t="str">
        <f>IF(B398="","",_xlfn.XLOOKUP(B398,'Orders Ledger'!$A:$A,'Orders Ledger'!$F:$F,""))</f>
        <v>Credit_Card</v>
      </c>
      <c r="G398">
        <f>IF(B398="","",_xlfn.XLOOKUP(B398,'Orders Ledger'!$A:$A,'Orders Ledger'!$N:$N,0))</f>
        <v>83.9</v>
      </c>
    </row>
    <row r="399" spans="2:7" x14ac:dyDescent="0.3">
      <c r="B399" t="str">
        <f t="array" ref="B399">IFERROR(INDEX('Orders Ledger'!$A$2:$A$1501, SMALL(IF(('Orders Ledger'!$J$2:$J$1501="disputed")+('Orders Ledger'!$J$2:$J$1501="PENDING_REVIEW"), ROW('Orders Ledger'!$A$2:$A$1501)-ROW('Orders Ledger'!$A$2)+1), ROW(341:341))), "")</f>
        <v>ORD101389</v>
      </c>
      <c r="C399" s="11" t="str">
        <f>IF(B399="","",_xlfn.XLOOKUP(B399,'Orders Ledger'!$A:$A,'Orders Ledger'!$B:$B,""))</f>
        <v>CUST-1020</v>
      </c>
      <c r="D399" t="str">
        <f>IF(B399="","",_xlfn.XLOOKUP(B399,'Orders Ledger'!$A:$A,'Orders Ledger'!$G:$G,""))</f>
        <v>High-Risk Country Proxy</v>
      </c>
      <c r="E399" t="str">
        <f>IF(B399="","",_xlfn.XLOOKUP(B399,'Orders Ledger'!$A:$A,'Orders Ledger'!$H:$H,""))</f>
        <v>Desktop</v>
      </c>
      <c r="F399" t="str">
        <f>IF(B399="","",_xlfn.XLOOKUP(B399,'Orders Ledger'!$A:$A,'Orders Ledger'!$F:$F,""))</f>
        <v>Stolen_Card_Sim</v>
      </c>
      <c r="G399">
        <f>IF(B399="","",_xlfn.XLOOKUP(B399,'Orders Ledger'!$A:$A,'Orders Ledger'!$N:$N,0))</f>
        <v>167.32</v>
      </c>
    </row>
    <row r="400" spans="2:7" x14ac:dyDescent="0.3">
      <c r="B400" t="str">
        <f t="array" ref="B400">IFERROR(INDEX('Orders Ledger'!$A$2:$A$1501, SMALL(IF(('Orders Ledger'!$J$2:$J$1501="disputed")+('Orders Ledger'!$J$2:$J$1501="PENDING_REVIEW"), ROW('Orders Ledger'!$A$2:$A$1501)-ROW('Orders Ledger'!$A$2)+1), ROW(342:342))), "")</f>
        <v>ORD101391</v>
      </c>
      <c r="C400" s="11" t="str">
        <f>IF(B400="","",_xlfn.XLOOKUP(B400,'Orders Ledger'!$A:$A,'Orders Ledger'!$B:$B,""))</f>
        <v>CUST-1019</v>
      </c>
      <c r="D400" t="str">
        <f>IF(B400="","",_xlfn.XLOOKUP(B400,'Orders Ledger'!$A:$A,'Orders Ledger'!$G:$G,""))</f>
        <v>United States</v>
      </c>
      <c r="E400" t="str">
        <f>IF(B400="","",_xlfn.XLOOKUP(B400,'Orders Ledger'!$A:$A,'Orders Ledger'!$H:$H,""))</f>
        <v>Mobile_App</v>
      </c>
      <c r="F400" t="str">
        <f>IF(B400="","",_xlfn.XLOOKUP(B400,'Orders Ledger'!$A:$A,'Orders Ledger'!$F:$F,""))</f>
        <v>Credit_Card</v>
      </c>
      <c r="G400">
        <f>IF(B400="","",_xlfn.XLOOKUP(B400,'Orders Ledger'!$A:$A,'Orders Ledger'!$N:$N,0))</f>
        <v>70.23</v>
      </c>
    </row>
    <row r="401" spans="2:7" x14ac:dyDescent="0.3">
      <c r="B401" t="str">
        <f t="array" ref="B401">IFERROR(INDEX('Orders Ledger'!$A$2:$A$1501, SMALL(IF(('Orders Ledger'!$J$2:$J$1501="disputed")+('Orders Ledger'!$J$2:$J$1501="PENDING_REVIEW"), ROW('Orders Ledger'!$A$2:$A$1501)-ROW('Orders Ledger'!$A$2)+1), ROW(343:343))), "")</f>
        <v>ORD101394</v>
      </c>
      <c r="C401" s="11" t="str">
        <f>IF(B401="","",_xlfn.XLOOKUP(B401,'Orders Ledger'!$A:$A,'Orders Ledger'!$B:$B,""))</f>
        <v>CUST-1242</v>
      </c>
      <c r="D401" t="str">
        <f>IF(B401="","",_xlfn.XLOOKUP(B401,'Orders Ledger'!$A:$A,'Orders Ledger'!$G:$G,""))</f>
        <v>Unknown Blacklisted Zone</v>
      </c>
      <c r="E401" t="str">
        <f>IF(B401="","",_xlfn.XLOOKUP(B401,'Orders Ledger'!$A:$A,'Orders Ledger'!$H:$H,""))</f>
        <v>Bot_Server</v>
      </c>
      <c r="F401" t="str">
        <f>IF(B401="","",_xlfn.XLOOKUP(B401,'Orders Ledger'!$A:$A,'Orders Ledger'!$F:$F,""))</f>
        <v>Digital_Wallet</v>
      </c>
      <c r="G401">
        <f>IF(B401="","",_xlfn.XLOOKUP(B401,'Orders Ledger'!$A:$A,'Orders Ledger'!$N:$N,0))</f>
        <v>9346.7199999999993</v>
      </c>
    </row>
    <row r="402" spans="2:7" x14ac:dyDescent="0.3">
      <c r="B402" t="str">
        <f t="array" ref="B402">IFERROR(INDEX('Orders Ledger'!$A$2:$A$1501, SMALL(IF(('Orders Ledger'!$J$2:$J$1501="disputed")+('Orders Ledger'!$J$2:$J$1501="PENDING_REVIEW"), ROW('Orders Ledger'!$A$2:$A$1501)-ROW('Orders Ledger'!$A$2)+1), ROW(344:344))), "")</f>
        <v>ORD101399</v>
      </c>
      <c r="C402" s="11" t="str">
        <f>IF(B402="","",_xlfn.XLOOKUP(B402,'Orders Ledger'!$A:$A,'Orders Ledger'!$B:$B,""))</f>
        <v>CUST-1071</v>
      </c>
      <c r="D402" t="str">
        <f>IF(B402="","",_xlfn.XLOOKUP(B402,'Orders Ledger'!$A:$A,'Orders Ledger'!$G:$G,""))</f>
        <v>High-Risk Country Proxy</v>
      </c>
      <c r="E402" t="str">
        <f>IF(B402="","",_xlfn.XLOOKUP(B402,'Orders Ledger'!$A:$A,'Orders Ledger'!$H:$H,""))</f>
        <v>Mobile_Emulator</v>
      </c>
      <c r="F402" t="str">
        <f>IF(B402="","",_xlfn.XLOOKUP(B402,'Orders Ledger'!$A:$A,'Orders Ledger'!$F:$F,""))</f>
        <v>Credit_Card</v>
      </c>
      <c r="G402">
        <f>IF(B402="","",_xlfn.XLOOKUP(B402,'Orders Ledger'!$A:$A,'Orders Ledger'!$N:$N,0))</f>
        <v>8701.75</v>
      </c>
    </row>
    <row r="403" spans="2:7" x14ac:dyDescent="0.3">
      <c r="B403" t="str">
        <f t="array" ref="B403">IFERROR(INDEX('Orders Ledger'!$A$2:$A$1501, SMALL(IF(('Orders Ledger'!$J$2:$J$1501="disputed")+('Orders Ledger'!$J$2:$J$1501="PENDING_REVIEW"), ROW('Orders Ledger'!$A$2:$A$1501)-ROW('Orders Ledger'!$A$2)+1), ROW(345:345))), "")</f>
        <v>ORD101400</v>
      </c>
      <c r="C403" s="11" t="str">
        <f>IF(B403="","",_xlfn.XLOOKUP(B403,'Orders Ledger'!$A:$A,'Orders Ledger'!$B:$B,""))</f>
        <v>CUST-1167</v>
      </c>
      <c r="D403" t="str">
        <f>IF(B403="","",_xlfn.XLOOKUP(B403,'Orders Ledger'!$A:$A,'Orders Ledger'!$G:$G,""))</f>
        <v>High-Risk Country Proxy</v>
      </c>
      <c r="E403" t="str">
        <f>IF(B403="","",_xlfn.XLOOKUP(B403,'Orders Ledger'!$A:$A,'Orders Ledger'!$H:$H,""))</f>
        <v>Bot_Server</v>
      </c>
      <c r="F403" t="str">
        <f>IF(B403="","",_xlfn.XLOOKUP(B403,'Orders Ledger'!$A:$A,'Orders Ledger'!$F:$F,""))</f>
        <v>Crypto_Proxy</v>
      </c>
      <c r="G403">
        <f>IF(B403="","",_xlfn.XLOOKUP(B403,'Orders Ledger'!$A:$A,'Orders Ledger'!$N:$N,0))</f>
        <v>92.76</v>
      </c>
    </row>
    <row r="404" spans="2:7" x14ac:dyDescent="0.3">
      <c r="B404" t="str">
        <f t="array" ref="B404">IFERROR(INDEX('Orders Ledger'!$A$2:$A$1501, SMALL(IF(('Orders Ledger'!$J$2:$J$1501="disputed")+('Orders Ledger'!$J$2:$J$1501="PENDING_REVIEW"), ROW('Orders Ledger'!$A$2:$A$1501)-ROW('Orders Ledger'!$A$2)+1), ROW(346:346))), "")</f>
        <v>ORD101418</v>
      </c>
      <c r="C404" s="11" t="str">
        <f>IF(B404="","",_xlfn.XLOOKUP(B404,'Orders Ledger'!$A:$A,'Orders Ledger'!$B:$B,""))</f>
        <v>CUST-1298</v>
      </c>
      <c r="D404" t="str">
        <f>IF(B404="","",_xlfn.XLOOKUP(B404,'Orders Ledger'!$A:$A,'Orders Ledger'!$G:$G,""))</f>
        <v>High-Risk Country Proxy</v>
      </c>
      <c r="E404" t="str">
        <f>IF(B404="","",_xlfn.XLOOKUP(B404,'Orders Ledger'!$A:$A,'Orders Ledger'!$H:$H,""))</f>
        <v>Desktop</v>
      </c>
      <c r="F404" t="str">
        <f>IF(B404="","",_xlfn.XLOOKUP(B404,'Orders Ledger'!$A:$A,'Orders Ledger'!$F:$F,""))</f>
        <v>Stolen_Card_Sim</v>
      </c>
      <c r="G404">
        <f>IF(B404="","",_xlfn.XLOOKUP(B404,'Orders Ledger'!$A:$A,'Orders Ledger'!$N:$N,0))</f>
        <v>60.32</v>
      </c>
    </row>
    <row r="405" spans="2:7" x14ac:dyDescent="0.3">
      <c r="B405" t="str">
        <f t="array" ref="B405">IFERROR(INDEX('Orders Ledger'!$A$2:$A$1501, SMALL(IF(('Orders Ledger'!$J$2:$J$1501="disputed")+('Orders Ledger'!$J$2:$J$1501="PENDING_REVIEW"), ROW('Orders Ledger'!$A$2:$A$1501)-ROW('Orders Ledger'!$A$2)+1), ROW(347:347))), "")</f>
        <v>ORD101427</v>
      </c>
      <c r="C405" s="11" t="str">
        <f>IF(B405="","",_xlfn.XLOOKUP(B405,'Orders Ledger'!$A:$A,'Orders Ledger'!$B:$B,""))</f>
        <v>CUST-1298</v>
      </c>
      <c r="D405" t="str">
        <f>IF(B405="","",_xlfn.XLOOKUP(B405,'Orders Ledger'!$A:$A,'Orders Ledger'!$G:$G,""))</f>
        <v>Germany</v>
      </c>
      <c r="E405" t="str">
        <f>IF(B405="","",_xlfn.XLOOKUP(B405,'Orders Ledger'!$A:$A,'Orders Ledger'!$H:$H,""))</f>
        <v>Desktop</v>
      </c>
      <c r="F405" t="str">
        <f>IF(B405="","",_xlfn.XLOOKUP(B405,'Orders Ledger'!$A:$A,'Orders Ledger'!$F:$F,""))</f>
        <v>Digital_Wallet</v>
      </c>
      <c r="G405">
        <f>IF(B405="","",_xlfn.XLOOKUP(B405,'Orders Ledger'!$A:$A,'Orders Ledger'!$N:$N,0))</f>
        <v>6440</v>
      </c>
    </row>
    <row r="406" spans="2:7" x14ac:dyDescent="0.3">
      <c r="B406" t="str">
        <f t="array" ref="B406">IFERROR(INDEX('Orders Ledger'!$A$2:$A$1501, SMALL(IF(('Orders Ledger'!$J$2:$J$1501="disputed")+('Orders Ledger'!$J$2:$J$1501="PENDING_REVIEW"), ROW('Orders Ledger'!$A$2:$A$1501)-ROW('Orders Ledger'!$A$2)+1), ROW(348:348))), "")</f>
        <v>ORD101428</v>
      </c>
      <c r="C406" s="11" t="str">
        <f>IF(B406="","",_xlfn.XLOOKUP(B406,'Orders Ledger'!$A:$A,'Orders Ledger'!$B:$B,""))</f>
        <v>CUST-1245</v>
      </c>
      <c r="D406" t="str">
        <f>IF(B406="","",_xlfn.XLOOKUP(B406,'Orders Ledger'!$A:$A,'Orders Ledger'!$G:$G,""))</f>
        <v>Germany</v>
      </c>
      <c r="E406" t="str">
        <f>IF(B406="","",_xlfn.XLOOKUP(B406,'Orders Ledger'!$A:$A,'Orders Ledger'!$H:$H,""))</f>
        <v>Mobile_Emulator</v>
      </c>
      <c r="F406" t="str">
        <f>IF(B406="","",_xlfn.XLOOKUP(B406,'Orders Ledger'!$A:$A,'Orders Ledger'!$F:$F,""))</f>
        <v>Credit_Card</v>
      </c>
      <c r="G406">
        <f>IF(B406="","",_xlfn.XLOOKUP(B406,'Orders Ledger'!$A:$A,'Orders Ledger'!$N:$N,0))</f>
        <v>7995.4</v>
      </c>
    </row>
    <row r="407" spans="2:7" x14ac:dyDescent="0.3">
      <c r="B407" t="str">
        <f t="array" ref="B407">IFERROR(INDEX('Orders Ledger'!$A$2:$A$1501, SMALL(IF(('Orders Ledger'!$J$2:$J$1501="disputed")+('Orders Ledger'!$J$2:$J$1501="PENDING_REVIEW"), ROW('Orders Ledger'!$A$2:$A$1501)-ROW('Orders Ledger'!$A$2)+1), ROW(349:349))), "")</f>
        <v>ORD101430</v>
      </c>
      <c r="C407" s="11" t="str">
        <f>IF(B407="","",_xlfn.XLOOKUP(B407,'Orders Ledger'!$A:$A,'Orders Ledger'!$B:$B,""))</f>
        <v>CUST-1268</v>
      </c>
      <c r="D407" t="str">
        <f>IF(B407="","",_xlfn.XLOOKUP(B407,'Orders Ledger'!$A:$A,'Orders Ledger'!$G:$G,""))</f>
        <v>Unknown Blacklisted Zone</v>
      </c>
      <c r="E407" t="str">
        <f>IF(B407="","",_xlfn.XLOOKUP(B407,'Orders Ledger'!$A:$A,'Orders Ledger'!$H:$H,""))</f>
        <v>Bot_Server</v>
      </c>
      <c r="F407" t="str">
        <f>IF(B407="","",_xlfn.XLOOKUP(B407,'Orders Ledger'!$A:$A,'Orders Ledger'!$F:$F,""))</f>
        <v>Stolen_Card_Sim</v>
      </c>
      <c r="G407">
        <f>IF(B407="","",_xlfn.XLOOKUP(B407,'Orders Ledger'!$A:$A,'Orders Ledger'!$N:$N,0))</f>
        <v>257.16000000000003</v>
      </c>
    </row>
    <row r="408" spans="2:7" x14ac:dyDescent="0.3">
      <c r="B408" t="str">
        <f t="array" ref="B408">IFERROR(INDEX('Orders Ledger'!$A$2:$A$1501, SMALL(IF(('Orders Ledger'!$J$2:$J$1501="disputed")+('Orders Ledger'!$J$2:$J$1501="PENDING_REVIEW"), ROW('Orders Ledger'!$A$2:$A$1501)-ROW('Orders Ledger'!$A$2)+1), ROW(350:350))), "")</f>
        <v>ORD101432</v>
      </c>
      <c r="C408" s="11" t="str">
        <f>IF(B408="","",_xlfn.XLOOKUP(B408,'Orders Ledger'!$A:$A,'Orders Ledger'!$B:$B,""))</f>
        <v>CUST-1075</v>
      </c>
      <c r="D408" t="str">
        <f>IF(B408="","",_xlfn.XLOOKUP(B408,'Orders Ledger'!$A:$A,'Orders Ledger'!$G:$G,""))</f>
        <v>United Kingdom</v>
      </c>
      <c r="E408" t="str">
        <f>IF(B408="","",_xlfn.XLOOKUP(B408,'Orders Ledger'!$A:$A,'Orders Ledger'!$H:$H,""))</f>
        <v>Desktop</v>
      </c>
      <c r="F408" t="str">
        <f>IF(B408="","",_xlfn.XLOOKUP(B408,'Orders Ledger'!$A:$A,'Orders Ledger'!$F:$F,""))</f>
        <v>Crypto_Proxy</v>
      </c>
      <c r="G408">
        <f>IF(B408="","",_xlfn.XLOOKUP(B408,'Orders Ledger'!$A:$A,'Orders Ledger'!$N:$N,0))</f>
        <v>767.78</v>
      </c>
    </row>
    <row r="409" spans="2:7" x14ac:dyDescent="0.3">
      <c r="B409" t="str">
        <f t="array" ref="B409">IFERROR(INDEX('Orders Ledger'!$A$2:$A$1501, SMALL(IF(('Orders Ledger'!$J$2:$J$1501="disputed")+('Orders Ledger'!$J$2:$J$1501="PENDING_REVIEW"), ROW('Orders Ledger'!$A$2:$A$1501)-ROW('Orders Ledger'!$A$2)+1), ROW(351:351))), "")</f>
        <v>ORD101437</v>
      </c>
      <c r="C409" s="11" t="str">
        <f>IF(B409="","",_xlfn.XLOOKUP(B409,'Orders Ledger'!$A:$A,'Orders Ledger'!$B:$B,""))</f>
        <v>CUST-1097</v>
      </c>
      <c r="D409" t="str">
        <f>IF(B409="","",_xlfn.XLOOKUP(B409,'Orders Ledger'!$A:$A,'Orders Ledger'!$G:$G,""))</f>
        <v>Unknown Blacklisted Zone</v>
      </c>
      <c r="E409" t="str">
        <f>IF(B409="","",_xlfn.XLOOKUP(B409,'Orders Ledger'!$A:$A,'Orders Ledger'!$H:$H,""))</f>
        <v>Desktop</v>
      </c>
      <c r="F409" t="str">
        <f>IF(B409="","",_xlfn.XLOOKUP(B409,'Orders Ledger'!$A:$A,'Orders Ledger'!$F:$F,""))</f>
        <v>Digital_Wallet</v>
      </c>
      <c r="G409">
        <f>IF(B409="","",_xlfn.XLOOKUP(B409,'Orders Ledger'!$A:$A,'Orders Ledger'!$N:$N,0))</f>
        <v>232.52</v>
      </c>
    </row>
    <row r="410" spans="2:7" x14ac:dyDescent="0.3">
      <c r="B410" t="str">
        <f t="array" ref="B410">IFERROR(INDEX('Orders Ledger'!$A$2:$A$1501, SMALL(IF(('Orders Ledger'!$J$2:$J$1501="disputed")+('Orders Ledger'!$J$2:$J$1501="PENDING_REVIEW"), ROW('Orders Ledger'!$A$2:$A$1501)-ROW('Orders Ledger'!$A$2)+1), ROW(352:352))), "")</f>
        <v>ORD101438</v>
      </c>
      <c r="C410" s="11" t="str">
        <f>IF(B410="","",_xlfn.XLOOKUP(B410,'Orders Ledger'!$A:$A,'Orders Ledger'!$B:$B,""))</f>
        <v>CUST-1009</v>
      </c>
      <c r="D410" t="str">
        <f>IF(B410="","",_xlfn.XLOOKUP(B410,'Orders Ledger'!$A:$A,'Orders Ledger'!$G:$G,""))</f>
        <v>Canada</v>
      </c>
      <c r="E410" t="str">
        <f>IF(B410="","",_xlfn.XLOOKUP(B410,'Orders Ledger'!$A:$A,'Orders Ledger'!$H:$H,""))</f>
        <v>Desktop</v>
      </c>
      <c r="F410" t="str">
        <f>IF(B410="","",_xlfn.XLOOKUP(B410,'Orders Ledger'!$A:$A,'Orders Ledger'!$F:$F,""))</f>
        <v>Stolen_Card_Sim</v>
      </c>
      <c r="G410">
        <f>IF(B410="","",_xlfn.XLOOKUP(B410,'Orders Ledger'!$A:$A,'Orders Ledger'!$N:$N,0))</f>
        <v>2527.25</v>
      </c>
    </row>
    <row r="411" spans="2:7" x14ac:dyDescent="0.3">
      <c r="B411" t="str">
        <f t="array" ref="B411">IFERROR(INDEX('Orders Ledger'!$A$2:$A$1501, SMALL(IF(('Orders Ledger'!$J$2:$J$1501="disputed")+('Orders Ledger'!$J$2:$J$1501="PENDING_REVIEW"), ROW('Orders Ledger'!$A$2:$A$1501)-ROW('Orders Ledger'!$A$2)+1), ROW(353:353))), "")</f>
        <v>ORD101440</v>
      </c>
      <c r="C411" s="11" t="str">
        <f>IF(B411="","",_xlfn.XLOOKUP(B411,'Orders Ledger'!$A:$A,'Orders Ledger'!$B:$B,""))</f>
        <v>CUST-1160</v>
      </c>
      <c r="D411" t="str">
        <f>IF(B411="","",_xlfn.XLOOKUP(B411,'Orders Ledger'!$A:$A,'Orders Ledger'!$G:$G,""))</f>
        <v>High-Risk Country Proxy</v>
      </c>
      <c r="E411" t="str">
        <f>IF(B411="","",_xlfn.XLOOKUP(B411,'Orders Ledger'!$A:$A,'Orders Ledger'!$H:$H,""))</f>
        <v>Desktop</v>
      </c>
      <c r="F411" t="str">
        <f>IF(B411="","",_xlfn.XLOOKUP(B411,'Orders Ledger'!$A:$A,'Orders Ledger'!$F:$F,""))</f>
        <v>Stolen_Card_Sim</v>
      </c>
      <c r="G411">
        <f>IF(B411="","",_xlfn.XLOOKUP(B411,'Orders Ledger'!$A:$A,'Orders Ledger'!$N:$N,0))</f>
        <v>5359.52</v>
      </c>
    </row>
    <row r="412" spans="2:7" x14ac:dyDescent="0.3">
      <c r="B412" t="str">
        <f t="array" ref="B412">IFERROR(INDEX('Orders Ledger'!$A$2:$A$1501, SMALL(IF(('Orders Ledger'!$J$2:$J$1501="disputed")+('Orders Ledger'!$J$2:$J$1501="PENDING_REVIEW"), ROW('Orders Ledger'!$A$2:$A$1501)-ROW('Orders Ledger'!$A$2)+1), ROW(354:354))), "")</f>
        <v>ORD101444</v>
      </c>
      <c r="C412" s="11" t="str">
        <f>IF(B412="","",_xlfn.XLOOKUP(B412,'Orders Ledger'!$A:$A,'Orders Ledger'!$B:$B,""))</f>
        <v>CUST-1104</v>
      </c>
      <c r="D412" t="str">
        <f>IF(B412="","",_xlfn.XLOOKUP(B412,'Orders Ledger'!$A:$A,'Orders Ledger'!$G:$G,""))</f>
        <v>High-Risk Country Proxy</v>
      </c>
      <c r="E412" t="str">
        <f>IF(B412="","",_xlfn.XLOOKUP(B412,'Orders Ledger'!$A:$A,'Orders Ledger'!$H:$H,""))</f>
        <v>Bot_Server</v>
      </c>
      <c r="F412" t="str">
        <f>IF(B412="","",_xlfn.XLOOKUP(B412,'Orders Ledger'!$A:$A,'Orders Ledger'!$F:$F,""))</f>
        <v>Digital_Wallet</v>
      </c>
      <c r="G412">
        <f>IF(B412="","",_xlfn.XLOOKUP(B412,'Orders Ledger'!$A:$A,'Orders Ledger'!$N:$N,0))</f>
        <v>149.5</v>
      </c>
    </row>
    <row r="413" spans="2:7" x14ac:dyDescent="0.3">
      <c r="B413" t="str">
        <f t="array" ref="B413">IFERROR(INDEX('Orders Ledger'!$A$2:$A$1501, SMALL(IF(('Orders Ledger'!$J$2:$J$1501="disputed")+('Orders Ledger'!$J$2:$J$1501="PENDING_REVIEW"), ROW('Orders Ledger'!$A$2:$A$1501)-ROW('Orders Ledger'!$A$2)+1), ROW(355:355))), "")</f>
        <v>ORD101447</v>
      </c>
      <c r="C413" s="11" t="str">
        <f>IF(B413="","",_xlfn.XLOOKUP(B413,'Orders Ledger'!$A:$A,'Orders Ledger'!$B:$B,""))</f>
        <v>CUST-1241</v>
      </c>
      <c r="D413" t="str">
        <f>IF(B413="","",_xlfn.XLOOKUP(B413,'Orders Ledger'!$A:$A,'Orders Ledger'!$G:$G,""))</f>
        <v>United States</v>
      </c>
      <c r="E413" t="str">
        <f>IF(B413="","",_xlfn.XLOOKUP(B413,'Orders Ledger'!$A:$A,'Orders Ledger'!$H:$H,""))</f>
        <v>Desktop</v>
      </c>
      <c r="F413" t="str">
        <f>IF(B413="","",_xlfn.XLOOKUP(B413,'Orders Ledger'!$A:$A,'Orders Ledger'!$F:$F,""))</f>
        <v>Digital_Wallet</v>
      </c>
      <c r="G413">
        <f>IF(B413="","",_xlfn.XLOOKUP(B413,'Orders Ledger'!$A:$A,'Orders Ledger'!$N:$N,0))</f>
        <v>3874.08</v>
      </c>
    </row>
    <row r="414" spans="2:7" x14ac:dyDescent="0.3">
      <c r="B414" t="str">
        <f t="array" ref="B414">IFERROR(INDEX('Orders Ledger'!$A$2:$A$1501, SMALL(IF(('Orders Ledger'!$J$2:$J$1501="disputed")+('Orders Ledger'!$J$2:$J$1501="PENDING_REVIEW"), ROW('Orders Ledger'!$A$2:$A$1501)-ROW('Orders Ledger'!$A$2)+1), ROW(356:356))), "")</f>
        <v>ORD101448</v>
      </c>
      <c r="C414" s="11" t="str">
        <f>IF(B414="","",_xlfn.XLOOKUP(B414,'Orders Ledger'!$A:$A,'Orders Ledger'!$B:$B,""))</f>
        <v>CUST-1031</v>
      </c>
      <c r="D414" t="str">
        <f>IF(B414="","",_xlfn.XLOOKUP(B414,'Orders Ledger'!$A:$A,'Orders Ledger'!$G:$G,""))</f>
        <v>United States</v>
      </c>
      <c r="E414" t="str">
        <f>IF(B414="","",_xlfn.XLOOKUP(B414,'Orders Ledger'!$A:$A,'Orders Ledger'!$H:$H,""))</f>
        <v>Desktop</v>
      </c>
      <c r="F414" t="str">
        <f>IF(B414="","",_xlfn.XLOOKUP(B414,'Orders Ledger'!$A:$A,'Orders Ledger'!$F:$F,""))</f>
        <v>Stolen_Card_Sim</v>
      </c>
      <c r="G414">
        <f>IF(B414="","",_xlfn.XLOOKUP(B414,'Orders Ledger'!$A:$A,'Orders Ledger'!$N:$N,0))</f>
        <v>2950.4</v>
      </c>
    </row>
    <row r="415" spans="2:7" x14ac:dyDescent="0.3">
      <c r="B415" t="str">
        <f t="array" ref="B415">IFERROR(INDEX('Orders Ledger'!$A$2:$A$1501, SMALL(IF(('Orders Ledger'!$J$2:$J$1501="disputed")+('Orders Ledger'!$J$2:$J$1501="PENDING_REVIEW"), ROW('Orders Ledger'!$A$2:$A$1501)-ROW('Orders Ledger'!$A$2)+1), ROW(357:357))), "")</f>
        <v>ORD101450</v>
      </c>
      <c r="C415" s="11" t="str">
        <f>IF(B415="","",_xlfn.XLOOKUP(B415,'Orders Ledger'!$A:$A,'Orders Ledger'!$B:$B,""))</f>
        <v>CUST-1265</v>
      </c>
      <c r="D415" t="str">
        <f>IF(B415="","",_xlfn.XLOOKUP(B415,'Orders Ledger'!$A:$A,'Orders Ledger'!$G:$G,""))</f>
        <v>Unknown Blacklisted Zone</v>
      </c>
      <c r="E415" t="str">
        <f>IF(B415="","",_xlfn.XLOOKUP(B415,'Orders Ledger'!$A:$A,'Orders Ledger'!$H:$H,""))</f>
        <v>Bot_Server</v>
      </c>
      <c r="F415" t="str">
        <f>IF(B415="","",_xlfn.XLOOKUP(B415,'Orders Ledger'!$A:$A,'Orders Ledger'!$F:$F,""))</f>
        <v>Stolen_Card_Sim</v>
      </c>
      <c r="G415">
        <f>IF(B415="","",_xlfn.XLOOKUP(B415,'Orders Ledger'!$A:$A,'Orders Ledger'!$N:$N,0))</f>
        <v>9346.7199999999993</v>
      </c>
    </row>
    <row r="416" spans="2:7" x14ac:dyDescent="0.3">
      <c r="B416" t="str">
        <f t="array" ref="B416">IFERROR(INDEX('Orders Ledger'!$A$2:$A$1501, SMALL(IF(('Orders Ledger'!$J$2:$J$1501="disputed")+('Orders Ledger'!$J$2:$J$1501="PENDING_REVIEW"), ROW('Orders Ledger'!$A$2:$A$1501)-ROW('Orders Ledger'!$A$2)+1), ROW(358:358))), "")</f>
        <v>ORD101451</v>
      </c>
      <c r="C416" s="11" t="str">
        <f>IF(B416="","",_xlfn.XLOOKUP(B416,'Orders Ledger'!$A:$A,'Orders Ledger'!$B:$B,""))</f>
        <v>CUST-1106</v>
      </c>
      <c r="D416" t="str">
        <f>IF(B416="","",_xlfn.XLOOKUP(B416,'Orders Ledger'!$A:$A,'Orders Ledger'!$G:$G,""))</f>
        <v>Unknown Blacklisted Zone</v>
      </c>
      <c r="E416" t="str">
        <f>IF(B416="","",_xlfn.XLOOKUP(B416,'Orders Ledger'!$A:$A,'Orders Ledger'!$H:$H,""))</f>
        <v>Desktop</v>
      </c>
      <c r="F416" t="str">
        <f>IF(B416="","",_xlfn.XLOOKUP(B416,'Orders Ledger'!$A:$A,'Orders Ledger'!$F:$F,""))</f>
        <v>Stolen_Card_Sim</v>
      </c>
      <c r="G416">
        <f>IF(B416="","",_xlfn.XLOOKUP(B416,'Orders Ledger'!$A:$A,'Orders Ledger'!$N:$N,0))</f>
        <v>1990.92</v>
      </c>
    </row>
    <row r="417" spans="2:7" x14ac:dyDescent="0.3">
      <c r="B417" t="str">
        <f t="array" ref="B417">IFERROR(INDEX('Orders Ledger'!$A$2:$A$1501, SMALL(IF(('Orders Ledger'!$J$2:$J$1501="disputed")+('Orders Ledger'!$J$2:$J$1501="PENDING_REVIEW"), ROW('Orders Ledger'!$A$2:$A$1501)-ROW('Orders Ledger'!$A$2)+1), ROW(359:359))), "")</f>
        <v>ORD101456</v>
      </c>
      <c r="C417" s="11" t="str">
        <f>IF(B417="","",_xlfn.XLOOKUP(B417,'Orders Ledger'!$A:$A,'Orders Ledger'!$B:$B,""))</f>
        <v>CUST-1192</v>
      </c>
      <c r="D417" t="str">
        <f>IF(B417="","",_xlfn.XLOOKUP(B417,'Orders Ledger'!$A:$A,'Orders Ledger'!$G:$G,""))</f>
        <v>High-Risk Country Proxy</v>
      </c>
      <c r="E417" t="str">
        <f>IF(B417="","",_xlfn.XLOOKUP(B417,'Orders Ledger'!$A:$A,'Orders Ledger'!$H:$H,""))</f>
        <v>Mobile_Emulator</v>
      </c>
      <c r="F417" t="str">
        <f>IF(B417="","",_xlfn.XLOOKUP(B417,'Orders Ledger'!$A:$A,'Orders Ledger'!$F:$F,""))</f>
        <v>Stolen_Card_Sim</v>
      </c>
      <c r="G417">
        <f>IF(B417="","",_xlfn.XLOOKUP(B417,'Orders Ledger'!$A:$A,'Orders Ledger'!$N:$N,0))</f>
        <v>7375.5499999999993</v>
      </c>
    </row>
    <row r="418" spans="2:7" x14ac:dyDescent="0.3">
      <c r="B418" t="str">
        <f t="array" ref="B418">IFERROR(INDEX('Orders Ledger'!$A$2:$A$1501, SMALL(IF(('Orders Ledger'!$J$2:$J$1501="disputed")+('Orders Ledger'!$J$2:$J$1501="PENDING_REVIEW"), ROW('Orders Ledger'!$A$2:$A$1501)-ROW('Orders Ledger'!$A$2)+1), ROW(360:360))), "")</f>
        <v>ORD101461</v>
      </c>
      <c r="C418" s="11" t="str">
        <f>IF(B418="","",_xlfn.XLOOKUP(B418,'Orders Ledger'!$A:$A,'Orders Ledger'!$B:$B,""))</f>
        <v>CUST-1175</v>
      </c>
      <c r="D418" t="str">
        <f>IF(B418="","",_xlfn.XLOOKUP(B418,'Orders Ledger'!$A:$A,'Orders Ledger'!$G:$G,""))</f>
        <v>High-Risk Country Proxy</v>
      </c>
      <c r="E418" t="str">
        <f>IF(B418="","",_xlfn.XLOOKUP(B418,'Orders Ledger'!$A:$A,'Orders Ledger'!$H:$H,""))</f>
        <v>Desktop</v>
      </c>
      <c r="F418" t="str">
        <f>IF(B418="","",_xlfn.XLOOKUP(B418,'Orders Ledger'!$A:$A,'Orders Ledger'!$F:$F,""))</f>
        <v>Crypto_Proxy</v>
      </c>
      <c r="G418">
        <f>IF(B418="","",_xlfn.XLOOKUP(B418,'Orders Ledger'!$A:$A,'Orders Ledger'!$N:$N,0))</f>
        <v>277.95999999999998</v>
      </c>
    </row>
    <row r="419" spans="2:7" x14ac:dyDescent="0.3">
      <c r="B419" t="str">
        <f t="array" ref="B419">IFERROR(INDEX('Orders Ledger'!$A$2:$A$1501, SMALL(IF(('Orders Ledger'!$J$2:$J$1501="disputed")+('Orders Ledger'!$J$2:$J$1501="PENDING_REVIEW"), ROW('Orders Ledger'!$A$2:$A$1501)-ROW('Orders Ledger'!$A$2)+1), ROW(361:361))), "")</f>
        <v>ORD101466</v>
      </c>
      <c r="C419" s="11" t="str">
        <f>IF(B419="","",_xlfn.XLOOKUP(B419,'Orders Ledger'!$A:$A,'Orders Ledger'!$B:$B,""))</f>
        <v>CUST-1098</v>
      </c>
      <c r="D419" t="str">
        <f>IF(B419="","",_xlfn.XLOOKUP(B419,'Orders Ledger'!$A:$A,'Orders Ledger'!$G:$G,""))</f>
        <v>High-Risk Country Proxy</v>
      </c>
      <c r="E419" t="str">
        <f>IF(B419="","",_xlfn.XLOOKUP(B419,'Orders Ledger'!$A:$A,'Orders Ledger'!$H:$H,""))</f>
        <v>Desktop</v>
      </c>
      <c r="F419" t="str">
        <f>IF(B419="","",_xlfn.XLOOKUP(B419,'Orders Ledger'!$A:$A,'Orders Ledger'!$F:$F,""))</f>
        <v>Digital_Wallet</v>
      </c>
      <c r="G419">
        <f>IF(B419="","",_xlfn.XLOOKUP(B419,'Orders Ledger'!$A:$A,'Orders Ledger'!$N:$N,0))</f>
        <v>11.22</v>
      </c>
    </row>
    <row r="420" spans="2:7" x14ac:dyDescent="0.3">
      <c r="B420" t="str">
        <f t="array" ref="B420">IFERROR(INDEX('Orders Ledger'!$A$2:$A$1501, SMALL(IF(('Orders Ledger'!$J$2:$J$1501="disputed")+('Orders Ledger'!$J$2:$J$1501="PENDING_REVIEW"), ROW('Orders Ledger'!$A$2:$A$1501)-ROW('Orders Ledger'!$A$2)+1), ROW(362:362))), "")</f>
        <v>ORD101470</v>
      </c>
      <c r="C420" s="11" t="str">
        <f>IF(B420="","",_xlfn.XLOOKUP(B420,'Orders Ledger'!$A:$A,'Orders Ledger'!$B:$B,""))</f>
        <v>CUST-1152</v>
      </c>
      <c r="D420" t="str">
        <f>IF(B420="","",_xlfn.XLOOKUP(B420,'Orders Ledger'!$A:$A,'Orders Ledger'!$G:$G,""))</f>
        <v>Germany</v>
      </c>
      <c r="E420" t="str">
        <f>IF(B420="","",_xlfn.XLOOKUP(B420,'Orders Ledger'!$A:$A,'Orders Ledger'!$H:$H,""))</f>
        <v>Mobile_App</v>
      </c>
      <c r="F420" t="str">
        <f>IF(B420="","",_xlfn.XLOOKUP(B420,'Orders Ledger'!$A:$A,'Orders Ledger'!$F:$F,""))</f>
        <v>Credit_Card</v>
      </c>
      <c r="G420">
        <f>IF(B420="","",_xlfn.XLOOKUP(B420,'Orders Ledger'!$A:$A,'Orders Ledger'!$N:$N,0))</f>
        <v>56.04</v>
      </c>
    </row>
    <row r="421" spans="2:7" x14ac:dyDescent="0.3">
      <c r="B421" t="str">
        <f t="array" ref="B421">IFERROR(INDEX('Orders Ledger'!$A$2:$A$1501, SMALL(IF(('Orders Ledger'!$J$2:$J$1501="disputed")+('Orders Ledger'!$J$2:$J$1501="PENDING_REVIEW"), ROW('Orders Ledger'!$A$2:$A$1501)-ROW('Orders Ledger'!$A$2)+1), ROW(363:363))), "")</f>
        <v>ORD101475</v>
      </c>
      <c r="C421" s="11" t="str">
        <f>IF(B421="","",_xlfn.XLOOKUP(B421,'Orders Ledger'!$A:$A,'Orders Ledger'!$B:$B,""))</f>
        <v>CUST-1250</v>
      </c>
      <c r="D421" t="str">
        <f>IF(B421="","",_xlfn.XLOOKUP(B421,'Orders Ledger'!$A:$A,'Orders Ledger'!$G:$G,""))</f>
        <v>High-Risk Country Proxy</v>
      </c>
      <c r="E421" t="str">
        <f>IF(B421="","",_xlfn.XLOOKUP(B421,'Orders Ledger'!$A:$A,'Orders Ledger'!$H:$H,""))</f>
        <v>Mobile_Emulator</v>
      </c>
      <c r="F421" t="str">
        <f>IF(B421="","",_xlfn.XLOOKUP(B421,'Orders Ledger'!$A:$A,'Orders Ledger'!$F:$F,""))</f>
        <v>Stolen_Card_Sim</v>
      </c>
      <c r="G421">
        <f>IF(B421="","",_xlfn.XLOOKUP(B421,'Orders Ledger'!$A:$A,'Orders Ledger'!$N:$N,0))</f>
        <v>94.55</v>
      </c>
    </row>
    <row r="422" spans="2:7" x14ac:dyDescent="0.3">
      <c r="B422" t="str">
        <f t="array" ref="B422">IFERROR(INDEX('Orders Ledger'!$A$2:$A$1501, SMALL(IF(('Orders Ledger'!$J$2:$J$1501="disputed")+('Orders Ledger'!$J$2:$J$1501="PENDING_REVIEW"), ROW('Orders Ledger'!$A$2:$A$1501)-ROW('Orders Ledger'!$A$2)+1), ROW(364:364))), "")</f>
        <v>ORD101476</v>
      </c>
      <c r="C422" s="11" t="str">
        <f>IF(B422="","",_xlfn.XLOOKUP(B422,'Orders Ledger'!$A:$A,'Orders Ledger'!$B:$B,""))</f>
        <v>CUST-1162</v>
      </c>
      <c r="D422" t="str">
        <f>IF(B422="","",_xlfn.XLOOKUP(B422,'Orders Ledger'!$A:$A,'Orders Ledger'!$G:$G,""))</f>
        <v>Germany</v>
      </c>
      <c r="E422" t="str">
        <f>IF(B422="","",_xlfn.XLOOKUP(B422,'Orders Ledger'!$A:$A,'Orders Ledger'!$H:$H,""))</f>
        <v>Mobile_Emulator</v>
      </c>
      <c r="F422" t="str">
        <f>IF(B422="","",_xlfn.XLOOKUP(B422,'Orders Ledger'!$A:$A,'Orders Ledger'!$F:$F,""))</f>
        <v>Crypto_Proxy</v>
      </c>
      <c r="G422">
        <f>IF(B422="","",_xlfn.XLOOKUP(B422,'Orders Ledger'!$A:$A,'Orders Ledger'!$N:$N,0))</f>
        <v>9346.7199999999993</v>
      </c>
    </row>
    <row r="423" spans="2:7" x14ac:dyDescent="0.3">
      <c r="B423" t="str">
        <f t="array" ref="B423">IFERROR(INDEX('Orders Ledger'!$A$2:$A$1501, SMALL(IF(('Orders Ledger'!$J$2:$J$1501="disputed")+('Orders Ledger'!$J$2:$J$1501="PENDING_REVIEW"), ROW('Orders Ledger'!$A$2:$A$1501)-ROW('Orders Ledger'!$A$2)+1), ROW(365:365))), "")</f>
        <v>ORD101478</v>
      </c>
      <c r="C423" s="11" t="str">
        <f>IF(B423="","",_xlfn.XLOOKUP(B423,'Orders Ledger'!$A:$A,'Orders Ledger'!$B:$B,""))</f>
        <v>CUST-1178</v>
      </c>
      <c r="D423" t="str">
        <f>IF(B423="","",_xlfn.XLOOKUP(B423,'Orders Ledger'!$A:$A,'Orders Ledger'!$G:$G,""))</f>
        <v>High-Risk Country Proxy</v>
      </c>
      <c r="E423" t="str">
        <f>IF(B423="","",_xlfn.XLOOKUP(B423,'Orders Ledger'!$A:$A,'Orders Ledger'!$H:$H,""))</f>
        <v>Bot_Server</v>
      </c>
      <c r="F423" t="str">
        <f>IF(B423="","",_xlfn.XLOOKUP(B423,'Orders Ledger'!$A:$A,'Orders Ledger'!$F:$F,""))</f>
        <v>Stolen_Card_Sim</v>
      </c>
      <c r="G423">
        <f>IF(B423="","",_xlfn.XLOOKUP(B423,'Orders Ledger'!$A:$A,'Orders Ledger'!$N:$N,0))</f>
        <v>657.25</v>
      </c>
    </row>
    <row r="424" spans="2:7" x14ac:dyDescent="0.3">
      <c r="B424" t="str">
        <f t="array" ref="B424">IFERROR(INDEX('Orders Ledger'!$A$2:$A$1501, SMALL(IF(('Orders Ledger'!$J$2:$J$1501="disputed")+('Orders Ledger'!$J$2:$J$1501="PENDING_REVIEW"), ROW('Orders Ledger'!$A$2:$A$1501)-ROW('Orders Ledger'!$A$2)+1), ROW(366:366))), "")</f>
        <v>ORD101480</v>
      </c>
      <c r="C424" s="11" t="str">
        <f>IF(B424="","",_xlfn.XLOOKUP(B424,'Orders Ledger'!$A:$A,'Orders Ledger'!$B:$B,""))</f>
        <v>CUST-1140</v>
      </c>
      <c r="D424" t="str">
        <f>IF(B424="","",_xlfn.XLOOKUP(B424,'Orders Ledger'!$A:$A,'Orders Ledger'!$G:$G,""))</f>
        <v>Germany</v>
      </c>
      <c r="E424" t="str">
        <f>IF(B424="","",_xlfn.XLOOKUP(B424,'Orders Ledger'!$A:$A,'Orders Ledger'!$H:$H,""))</f>
        <v>Desktop</v>
      </c>
      <c r="F424" t="str">
        <f>IF(B424="","",_xlfn.XLOOKUP(B424,'Orders Ledger'!$A:$A,'Orders Ledger'!$F:$F,""))</f>
        <v>Credit_Card</v>
      </c>
      <c r="G424">
        <f>IF(B424="","",_xlfn.XLOOKUP(B424,'Orders Ledger'!$A:$A,'Orders Ledger'!$N:$N,0))</f>
        <v>1610</v>
      </c>
    </row>
    <row r="425" spans="2:7" x14ac:dyDescent="0.3">
      <c r="B425" t="str">
        <f t="array" ref="B425">IFERROR(INDEX('Orders Ledger'!$A$2:$A$1501, SMALL(IF(('Orders Ledger'!$J$2:$J$1501="disputed")+('Orders Ledger'!$J$2:$J$1501="PENDING_REVIEW"), ROW('Orders Ledger'!$A$2:$A$1501)-ROW('Orders Ledger'!$A$2)+1), ROW(367:367))), "")</f>
        <v>ORD101482</v>
      </c>
      <c r="C425" s="11" t="str">
        <f>IF(B425="","",_xlfn.XLOOKUP(B425,'Orders Ledger'!$A:$A,'Orders Ledger'!$B:$B,""))</f>
        <v>CUST-1062</v>
      </c>
      <c r="D425" t="str">
        <f>IF(B425="","",_xlfn.XLOOKUP(B425,'Orders Ledger'!$A:$A,'Orders Ledger'!$G:$G,""))</f>
        <v>High-Risk Country Proxy</v>
      </c>
      <c r="E425" t="str">
        <f>IF(B425="","",_xlfn.XLOOKUP(B425,'Orders Ledger'!$A:$A,'Orders Ledger'!$H:$H,""))</f>
        <v>Bot_Server</v>
      </c>
      <c r="F425" t="str">
        <f>IF(B425="","",_xlfn.XLOOKUP(B425,'Orders Ledger'!$A:$A,'Orders Ledger'!$F:$F,""))</f>
        <v>Credit_Card</v>
      </c>
      <c r="G425">
        <f>IF(B425="","",_xlfn.XLOOKUP(B425,'Orders Ledger'!$A:$A,'Orders Ledger'!$N:$N,0))</f>
        <v>96.93</v>
      </c>
    </row>
    <row r="426" spans="2:7" x14ac:dyDescent="0.3">
      <c r="B426" t="str">
        <f t="array" ref="B426">IFERROR(INDEX('Orders Ledger'!$A$2:$A$1501, SMALL(IF(('Orders Ledger'!$J$2:$J$1501="disputed")+('Orders Ledger'!$J$2:$J$1501="PENDING_REVIEW"), ROW('Orders Ledger'!$A$2:$A$1501)-ROW('Orders Ledger'!$A$2)+1), ROW(368:368))), "")</f>
        <v>ORD101483</v>
      </c>
      <c r="C426" s="11" t="str">
        <f>IF(B426="","",_xlfn.XLOOKUP(B426,'Orders Ledger'!$A:$A,'Orders Ledger'!$B:$B,""))</f>
        <v>CUST-1293</v>
      </c>
      <c r="D426" t="str">
        <f>IF(B426="","",_xlfn.XLOOKUP(B426,'Orders Ledger'!$A:$A,'Orders Ledger'!$G:$G,""))</f>
        <v>High-Risk Country Proxy</v>
      </c>
      <c r="E426" t="str">
        <f>IF(B426="","",_xlfn.XLOOKUP(B426,'Orders Ledger'!$A:$A,'Orders Ledger'!$H:$H,""))</f>
        <v>Bot_Server</v>
      </c>
      <c r="F426" t="str">
        <f>IF(B426="","",_xlfn.XLOOKUP(B426,'Orders Ledger'!$A:$A,'Orders Ledger'!$F:$F,""))</f>
        <v>Crypto_Proxy</v>
      </c>
      <c r="G426">
        <f>IF(B426="","",_xlfn.XLOOKUP(B426,'Orders Ledger'!$A:$A,'Orders Ledger'!$N:$N,0))</f>
        <v>21.11</v>
      </c>
    </row>
    <row r="427" spans="2:7" x14ac:dyDescent="0.3">
      <c r="B427" t="str">
        <f t="array" ref="B427">IFERROR(INDEX('Orders Ledger'!$A$2:$A$1501, SMALL(IF(('Orders Ledger'!$J$2:$J$1501="disputed")+('Orders Ledger'!$J$2:$J$1501="PENDING_REVIEW"), ROW('Orders Ledger'!$A$2:$A$1501)-ROW('Orders Ledger'!$A$2)+1), ROW(369:369))), "")</f>
        <v>ORD101486</v>
      </c>
      <c r="C427" s="11" t="str">
        <f>IF(B427="","",_xlfn.XLOOKUP(B427,'Orders Ledger'!$A:$A,'Orders Ledger'!$B:$B,""))</f>
        <v>CUST-1202</v>
      </c>
      <c r="D427" t="str">
        <f>IF(B427="","",_xlfn.XLOOKUP(B427,'Orders Ledger'!$A:$A,'Orders Ledger'!$G:$G,""))</f>
        <v>United Kingdom</v>
      </c>
      <c r="E427" t="str">
        <f>IF(B427="","",_xlfn.XLOOKUP(B427,'Orders Ledger'!$A:$A,'Orders Ledger'!$H:$H,""))</f>
        <v>Mobile_Emulator</v>
      </c>
      <c r="F427" t="str">
        <f>IF(B427="","",_xlfn.XLOOKUP(B427,'Orders Ledger'!$A:$A,'Orders Ledger'!$F:$F,""))</f>
        <v>Credit_Card</v>
      </c>
      <c r="G427">
        <f>IF(B427="","",_xlfn.XLOOKUP(B427,'Orders Ledger'!$A:$A,'Orders Ledger'!$N:$N,0))</f>
        <v>4842.6000000000004</v>
      </c>
    </row>
    <row r="428" spans="2:7" x14ac:dyDescent="0.3">
      <c r="B428" t="str">
        <f t="array" ref="B428">IFERROR(INDEX('Orders Ledger'!$A$2:$A$1501, SMALL(IF(('Orders Ledger'!$J$2:$J$1501="disputed")+('Orders Ledger'!$J$2:$J$1501="PENDING_REVIEW"), ROW('Orders Ledger'!$A$2:$A$1501)-ROW('Orders Ledger'!$A$2)+1), ROW(370:370))), "")</f>
        <v>ORD101488</v>
      </c>
      <c r="C428" s="11" t="str">
        <f>IF(B428="","",_xlfn.XLOOKUP(B428,'Orders Ledger'!$A:$A,'Orders Ledger'!$B:$B,""))</f>
        <v>CUST-1074</v>
      </c>
      <c r="D428" t="str">
        <f>IF(B428="","",_xlfn.XLOOKUP(B428,'Orders Ledger'!$A:$A,'Orders Ledger'!$G:$G,""))</f>
        <v>High-Risk Country Proxy</v>
      </c>
      <c r="E428" t="str">
        <f>IF(B428="","",_xlfn.XLOOKUP(B428,'Orders Ledger'!$A:$A,'Orders Ledger'!$H:$H,""))</f>
        <v>Desktop</v>
      </c>
      <c r="F428" t="str">
        <f>IF(B428="","",_xlfn.XLOOKUP(B428,'Orders Ledger'!$A:$A,'Orders Ledger'!$F:$F,""))</f>
        <v>Credit_Card</v>
      </c>
      <c r="G428">
        <f>IF(B428="","",_xlfn.XLOOKUP(B428,'Orders Ledger'!$A:$A,'Orders Ledger'!$N:$N,0))</f>
        <v>57.44</v>
      </c>
    </row>
    <row r="429" spans="2:7" x14ac:dyDescent="0.3">
      <c r="B429" t="str">
        <f t="array" ref="B429">IFERROR(INDEX('Orders Ledger'!$A$2:$A$1501, SMALL(IF(('Orders Ledger'!$J$2:$J$1501="disputed")+('Orders Ledger'!$J$2:$J$1501="PENDING_REVIEW"), ROW('Orders Ledger'!$A$2:$A$1501)-ROW('Orders Ledger'!$A$2)+1), ROW(371:371))), "")</f>
        <v>ORD101489</v>
      </c>
      <c r="C429" s="11" t="str">
        <f>IF(B429="","",_xlfn.XLOOKUP(B429,'Orders Ledger'!$A:$A,'Orders Ledger'!$B:$B,""))</f>
        <v>CUST-1148</v>
      </c>
      <c r="D429" t="str">
        <f>IF(B429="","",_xlfn.XLOOKUP(B429,'Orders Ledger'!$A:$A,'Orders Ledger'!$G:$G,""))</f>
        <v>Unknown Blacklisted Zone</v>
      </c>
      <c r="E429" t="str">
        <f>IF(B429="","",_xlfn.XLOOKUP(B429,'Orders Ledger'!$A:$A,'Orders Ledger'!$H:$H,""))</f>
        <v>Bot_Server</v>
      </c>
      <c r="F429" t="str">
        <f>IF(B429="","",_xlfn.XLOOKUP(B429,'Orders Ledger'!$A:$A,'Orders Ledger'!$F:$F,""))</f>
        <v>Stolen_Card_Sim</v>
      </c>
      <c r="G429">
        <f>IF(B429="","",_xlfn.XLOOKUP(B429,'Orders Ledger'!$A:$A,'Orders Ledger'!$N:$N,0))</f>
        <v>138.6</v>
      </c>
    </row>
    <row r="430" spans="2:7" x14ac:dyDescent="0.3">
      <c r="B430" t="str">
        <f t="array" ref="B430">IFERROR(INDEX('Orders Ledger'!$A$2:$A$1501, SMALL(IF(('Orders Ledger'!$J$2:$J$1501="disputed")+('Orders Ledger'!$J$2:$J$1501="PENDING_REVIEW"), ROW('Orders Ledger'!$A$2:$A$1501)-ROW('Orders Ledger'!$A$2)+1), ROW(372:372))), "")</f>
        <v>ORD101495</v>
      </c>
      <c r="C430" s="11" t="str">
        <f>IF(B430="","",_xlfn.XLOOKUP(B430,'Orders Ledger'!$A:$A,'Orders Ledger'!$B:$B,""))</f>
        <v>CUST-1131</v>
      </c>
      <c r="D430" t="str">
        <f>IF(B430="","",_xlfn.XLOOKUP(B430,'Orders Ledger'!$A:$A,'Orders Ledger'!$G:$G,""))</f>
        <v>High-Risk Country Proxy</v>
      </c>
      <c r="E430" t="str">
        <f>IF(B430="","",_xlfn.XLOOKUP(B430,'Orders Ledger'!$A:$A,'Orders Ledger'!$H:$H,""))</f>
        <v>Desktop</v>
      </c>
      <c r="F430" t="str">
        <f>IF(B430="","",_xlfn.XLOOKUP(B430,'Orders Ledger'!$A:$A,'Orders Ledger'!$F:$F,""))</f>
        <v>Digital_Wallet</v>
      </c>
      <c r="G430">
        <f>IF(B430="","",_xlfn.XLOOKUP(B430,'Orders Ledger'!$A:$A,'Orders Ledger'!$N:$N,0))</f>
        <v>399.28</v>
      </c>
    </row>
    <row r="431" spans="2:7" x14ac:dyDescent="0.3">
      <c r="B431" t="str">
        <f t="array" ref="B431">IFERROR(INDEX('Orders Ledger'!$A$2:$A$1501, SMALL(IF(('Orders Ledger'!$J$2:$J$1501="disputed")+('Orders Ledger'!$J$2:$J$1501="PENDING_REVIEW"), ROW('Orders Ledger'!$A$2:$A$1501)-ROW('Orders Ledger'!$A$2)+1), ROW(373:373))), "")</f>
        <v>ORD101498</v>
      </c>
      <c r="C431" s="11" t="str">
        <f>IF(B431="","",_xlfn.XLOOKUP(B431,'Orders Ledger'!$A:$A,'Orders Ledger'!$B:$B,""))</f>
        <v>CUST-1103</v>
      </c>
      <c r="D431" t="str">
        <f>IF(B431="","",_xlfn.XLOOKUP(B431,'Orders Ledger'!$A:$A,'Orders Ledger'!$G:$G,""))</f>
        <v>Unknown Blacklisted Zone</v>
      </c>
      <c r="E431" t="str">
        <f>IF(B431="","",_xlfn.XLOOKUP(B431,'Orders Ledger'!$A:$A,'Orders Ledger'!$H:$H,""))</f>
        <v>Bot_Server</v>
      </c>
      <c r="F431" t="str">
        <f>IF(B431="","",_xlfn.XLOOKUP(B431,'Orders Ledger'!$A:$A,'Orders Ledger'!$F:$F,""))</f>
        <v>Credit_Card</v>
      </c>
      <c r="G431">
        <f>IF(B431="","",_xlfn.XLOOKUP(B431,'Orders Ledger'!$A:$A,'Orders Ledger'!$N:$N,0))</f>
        <v>21.11</v>
      </c>
    </row>
    <row r="432" spans="2:7" x14ac:dyDescent="0.3">
      <c r="B432" t="str">
        <f t="array" ref="B432">IFERROR(INDEX('Orders Ledger'!$A$2:$A$1501, SMALL(IF(('Orders Ledger'!$J$2:$J$1501="disputed")+('Orders Ledger'!$J$2:$J$1501="PENDING_REVIEW"), ROW('Orders Ledger'!$A$2:$A$1501)-ROW('Orders Ledger'!$A$2)+1), ROW(374:374))), "")</f>
        <v/>
      </c>
      <c r="C432" s="11" t="str">
        <f>IF(B432="","",_xlfn.XLOOKUP(B432,'Orders Ledger'!$A:$A,'Orders Ledger'!$B:$B,""))</f>
        <v/>
      </c>
      <c r="D432" t="str">
        <f>IF(B432="","",_xlfn.XLOOKUP(B432,'Orders Ledger'!$A:$A,'Orders Ledger'!$G:$G,""))</f>
        <v/>
      </c>
      <c r="E432" t="str">
        <f>IF(B432="","",_xlfn.XLOOKUP(B432,'Orders Ledger'!$A:$A,'Orders Ledger'!$H:$H,""))</f>
        <v/>
      </c>
      <c r="F432" t="str">
        <f>IF(B432="","",_xlfn.XLOOKUP(B432,'Orders Ledger'!$A:$A,'Orders Ledger'!$F:$F,""))</f>
        <v/>
      </c>
      <c r="G432" t="str">
        <f>IF(B432="","",_xlfn.XLOOKUP(B432,'Orders Ledger'!$A:$A,'Orders Ledger'!$N:$N,0))</f>
        <v/>
      </c>
    </row>
    <row r="433" spans="2:7" x14ac:dyDescent="0.3">
      <c r="B433" t="str">
        <f t="array" ref="B433">IFERROR(INDEX('Orders Ledger'!$A$2:$A$1501, SMALL(IF(('Orders Ledger'!$J$2:$J$1501="disputed")+('Orders Ledger'!$J$2:$J$1501="PENDING_REVIEW"), ROW('Orders Ledger'!$A$2:$A$1501)-ROW('Orders Ledger'!$A$2)+1), ROW(375:375))), "")</f>
        <v/>
      </c>
      <c r="C433" s="11" t="str">
        <f>IF(B433="","",_xlfn.XLOOKUP(B433,'Orders Ledger'!$A:$A,'Orders Ledger'!$B:$B,""))</f>
        <v/>
      </c>
      <c r="D433" t="str">
        <f>IF(B433="","",_xlfn.XLOOKUP(B433,'Orders Ledger'!$A:$A,'Orders Ledger'!$G:$G,""))</f>
        <v/>
      </c>
      <c r="E433" t="str">
        <f>IF(B433="","",_xlfn.XLOOKUP(B433,'Orders Ledger'!$A:$A,'Orders Ledger'!$H:$H,""))</f>
        <v/>
      </c>
      <c r="F433" t="str">
        <f>IF(B433="","",_xlfn.XLOOKUP(B433,'Orders Ledger'!$A:$A,'Orders Ledger'!$F:$F,""))</f>
        <v/>
      </c>
      <c r="G433" t="str">
        <f>IF(B433="","",_xlfn.XLOOKUP(B433,'Orders Ledger'!$A:$A,'Orders Ledger'!$N:$N,0))</f>
        <v/>
      </c>
    </row>
    <row r="434" spans="2:7" x14ac:dyDescent="0.3">
      <c r="B434" t="str">
        <f t="array" ref="B434">IFERROR(INDEX('Orders Ledger'!$A$2:$A$1501, SMALL(IF(('Orders Ledger'!$J$2:$J$1501="disputed")+('Orders Ledger'!$J$2:$J$1501="PENDING_REVIEW"), ROW('Orders Ledger'!$A$2:$A$1501)-ROW('Orders Ledger'!$A$2)+1), ROW(376:376))), "")</f>
        <v/>
      </c>
      <c r="C434" s="11" t="str">
        <f>IF(B434="","",_xlfn.XLOOKUP(B434,'Orders Ledger'!$A:$A,'Orders Ledger'!$B:$B,""))</f>
        <v/>
      </c>
      <c r="D434" t="str">
        <f>IF(B434="","",_xlfn.XLOOKUP(B434,'Orders Ledger'!$A:$A,'Orders Ledger'!$G:$G,""))</f>
        <v/>
      </c>
      <c r="E434" t="str">
        <f>IF(B434="","",_xlfn.XLOOKUP(B434,'Orders Ledger'!$A:$A,'Orders Ledger'!$H:$H,""))</f>
        <v/>
      </c>
      <c r="F434" t="str">
        <f>IF(B434="","",_xlfn.XLOOKUP(B434,'Orders Ledger'!$A:$A,'Orders Ledger'!$F:$F,""))</f>
        <v/>
      </c>
      <c r="G434" t="str">
        <f>IF(B434="","",_xlfn.XLOOKUP(B434,'Orders Ledger'!$A:$A,'Orders Ledger'!$N:$N,0))</f>
        <v/>
      </c>
    </row>
    <row r="435" spans="2:7" x14ac:dyDescent="0.3">
      <c r="B435" t="str">
        <f t="array" ref="B435">IFERROR(INDEX('Orders Ledger'!$A$2:$A$1501, SMALL(IF(('Orders Ledger'!$J$2:$J$1501="disputed")+('Orders Ledger'!$J$2:$J$1501="PENDING_REVIEW"), ROW('Orders Ledger'!$A$2:$A$1501)-ROW('Orders Ledger'!$A$2)+1), ROW(377:377))), "")</f>
        <v/>
      </c>
      <c r="C435" s="11" t="str">
        <f>IF(B435="","",_xlfn.XLOOKUP(B435,'Orders Ledger'!$A:$A,'Orders Ledger'!$B:$B,""))</f>
        <v/>
      </c>
      <c r="D435" t="str">
        <f>IF(B435="","",_xlfn.XLOOKUP(B435,'Orders Ledger'!$A:$A,'Orders Ledger'!$G:$G,""))</f>
        <v/>
      </c>
      <c r="E435" t="str">
        <f>IF(B435="","",_xlfn.XLOOKUP(B435,'Orders Ledger'!$A:$A,'Orders Ledger'!$H:$H,""))</f>
        <v/>
      </c>
      <c r="F435" t="str">
        <f>IF(B435="","",_xlfn.XLOOKUP(B435,'Orders Ledger'!$A:$A,'Orders Ledger'!$F:$F,""))</f>
        <v/>
      </c>
      <c r="G435" t="str">
        <f>IF(B435="","",_xlfn.XLOOKUP(B435,'Orders Ledger'!$A:$A,'Orders Ledger'!$N:$N,0))</f>
        <v/>
      </c>
    </row>
    <row r="436" spans="2:7" x14ac:dyDescent="0.3">
      <c r="B436" t="str">
        <f t="array" ref="B436">IFERROR(INDEX('Orders Ledger'!$A$2:$A$1501, SMALL(IF(('Orders Ledger'!$J$2:$J$1501="disputed")+('Orders Ledger'!$J$2:$J$1501="PENDING_REVIEW"), ROW('Orders Ledger'!$A$2:$A$1501)-ROW('Orders Ledger'!$A$2)+1), ROW(378:378))), "")</f>
        <v/>
      </c>
      <c r="C436" s="11" t="str">
        <f>IF(B436="","",_xlfn.XLOOKUP(B436,'Orders Ledger'!$A:$A,'Orders Ledger'!$B:$B,""))</f>
        <v/>
      </c>
      <c r="D436" t="str">
        <f>IF(B436="","",_xlfn.XLOOKUP(B436,'Orders Ledger'!$A:$A,'Orders Ledger'!$G:$G,""))</f>
        <v/>
      </c>
      <c r="E436" t="str">
        <f>IF(B436="","",_xlfn.XLOOKUP(B436,'Orders Ledger'!$A:$A,'Orders Ledger'!$H:$H,""))</f>
        <v/>
      </c>
      <c r="F436" t="str">
        <f>IF(B436="","",_xlfn.XLOOKUP(B436,'Orders Ledger'!$A:$A,'Orders Ledger'!$F:$F,""))</f>
        <v/>
      </c>
      <c r="G436" t="str">
        <f>IF(B436="","",_xlfn.XLOOKUP(B436,'Orders Ledger'!$A:$A,'Orders Ledger'!$N:$N,0))</f>
        <v/>
      </c>
    </row>
    <row r="437" spans="2:7" x14ac:dyDescent="0.3">
      <c r="B437" t="str">
        <f t="array" ref="B437">IFERROR(INDEX('Orders Ledger'!$A$2:$A$1501, SMALL(IF(('Orders Ledger'!$J$2:$J$1501="disputed")+('Orders Ledger'!$J$2:$J$1501="PENDING_REVIEW"), ROW('Orders Ledger'!$A$2:$A$1501)-ROW('Orders Ledger'!$A$2)+1), ROW(379:379))), "")</f>
        <v/>
      </c>
      <c r="C437" s="11" t="str">
        <f>IF(B437="","",_xlfn.XLOOKUP(B437,'Orders Ledger'!$A:$A,'Orders Ledger'!$B:$B,""))</f>
        <v/>
      </c>
      <c r="D437" t="str">
        <f>IF(B437="","",_xlfn.XLOOKUP(B437,'Orders Ledger'!$A:$A,'Orders Ledger'!$G:$G,""))</f>
        <v/>
      </c>
      <c r="E437" t="str">
        <f>IF(B437="","",_xlfn.XLOOKUP(B437,'Orders Ledger'!$A:$A,'Orders Ledger'!$H:$H,""))</f>
        <v/>
      </c>
      <c r="F437" t="str">
        <f>IF(B437="","",_xlfn.XLOOKUP(B437,'Orders Ledger'!$A:$A,'Orders Ledger'!$F:$F,""))</f>
        <v/>
      </c>
      <c r="G437" t="str">
        <f>IF(B437="","",_xlfn.XLOOKUP(B437,'Orders Ledger'!$A:$A,'Orders Ledger'!$N:$N,0))</f>
        <v/>
      </c>
    </row>
    <row r="438" spans="2:7" x14ac:dyDescent="0.3">
      <c r="B438" t="str">
        <f t="array" ref="B438">IFERROR(INDEX('Orders Ledger'!$A$2:$A$1501, SMALL(IF(('Orders Ledger'!$J$2:$J$1501="disputed")+('Orders Ledger'!$J$2:$J$1501="PENDING_REVIEW"), ROW('Orders Ledger'!$A$2:$A$1501)-ROW('Orders Ledger'!$A$2)+1), ROW(380:380))), "")</f>
        <v/>
      </c>
      <c r="C438" s="11" t="str">
        <f>IF(B438="","",_xlfn.XLOOKUP(B438,'Orders Ledger'!$A:$A,'Orders Ledger'!$B:$B,""))</f>
        <v/>
      </c>
      <c r="D438" t="str">
        <f>IF(B438="","",_xlfn.XLOOKUP(B438,'Orders Ledger'!$A:$A,'Orders Ledger'!$G:$G,""))</f>
        <v/>
      </c>
      <c r="E438" t="str">
        <f>IF(B438="","",_xlfn.XLOOKUP(B438,'Orders Ledger'!$A:$A,'Orders Ledger'!$H:$H,""))</f>
        <v/>
      </c>
      <c r="F438" t="str">
        <f>IF(B438="","",_xlfn.XLOOKUP(B438,'Orders Ledger'!$A:$A,'Orders Ledger'!$F:$F,""))</f>
        <v/>
      </c>
      <c r="G438" t="str">
        <f>IF(B438="","",_xlfn.XLOOKUP(B438,'Orders Ledger'!$A:$A,'Orders Ledger'!$N:$N,0))</f>
        <v/>
      </c>
    </row>
    <row r="439" spans="2:7" x14ac:dyDescent="0.3">
      <c r="B439" t="str">
        <f t="array" ref="B439">IFERROR(INDEX('Orders Ledger'!$A$2:$A$1501, SMALL(IF(('Orders Ledger'!$J$2:$J$1501="disputed")+('Orders Ledger'!$J$2:$J$1501="PENDING_REVIEW"), ROW('Orders Ledger'!$A$2:$A$1501)-ROW('Orders Ledger'!$A$2)+1), ROW(381:381))), "")</f>
        <v/>
      </c>
      <c r="C439" s="11" t="str">
        <f>IF(B439="","",_xlfn.XLOOKUP(B439,'Orders Ledger'!$A:$A,'Orders Ledger'!$B:$B,""))</f>
        <v/>
      </c>
      <c r="D439" t="str">
        <f>IF(B439="","",_xlfn.XLOOKUP(B439,'Orders Ledger'!$A:$A,'Orders Ledger'!$G:$G,""))</f>
        <v/>
      </c>
      <c r="E439" t="str">
        <f>IF(B439="","",_xlfn.XLOOKUP(B439,'Orders Ledger'!$A:$A,'Orders Ledger'!$H:$H,""))</f>
        <v/>
      </c>
      <c r="F439" t="str">
        <f>IF(B439="","",_xlfn.XLOOKUP(B439,'Orders Ledger'!$A:$A,'Orders Ledger'!$F:$F,""))</f>
        <v/>
      </c>
      <c r="G439" t="str">
        <f>IF(B439="","",_xlfn.XLOOKUP(B439,'Orders Ledger'!$A:$A,'Orders Ledger'!$N:$N,0))</f>
        <v/>
      </c>
    </row>
    <row r="440" spans="2:7" x14ac:dyDescent="0.3">
      <c r="B440" t="str">
        <f t="array" ref="B440">IFERROR(INDEX('Orders Ledger'!$A$2:$A$1501, SMALL(IF(('Orders Ledger'!$J$2:$J$1501="disputed")+('Orders Ledger'!$J$2:$J$1501="PENDING_REVIEW"), ROW('Orders Ledger'!$A$2:$A$1501)-ROW('Orders Ledger'!$A$2)+1), ROW(382:382))), "")</f>
        <v/>
      </c>
      <c r="C440" s="11" t="str">
        <f>IF(B440="","",_xlfn.XLOOKUP(B440,'Orders Ledger'!$A:$A,'Orders Ledger'!$B:$B,""))</f>
        <v/>
      </c>
      <c r="D440" t="str">
        <f>IF(B440="","",_xlfn.XLOOKUP(B440,'Orders Ledger'!$A:$A,'Orders Ledger'!$G:$G,""))</f>
        <v/>
      </c>
      <c r="E440" t="str">
        <f>IF(B440="","",_xlfn.XLOOKUP(B440,'Orders Ledger'!$A:$A,'Orders Ledger'!$H:$H,""))</f>
        <v/>
      </c>
      <c r="F440" t="str">
        <f>IF(B440="","",_xlfn.XLOOKUP(B440,'Orders Ledger'!$A:$A,'Orders Ledger'!$F:$F,""))</f>
        <v/>
      </c>
      <c r="G440" t="str">
        <f>IF(B440="","",_xlfn.XLOOKUP(B440,'Orders Ledger'!$A:$A,'Orders Ledger'!$N:$N,0))</f>
        <v/>
      </c>
    </row>
    <row r="441" spans="2:7" x14ac:dyDescent="0.3">
      <c r="B441" t="str">
        <f t="array" ref="B441">IFERROR(INDEX('Orders Ledger'!$A$2:$A$1501, SMALL(IF(('Orders Ledger'!$J$2:$J$1501="disputed")+('Orders Ledger'!$J$2:$J$1501="PENDING_REVIEW"), ROW('Orders Ledger'!$A$2:$A$1501)-ROW('Orders Ledger'!$A$2)+1), ROW(383:383))), "")</f>
        <v/>
      </c>
      <c r="C441" s="11" t="str">
        <f>IF(B441="","",_xlfn.XLOOKUP(B441,'Orders Ledger'!$A:$A,'Orders Ledger'!$B:$B,""))</f>
        <v/>
      </c>
      <c r="D441" t="str">
        <f>IF(B441="","",_xlfn.XLOOKUP(B441,'Orders Ledger'!$A:$A,'Orders Ledger'!$G:$G,""))</f>
        <v/>
      </c>
      <c r="E441" t="str">
        <f>IF(B441="","",_xlfn.XLOOKUP(B441,'Orders Ledger'!$A:$A,'Orders Ledger'!$H:$H,""))</f>
        <v/>
      </c>
      <c r="F441" t="str">
        <f>IF(B441="","",_xlfn.XLOOKUP(B441,'Orders Ledger'!$A:$A,'Orders Ledger'!$F:$F,""))</f>
        <v/>
      </c>
      <c r="G441" t="str">
        <f>IF(B441="","",_xlfn.XLOOKUP(B441,'Orders Ledger'!$A:$A,'Orders Ledger'!$N:$N,0))</f>
        <v/>
      </c>
    </row>
    <row r="442" spans="2:7" x14ac:dyDescent="0.3">
      <c r="B442" t="str">
        <f t="array" ref="B442">IFERROR(INDEX('Orders Ledger'!$A$2:$A$1501, SMALL(IF(('Orders Ledger'!$J$2:$J$1501="disputed")+('Orders Ledger'!$J$2:$J$1501="PENDING_REVIEW"), ROW('Orders Ledger'!$A$2:$A$1501)-ROW('Orders Ledger'!$A$2)+1), ROW(384:384))), "")</f>
        <v/>
      </c>
      <c r="C442" s="11" t="str">
        <f>IF(B442="","",_xlfn.XLOOKUP(B442,'Orders Ledger'!$A:$A,'Orders Ledger'!$B:$B,""))</f>
        <v/>
      </c>
      <c r="D442" t="str">
        <f>IF(B442="","",_xlfn.XLOOKUP(B442,'Orders Ledger'!$A:$A,'Orders Ledger'!$G:$G,""))</f>
        <v/>
      </c>
      <c r="E442" t="str">
        <f>IF(B442="","",_xlfn.XLOOKUP(B442,'Orders Ledger'!$A:$A,'Orders Ledger'!$H:$H,""))</f>
        <v/>
      </c>
      <c r="F442" t="str">
        <f>IF(B442="","",_xlfn.XLOOKUP(B442,'Orders Ledger'!$A:$A,'Orders Ledger'!$F:$F,""))</f>
        <v/>
      </c>
      <c r="G442" t="str">
        <f>IF(B442="","",_xlfn.XLOOKUP(B442,'Orders Ledger'!$A:$A,'Orders Ledger'!$N:$N,0))</f>
        <v/>
      </c>
    </row>
    <row r="443" spans="2:7" x14ac:dyDescent="0.3">
      <c r="B443" t="str">
        <f t="array" ref="B443">IFERROR(INDEX('Orders Ledger'!$A$2:$A$1501, SMALL(IF(('Orders Ledger'!$J$2:$J$1501="disputed")+('Orders Ledger'!$J$2:$J$1501="PENDING_REVIEW"), ROW('Orders Ledger'!$A$2:$A$1501)-ROW('Orders Ledger'!$A$2)+1), ROW(385:385))), "")</f>
        <v/>
      </c>
      <c r="C443" s="11" t="str">
        <f>IF(B443="","",_xlfn.XLOOKUP(B443,'Orders Ledger'!$A:$A,'Orders Ledger'!$B:$B,""))</f>
        <v/>
      </c>
      <c r="D443" t="str">
        <f>IF(B443="","",_xlfn.XLOOKUP(B443,'Orders Ledger'!$A:$A,'Orders Ledger'!$G:$G,""))</f>
        <v/>
      </c>
      <c r="E443" t="str">
        <f>IF(B443="","",_xlfn.XLOOKUP(B443,'Orders Ledger'!$A:$A,'Orders Ledger'!$H:$H,""))</f>
        <v/>
      </c>
      <c r="F443" t="str">
        <f>IF(B443="","",_xlfn.XLOOKUP(B443,'Orders Ledger'!$A:$A,'Orders Ledger'!$F:$F,""))</f>
        <v/>
      </c>
      <c r="G443" t="str">
        <f>IF(B443="","",_xlfn.XLOOKUP(B443,'Orders Ledger'!$A:$A,'Orders Ledger'!$N:$N,0))</f>
        <v/>
      </c>
    </row>
    <row r="444" spans="2:7" x14ac:dyDescent="0.3">
      <c r="B444" t="str">
        <f t="array" ref="B444">IFERROR(INDEX('Orders Ledger'!$A$2:$A$1501, SMALL(IF(('Orders Ledger'!$J$2:$J$1501="disputed")+('Orders Ledger'!$J$2:$J$1501="PENDING_REVIEW"), ROW('Orders Ledger'!$A$2:$A$1501)-ROW('Orders Ledger'!$A$2)+1), ROW(386:386))), "")</f>
        <v/>
      </c>
      <c r="C444" s="11" t="str">
        <f>IF(B444="","",_xlfn.XLOOKUP(B444,'Orders Ledger'!$A:$A,'Orders Ledger'!$B:$B,""))</f>
        <v/>
      </c>
      <c r="D444" t="str">
        <f>IF(B444="","",_xlfn.XLOOKUP(B444,'Orders Ledger'!$A:$A,'Orders Ledger'!$G:$G,""))</f>
        <v/>
      </c>
      <c r="E444" t="str">
        <f>IF(B444="","",_xlfn.XLOOKUP(B444,'Orders Ledger'!$A:$A,'Orders Ledger'!$H:$H,""))</f>
        <v/>
      </c>
      <c r="F444" t="str">
        <f>IF(B444="","",_xlfn.XLOOKUP(B444,'Orders Ledger'!$A:$A,'Orders Ledger'!$F:$F,""))</f>
        <v/>
      </c>
      <c r="G444" t="str">
        <f>IF(B444="","",_xlfn.XLOOKUP(B444,'Orders Ledger'!$A:$A,'Orders Ledger'!$N:$N,0))</f>
        <v/>
      </c>
    </row>
    <row r="445" spans="2:7" x14ac:dyDescent="0.3">
      <c r="B445" t="str">
        <f t="array" ref="B445">IFERROR(INDEX('Orders Ledger'!$A$2:$A$1501, SMALL(IF(('Orders Ledger'!$J$2:$J$1501="disputed")+('Orders Ledger'!$J$2:$J$1501="PENDING_REVIEW"), ROW('Orders Ledger'!$A$2:$A$1501)-ROW('Orders Ledger'!$A$2)+1), ROW(387:387))), "")</f>
        <v/>
      </c>
      <c r="C445" s="11" t="str">
        <f>IF(B445="","",_xlfn.XLOOKUP(B445,'Orders Ledger'!$A:$A,'Orders Ledger'!$B:$B,""))</f>
        <v/>
      </c>
      <c r="D445" t="str">
        <f>IF(B445="","",_xlfn.XLOOKUP(B445,'Orders Ledger'!$A:$A,'Orders Ledger'!$G:$G,""))</f>
        <v/>
      </c>
      <c r="E445" t="str">
        <f>IF(B445="","",_xlfn.XLOOKUP(B445,'Orders Ledger'!$A:$A,'Orders Ledger'!$H:$H,""))</f>
        <v/>
      </c>
      <c r="F445" t="str">
        <f>IF(B445="","",_xlfn.XLOOKUP(B445,'Orders Ledger'!$A:$A,'Orders Ledger'!$F:$F,""))</f>
        <v/>
      </c>
      <c r="G445" t="str">
        <f>IF(B445="","",_xlfn.XLOOKUP(B445,'Orders Ledger'!$A:$A,'Orders Ledger'!$N:$N,0))</f>
        <v/>
      </c>
    </row>
    <row r="446" spans="2:7" x14ac:dyDescent="0.3">
      <c r="B446" t="str">
        <f t="array" ref="B446">IFERROR(INDEX('Orders Ledger'!$A$2:$A$1501, SMALL(IF(('Orders Ledger'!$J$2:$J$1501="disputed")+('Orders Ledger'!$J$2:$J$1501="PENDING_REVIEW"), ROW('Orders Ledger'!$A$2:$A$1501)-ROW('Orders Ledger'!$A$2)+1), ROW(388:388))), "")</f>
        <v/>
      </c>
      <c r="C446" s="11" t="str">
        <f>IF(B446="","",_xlfn.XLOOKUP(B446,'Orders Ledger'!$A:$A,'Orders Ledger'!$B:$B,""))</f>
        <v/>
      </c>
      <c r="D446" t="str">
        <f>IF(B446="","",_xlfn.XLOOKUP(B446,'Orders Ledger'!$A:$A,'Orders Ledger'!$G:$G,""))</f>
        <v/>
      </c>
      <c r="E446" t="str">
        <f>IF(B446="","",_xlfn.XLOOKUP(B446,'Orders Ledger'!$A:$A,'Orders Ledger'!$H:$H,""))</f>
        <v/>
      </c>
      <c r="F446" t="str">
        <f>IF(B446="","",_xlfn.XLOOKUP(B446,'Orders Ledger'!$A:$A,'Orders Ledger'!$F:$F,""))</f>
        <v/>
      </c>
      <c r="G446" t="str">
        <f>IF(B446="","",_xlfn.XLOOKUP(B446,'Orders Ledger'!$A:$A,'Orders Ledger'!$N:$N,0))</f>
        <v/>
      </c>
    </row>
    <row r="447" spans="2:7" x14ac:dyDescent="0.3">
      <c r="B447" t="str">
        <f t="array" ref="B447">IFERROR(INDEX('Orders Ledger'!$A$2:$A$1501, SMALL(IF(('Orders Ledger'!$J$2:$J$1501="disputed")+('Orders Ledger'!$J$2:$J$1501="PENDING_REVIEW"), ROW('Orders Ledger'!$A$2:$A$1501)-ROW('Orders Ledger'!$A$2)+1), ROW(389:389))), "")</f>
        <v/>
      </c>
      <c r="C447" s="11" t="str">
        <f>IF(B447="","",_xlfn.XLOOKUP(B447,'Orders Ledger'!$A:$A,'Orders Ledger'!$B:$B,""))</f>
        <v/>
      </c>
      <c r="D447" t="str">
        <f>IF(B447="","",_xlfn.XLOOKUP(B447,'Orders Ledger'!$A:$A,'Orders Ledger'!$G:$G,""))</f>
        <v/>
      </c>
      <c r="E447" t="str">
        <f>IF(B447="","",_xlfn.XLOOKUP(B447,'Orders Ledger'!$A:$A,'Orders Ledger'!$H:$H,""))</f>
        <v/>
      </c>
      <c r="F447" t="str">
        <f>IF(B447="","",_xlfn.XLOOKUP(B447,'Orders Ledger'!$A:$A,'Orders Ledger'!$F:$F,""))</f>
        <v/>
      </c>
      <c r="G447" t="str">
        <f>IF(B447="","",_xlfn.XLOOKUP(B447,'Orders Ledger'!$A:$A,'Orders Ledger'!$N:$N,0))</f>
        <v/>
      </c>
    </row>
    <row r="448" spans="2:7" x14ac:dyDescent="0.3">
      <c r="B448" t="str">
        <f t="array" ref="B448">IFERROR(INDEX('Orders Ledger'!$A$2:$A$1501, SMALL(IF(('Orders Ledger'!$J$2:$J$1501="disputed")+('Orders Ledger'!$J$2:$J$1501="PENDING_REVIEW"), ROW('Orders Ledger'!$A$2:$A$1501)-ROW('Orders Ledger'!$A$2)+1), ROW(390:390))), "")</f>
        <v/>
      </c>
      <c r="C448" s="11" t="str">
        <f>IF(B448="","",_xlfn.XLOOKUP(B448,'Orders Ledger'!$A:$A,'Orders Ledger'!$B:$B,""))</f>
        <v/>
      </c>
      <c r="D448" t="str">
        <f>IF(B448="","",_xlfn.XLOOKUP(B448,'Orders Ledger'!$A:$A,'Orders Ledger'!$G:$G,""))</f>
        <v/>
      </c>
      <c r="E448" t="str">
        <f>IF(B448="","",_xlfn.XLOOKUP(B448,'Orders Ledger'!$A:$A,'Orders Ledger'!$H:$H,""))</f>
        <v/>
      </c>
      <c r="F448" t="str">
        <f>IF(B448="","",_xlfn.XLOOKUP(B448,'Orders Ledger'!$A:$A,'Orders Ledger'!$F:$F,""))</f>
        <v/>
      </c>
      <c r="G448" t="str">
        <f>IF(B448="","",_xlfn.XLOOKUP(B448,'Orders Ledger'!$A:$A,'Orders Ledger'!$N:$N,0))</f>
        <v/>
      </c>
    </row>
    <row r="449" spans="2:7" x14ac:dyDescent="0.3">
      <c r="B449" t="str">
        <f t="array" ref="B449">IFERROR(INDEX('Orders Ledger'!$A$2:$A$1501, SMALL(IF(('Orders Ledger'!$J$2:$J$1501="disputed")+('Orders Ledger'!$J$2:$J$1501="PENDING_REVIEW"), ROW('Orders Ledger'!$A$2:$A$1501)-ROW('Orders Ledger'!$A$2)+1), ROW(391:391))), "")</f>
        <v/>
      </c>
      <c r="C449" s="11" t="str">
        <f>IF(B449="","",_xlfn.XLOOKUP(B449,'Orders Ledger'!$A:$A,'Orders Ledger'!$B:$B,""))</f>
        <v/>
      </c>
      <c r="D449" t="str">
        <f>IF(B449="","",_xlfn.XLOOKUP(B449,'Orders Ledger'!$A:$A,'Orders Ledger'!$G:$G,""))</f>
        <v/>
      </c>
      <c r="E449" t="str">
        <f>IF(B449="","",_xlfn.XLOOKUP(B449,'Orders Ledger'!$A:$A,'Orders Ledger'!$H:$H,""))</f>
        <v/>
      </c>
      <c r="F449" t="str">
        <f>IF(B449="","",_xlfn.XLOOKUP(B449,'Orders Ledger'!$A:$A,'Orders Ledger'!$F:$F,""))</f>
        <v/>
      </c>
      <c r="G449" t="str">
        <f>IF(B449="","",_xlfn.XLOOKUP(B449,'Orders Ledger'!$A:$A,'Orders Ledger'!$N:$N,0))</f>
        <v/>
      </c>
    </row>
    <row r="450" spans="2:7" x14ac:dyDescent="0.3">
      <c r="B450" t="str">
        <f t="array" ref="B450">IFERROR(INDEX('Orders Ledger'!$A$2:$A$1501, SMALL(IF(('Orders Ledger'!$J$2:$J$1501="disputed")+('Orders Ledger'!$J$2:$J$1501="PENDING_REVIEW"), ROW('Orders Ledger'!$A$2:$A$1501)-ROW('Orders Ledger'!$A$2)+1), ROW(392:392))), "")</f>
        <v/>
      </c>
      <c r="C450" s="11" t="str">
        <f>IF(B450="","",_xlfn.XLOOKUP(B450,'Orders Ledger'!$A:$A,'Orders Ledger'!$B:$B,""))</f>
        <v/>
      </c>
      <c r="D450" t="str">
        <f>IF(B450="","",_xlfn.XLOOKUP(B450,'Orders Ledger'!$A:$A,'Orders Ledger'!$G:$G,""))</f>
        <v/>
      </c>
      <c r="E450" t="str">
        <f>IF(B450="","",_xlfn.XLOOKUP(B450,'Orders Ledger'!$A:$A,'Orders Ledger'!$H:$H,""))</f>
        <v/>
      </c>
      <c r="F450" t="str">
        <f>IF(B450="","",_xlfn.XLOOKUP(B450,'Orders Ledger'!$A:$A,'Orders Ledger'!$F:$F,""))</f>
        <v/>
      </c>
      <c r="G450" t="str">
        <f>IF(B450="","",_xlfn.XLOOKUP(B450,'Orders Ledger'!$A:$A,'Orders Ledger'!$N:$N,0))</f>
        <v/>
      </c>
    </row>
    <row r="451" spans="2:7" x14ac:dyDescent="0.3">
      <c r="B451" t="str">
        <f t="array" ref="B451">IFERROR(INDEX('Orders Ledger'!$A$2:$A$1501, SMALL(IF(('Orders Ledger'!$J$2:$J$1501="disputed")+('Orders Ledger'!$J$2:$J$1501="PENDING_REVIEW"), ROW('Orders Ledger'!$A$2:$A$1501)-ROW('Orders Ledger'!$A$2)+1), ROW(393:393))), "")</f>
        <v/>
      </c>
      <c r="C451" s="11" t="str">
        <f>IF(B451="","",_xlfn.XLOOKUP(B451,'Orders Ledger'!$A:$A,'Orders Ledger'!$B:$B,""))</f>
        <v/>
      </c>
      <c r="D451" t="str">
        <f>IF(B451="","",_xlfn.XLOOKUP(B451,'Orders Ledger'!$A:$A,'Orders Ledger'!$G:$G,""))</f>
        <v/>
      </c>
      <c r="E451" t="str">
        <f>IF(B451="","",_xlfn.XLOOKUP(B451,'Orders Ledger'!$A:$A,'Orders Ledger'!$H:$H,""))</f>
        <v/>
      </c>
      <c r="F451" t="str">
        <f>IF(B451="","",_xlfn.XLOOKUP(B451,'Orders Ledger'!$A:$A,'Orders Ledger'!$F:$F,""))</f>
        <v/>
      </c>
      <c r="G451" t="str">
        <f>IF(B451="","",_xlfn.XLOOKUP(B451,'Orders Ledger'!$A:$A,'Orders Ledger'!$N:$N,0))</f>
        <v/>
      </c>
    </row>
    <row r="452" spans="2:7" x14ac:dyDescent="0.3">
      <c r="B452" t="str">
        <f t="array" ref="B452">IFERROR(INDEX('Orders Ledger'!$A$2:$A$1501, SMALL(IF(('Orders Ledger'!$J$2:$J$1501="disputed")+('Orders Ledger'!$J$2:$J$1501="PENDING_REVIEW"), ROW('Orders Ledger'!$A$2:$A$1501)-ROW('Orders Ledger'!$A$2)+1), ROW(394:394))), "")</f>
        <v/>
      </c>
      <c r="C452" s="11" t="str">
        <f>IF(B452="","",_xlfn.XLOOKUP(B452,'Orders Ledger'!$A:$A,'Orders Ledger'!$B:$B,""))</f>
        <v/>
      </c>
      <c r="D452" t="str">
        <f>IF(B452="","",_xlfn.XLOOKUP(B452,'Orders Ledger'!$A:$A,'Orders Ledger'!$G:$G,""))</f>
        <v/>
      </c>
      <c r="E452" t="str">
        <f>IF(B452="","",_xlfn.XLOOKUP(B452,'Orders Ledger'!$A:$A,'Orders Ledger'!$H:$H,""))</f>
        <v/>
      </c>
      <c r="F452" t="str">
        <f>IF(B452="","",_xlfn.XLOOKUP(B452,'Orders Ledger'!$A:$A,'Orders Ledger'!$F:$F,""))</f>
        <v/>
      </c>
      <c r="G452" t="str">
        <f>IF(B452="","",_xlfn.XLOOKUP(B452,'Orders Ledger'!$A:$A,'Orders Ledger'!$N:$N,0))</f>
        <v/>
      </c>
    </row>
    <row r="453" spans="2:7" x14ac:dyDescent="0.3">
      <c r="B453" t="str">
        <f t="array" ref="B453">IFERROR(INDEX('Orders Ledger'!$A$2:$A$1501, SMALL(IF(('Orders Ledger'!$J$2:$J$1501="disputed")+('Orders Ledger'!$J$2:$J$1501="PENDING_REVIEW"), ROW('Orders Ledger'!$A$2:$A$1501)-ROW('Orders Ledger'!$A$2)+1), ROW(395:395))), "")</f>
        <v/>
      </c>
      <c r="C453" s="11" t="str">
        <f>IF(B453="","",_xlfn.XLOOKUP(B453,'Orders Ledger'!$A:$A,'Orders Ledger'!$B:$B,""))</f>
        <v/>
      </c>
      <c r="D453" t="str">
        <f>IF(B453="","",_xlfn.XLOOKUP(B453,'Orders Ledger'!$A:$A,'Orders Ledger'!$G:$G,""))</f>
        <v/>
      </c>
      <c r="E453" t="str">
        <f>IF(B453="","",_xlfn.XLOOKUP(B453,'Orders Ledger'!$A:$A,'Orders Ledger'!$H:$H,""))</f>
        <v/>
      </c>
      <c r="F453" t="str">
        <f>IF(B453="","",_xlfn.XLOOKUP(B453,'Orders Ledger'!$A:$A,'Orders Ledger'!$F:$F,""))</f>
        <v/>
      </c>
      <c r="G453" t="str">
        <f>IF(B453="","",_xlfn.XLOOKUP(B453,'Orders Ledger'!$A:$A,'Orders Ledger'!$N:$N,0))</f>
        <v/>
      </c>
    </row>
    <row r="454" spans="2:7" x14ac:dyDescent="0.3">
      <c r="B454" t="str">
        <f t="array" ref="B454">IFERROR(INDEX('Orders Ledger'!$A$2:$A$1501, SMALL(IF(('Orders Ledger'!$J$2:$J$1501="disputed")+('Orders Ledger'!$J$2:$J$1501="PENDING_REVIEW"), ROW('Orders Ledger'!$A$2:$A$1501)-ROW('Orders Ledger'!$A$2)+1), ROW(396:396))), "")</f>
        <v/>
      </c>
      <c r="C454" s="11" t="str">
        <f>IF(B454="","",_xlfn.XLOOKUP(B454,'Orders Ledger'!$A:$A,'Orders Ledger'!$B:$B,""))</f>
        <v/>
      </c>
      <c r="D454" t="str">
        <f>IF(B454="","",_xlfn.XLOOKUP(B454,'Orders Ledger'!$A:$A,'Orders Ledger'!$G:$G,""))</f>
        <v/>
      </c>
      <c r="E454" t="str">
        <f>IF(B454="","",_xlfn.XLOOKUP(B454,'Orders Ledger'!$A:$A,'Orders Ledger'!$H:$H,""))</f>
        <v/>
      </c>
      <c r="F454" t="str">
        <f>IF(B454="","",_xlfn.XLOOKUP(B454,'Orders Ledger'!$A:$A,'Orders Ledger'!$F:$F,""))</f>
        <v/>
      </c>
      <c r="G454" t="str">
        <f>IF(B454="","",_xlfn.XLOOKUP(B454,'Orders Ledger'!$A:$A,'Orders Ledger'!$N:$N,0))</f>
        <v/>
      </c>
    </row>
    <row r="455" spans="2:7" x14ac:dyDescent="0.3">
      <c r="B455" t="str">
        <f t="array" ref="B455">IFERROR(INDEX('Orders Ledger'!$A$2:$A$1501, SMALL(IF(('Orders Ledger'!$J$2:$J$1501="disputed")+('Orders Ledger'!$J$2:$J$1501="PENDING_REVIEW"), ROW('Orders Ledger'!$A$2:$A$1501)-ROW('Orders Ledger'!$A$2)+1), ROW(397:397))), "")</f>
        <v/>
      </c>
      <c r="C455" s="11" t="str">
        <f>IF(B455="","",_xlfn.XLOOKUP(B455,'Orders Ledger'!$A:$A,'Orders Ledger'!$B:$B,""))</f>
        <v/>
      </c>
      <c r="D455" t="str">
        <f>IF(B455="","",_xlfn.XLOOKUP(B455,'Orders Ledger'!$A:$A,'Orders Ledger'!$G:$G,""))</f>
        <v/>
      </c>
      <c r="E455" t="str">
        <f>IF(B455="","",_xlfn.XLOOKUP(B455,'Orders Ledger'!$A:$A,'Orders Ledger'!$H:$H,""))</f>
        <v/>
      </c>
      <c r="F455" t="str">
        <f>IF(B455="","",_xlfn.XLOOKUP(B455,'Orders Ledger'!$A:$A,'Orders Ledger'!$F:$F,""))</f>
        <v/>
      </c>
      <c r="G455" t="str">
        <f>IF(B455="","",_xlfn.XLOOKUP(B455,'Orders Ledger'!$A:$A,'Orders Ledger'!$N:$N,0))</f>
        <v/>
      </c>
    </row>
    <row r="456" spans="2:7" x14ac:dyDescent="0.3">
      <c r="B456" t="str">
        <f t="array" ref="B456">IFERROR(INDEX('Orders Ledger'!$A$2:$A$1501, SMALL(IF(('Orders Ledger'!$J$2:$J$1501="disputed")+('Orders Ledger'!$J$2:$J$1501="PENDING_REVIEW"), ROW('Orders Ledger'!$A$2:$A$1501)-ROW('Orders Ledger'!$A$2)+1), ROW(398:398))), "")</f>
        <v/>
      </c>
      <c r="C456" s="11" t="str">
        <f>IF(B456="","",_xlfn.XLOOKUP(B456,'Orders Ledger'!$A:$A,'Orders Ledger'!$B:$B,""))</f>
        <v/>
      </c>
      <c r="D456" t="str">
        <f>IF(B456="","",_xlfn.XLOOKUP(B456,'Orders Ledger'!$A:$A,'Orders Ledger'!$G:$G,""))</f>
        <v/>
      </c>
      <c r="E456" t="str">
        <f>IF(B456="","",_xlfn.XLOOKUP(B456,'Orders Ledger'!$A:$A,'Orders Ledger'!$H:$H,""))</f>
        <v/>
      </c>
      <c r="F456" t="str">
        <f>IF(B456="","",_xlfn.XLOOKUP(B456,'Orders Ledger'!$A:$A,'Orders Ledger'!$F:$F,""))</f>
        <v/>
      </c>
      <c r="G456" t="str">
        <f>IF(B456="","",_xlfn.XLOOKUP(B456,'Orders Ledger'!$A:$A,'Orders Ledger'!$N:$N,0))</f>
        <v/>
      </c>
    </row>
    <row r="457" spans="2:7" x14ac:dyDescent="0.3">
      <c r="B457" t="str">
        <f t="array" ref="B457">IFERROR(INDEX('Orders Ledger'!$A$2:$A$1501, SMALL(IF(('Orders Ledger'!$J$2:$J$1501="disputed")+('Orders Ledger'!$J$2:$J$1501="PENDING_REVIEW"), ROW('Orders Ledger'!$A$2:$A$1501)-ROW('Orders Ledger'!$A$2)+1), ROW(399:399))), "")</f>
        <v/>
      </c>
      <c r="C457" s="11" t="str">
        <f>IF(B457="","",_xlfn.XLOOKUP(B457,'Orders Ledger'!$A:$A,'Orders Ledger'!$B:$B,""))</f>
        <v/>
      </c>
      <c r="D457" t="str">
        <f>IF(B457="","",_xlfn.XLOOKUP(B457,'Orders Ledger'!$A:$A,'Orders Ledger'!$G:$G,""))</f>
        <v/>
      </c>
      <c r="E457" t="str">
        <f>IF(B457="","",_xlfn.XLOOKUP(B457,'Orders Ledger'!$A:$A,'Orders Ledger'!$H:$H,""))</f>
        <v/>
      </c>
      <c r="F457" t="str">
        <f>IF(B457="","",_xlfn.XLOOKUP(B457,'Orders Ledger'!$A:$A,'Orders Ledger'!$F:$F,""))</f>
        <v/>
      </c>
      <c r="G457" t="str">
        <f>IF(B457="","",_xlfn.XLOOKUP(B457,'Orders Ledger'!$A:$A,'Orders Ledger'!$N:$N,0))</f>
        <v/>
      </c>
    </row>
    <row r="458" spans="2:7" x14ac:dyDescent="0.3">
      <c r="B458" t="str">
        <f t="array" ref="B458">IFERROR(INDEX('Orders Ledger'!$A$2:$A$1501, SMALL(IF(('Orders Ledger'!$J$2:$J$1501="disputed")+('Orders Ledger'!$J$2:$J$1501="PENDING_REVIEW"), ROW('Orders Ledger'!$A$2:$A$1501)-ROW('Orders Ledger'!$A$2)+1), ROW(400:400))), "")</f>
        <v/>
      </c>
      <c r="C458" s="11" t="str">
        <f>IF(B458="","",_xlfn.XLOOKUP(B458,'Orders Ledger'!$A:$A,'Orders Ledger'!$B:$B,""))</f>
        <v/>
      </c>
      <c r="D458" t="str">
        <f>IF(B458="","",_xlfn.XLOOKUP(B458,'Orders Ledger'!$A:$A,'Orders Ledger'!$G:$G,""))</f>
        <v/>
      </c>
      <c r="E458" t="str">
        <f>IF(B458="","",_xlfn.XLOOKUP(B458,'Orders Ledger'!$A:$A,'Orders Ledger'!$H:$H,""))</f>
        <v/>
      </c>
      <c r="F458" t="str">
        <f>IF(B458="","",_xlfn.XLOOKUP(B458,'Orders Ledger'!$A:$A,'Orders Ledger'!$F:$F,""))</f>
        <v/>
      </c>
      <c r="G458" t="str">
        <f>IF(B458="","",_xlfn.XLOOKUP(B458,'Orders Ledger'!$A:$A,'Orders Ledger'!$N:$N,0))</f>
        <v/>
      </c>
    </row>
    <row r="459" spans="2:7" x14ac:dyDescent="0.3">
      <c r="B459" t="str">
        <f t="array" ref="B459">IFERROR(INDEX('Orders Ledger'!$A$2:$A$1501, SMALL(IF(('Orders Ledger'!$J$2:$J$1501="disputed")+('Orders Ledger'!$J$2:$J$1501="PENDING_REVIEW"), ROW('Orders Ledger'!$A$2:$A$1501)-ROW('Orders Ledger'!$A$2)+1), ROW(401:401))), "")</f>
        <v/>
      </c>
      <c r="C459" s="11" t="str">
        <f>IF(B459="","",_xlfn.XLOOKUP(B459,'Orders Ledger'!$A:$A,'Orders Ledger'!$B:$B,""))</f>
        <v/>
      </c>
      <c r="D459" t="str">
        <f>IF(B459="","",_xlfn.XLOOKUP(B459,'Orders Ledger'!$A:$A,'Orders Ledger'!$G:$G,""))</f>
        <v/>
      </c>
      <c r="E459" t="str">
        <f>IF(B459="","",_xlfn.XLOOKUP(B459,'Orders Ledger'!$A:$A,'Orders Ledger'!$H:$H,""))</f>
        <v/>
      </c>
      <c r="F459" t="str">
        <f>IF(B459="","",_xlfn.XLOOKUP(B459,'Orders Ledger'!$A:$A,'Orders Ledger'!$F:$F,""))</f>
        <v/>
      </c>
      <c r="G459" t="str">
        <f>IF(B459="","",_xlfn.XLOOKUP(B459,'Orders Ledger'!$A:$A,'Orders Ledger'!$N:$N,0))</f>
        <v/>
      </c>
    </row>
    <row r="460" spans="2:7" x14ac:dyDescent="0.3">
      <c r="B460" t="str">
        <f t="array" ref="B460">IFERROR(INDEX('Orders Ledger'!$A$2:$A$1501, SMALL(IF(('Orders Ledger'!$J$2:$J$1501="disputed")+('Orders Ledger'!$J$2:$J$1501="PENDING_REVIEW"), ROW('Orders Ledger'!$A$2:$A$1501)-ROW('Orders Ledger'!$A$2)+1), ROW(402:402))), "")</f>
        <v/>
      </c>
      <c r="C460" s="11" t="str">
        <f>IF(B460="","",_xlfn.XLOOKUP(B460,'Orders Ledger'!$A:$A,'Orders Ledger'!$B:$B,""))</f>
        <v/>
      </c>
      <c r="D460" t="str">
        <f>IF(B460="","",_xlfn.XLOOKUP(B460,'Orders Ledger'!$A:$A,'Orders Ledger'!$G:$G,""))</f>
        <v/>
      </c>
      <c r="E460" t="str">
        <f>IF(B460="","",_xlfn.XLOOKUP(B460,'Orders Ledger'!$A:$A,'Orders Ledger'!$H:$H,""))</f>
        <v/>
      </c>
      <c r="F460" t="str">
        <f>IF(B460="","",_xlfn.XLOOKUP(B460,'Orders Ledger'!$A:$A,'Orders Ledger'!$F:$F,""))</f>
        <v/>
      </c>
      <c r="G460" t="str">
        <f>IF(B460="","",_xlfn.XLOOKUP(B460,'Orders Ledger'!$A:$A,'Orders Ledger'!$N:$N,0))</f>
        <v/>
      </c>
    </row>
    <row r="461" spans="2:7" x14ac:dyDescent="0.3">
      <c r="B461" t="str">
        <f t="array" ref="B461">IFERROR(INDEX('Orders Ledger'!$A$2:$A$1501, SMALL(IF(('Orders Ledger'!$J$2:$J$1501="disputed")+('Orders Ledger'!$J$2:$J$1501="PENDING_REVIEW"), ROW('Orders Ledger'!$A$2:$A$1501)-ROW('Orders Ledger'!$A$2)+1), ROW(403:403))), "")</f>
        <v/>
      </c>
      <c r="C461" s="11" t="str">
        <f>IF(B461="","",_xlfn.XLOOKUP(B461,'Orders Ledger'!$A:$A,'Orders Ledger'!$B:$B,""))</f>
        <v/>
      </c>
      <c r="D461" t="str">
        <f>IF(B461="","",_xlfn.XLOOKUP(B461,'Orders Ledger'!$A:$A,'Orders Ledger'!$G:$G,""))</f>
        <v/>
      </c>
      <c r="E461" t="str">
        <f>IF(B461="","",_xlfn.XLOOKUP(B461,'Orders Ledger'!$A:$A,'Orders Ledger'!$H:$H,""))</f>
        <v/>
      </c>
      <c r="F461" t="str">
        <f>IF(B461="","",_xlfn.XLOOKUP(B461,'Orders Ledger'!$A:$A,'Orders Ledger'!$F:$F,""))</f>
        <v/>
      </c>
      <c r="G461" t="str">
        <f>IF(B461="","",_xlfn.XLOOKUP(B461,'Orders Ledger'!$A:$A,'Orders Ledger'!$N:$N,0))</f>
        <v/>
      </c>
    </row>
    <row r="462" spans="2:7" x14ac:dyDescent="0.3">
      <c r="B462" t="str">
        <f t="array" ref="B462">IFERROR(INDEX('Orders Ledger'!$A$2:$A$1501, SMALL(IF(('Orders Ledger'!$J$2:$J$1501="disputed")+('Orders Ledger'!$J$2:$J$1501="PENDING_REVIEW"), ROW('Orders Ledger'!$A$2:$A$1501)-ROW('Orders Ledger'!$A$2)+1), ROW(404:404))), "")</f>
        <v/>
      </c>
      <c r="C462" s="11" t="str">
        <f>IF(B462="","",_xlfn.XLOOKUP(B462,'Orders Ledger'!$A:$A,'Orders Ledger'!$B:$B,""))</f>
        <v/>
      </c>
      <c r="D462" t="str">
        <f>IF(B462="","",_xlfn.XLOOKUP(B462,'Orders Ledger'!$A:$A,'Orders Ledger'!$G:$G,""))</f>
        <v/>
      </c>
      <c r="E462" t="str">
        <f>IF(B462="","",_xlfn.XLOOKUP(B462,'Orders Ledger'!$A:$A,'Orders Ledger'!$H:$H,""))</f>
        <v/>
      </c>
      <c r="F462" t="str">
        <f>IF(B462="","",_xlfn.XLOOKUP(B462,'Orders Ledger'!$A:$A,'Orders Ledger'!$F:$F,""))</f>
        <v/>
      </c>
      <c r="G462" t="str">
        <f>IF(B462="","",_xlfn.XLOOKUP(B462,'Orders Ledger'!$A:$A,'Orders Ledger'!$N:$N,0))</f>
        <v/>
      </c>
    </row>
    <row r="463" spans="2:7" x14ac:dyDescent="0.3">
      <c r="B463" t="str">
        <f t="array" ref="B463">IFERROR(INDEX('Orders Ledger'!$A$2:$A$1501, SMALL(IF(('Orders Ledger'!$J$2:$J$1501="disputed")+('Orders Ledger'!$J$2:$J$1501="PENDING_REVIEW"), ROW('Orders Ledger'!$A$2:$A$1501)-ROW('Orders Ledger'!$A$2)+1), ROW(405:405))), "")</f>
        <v/>
      </c>
      <c r="C463" s="11" t="str">
        <f>IF(B463="","",_xlfn.XLOOKUP(B463,'Orders Ledger'!$A:$A,'Orders Ledger'!$B:$B,""))</f>
        <v/>
      </c>
      <c r="D463" t="str">
        <f>IF(B463="","",_xlfn.XLOOKUP(B463,'Orders Ledger'!$A:$A,'Orders Ledger'!$G:$G,""))</f>
        <v/>
      </c>
      <c r="E463" t="str">
        <f>IF(B463="","",_xlfn.XLOOKUP(B463,'Orders Ledger'!$A:$A,'Orders Ledger'!$H:$H,""))</f>
        <v/>
      </c>
      <c r="F463" t="str">
        <f>IF(B463="","",_xlfn.XLOOKUP(B463,'Orders Ledger'!$A:$A,'Orders Ledger'!$F:$F,""))</f>
        <v/>
      </c>
      <c r="G463" t="str">
        <f>IF(B463="","",_xlfn.XLOOKUP(B463,'Orders Ledger'!$A:$A,'Orders Ledger'!$N:$N,0))</f>
        <v/>
      </c>
    </row>
    <row r="464" spans="2:7" x14ac:dyDescent="0.3">
      <c r="B464" t="str">
        <f t="array" ref="B464">IFERROR(INDEX('Orders Ledger'!$A$2:$A$1501, SMALL(IF(('Orders Ledger'!$J$2:$J$1501="disputed")+('Orders Ledger'!$J$2:$J$1501="PENDING_REVIEW"), ROW('Orders Ledger'!$A$2:$A$1501)-ROW('Orders Ledger'!$A$2)+1), ROW(406:406))), "")</f>
        <v/>
      </c>
      <c r="C464" s="11" t="str">
        <f>IF(B464="","",_xlfn.XLOOKUP(B464,'Orders Ledger'!$A:$A,'Orders Ledger'!$B:$B,""))</f>
        <v/>
      </c>
      <c r="D464" t="str">
        <f>IF(B464="","",_xlfn.XLOOKUP(B464,'Orders Ledger'!$A:$A,'Orders Ledger'!$G:$G,""))</f>
        <v/>
      </c>
      <c r="E464" t="str">
        <f>IF(B464="","",_xlfn.XLOOKUP(B464,'Orders Ledger'!$A:$A,'Orders Ledger'!$H:$H,""))</f>
        <v/>
      </c>
      <c r="F464" t="str">
        <f>IF(B464="","",_xlfn.XLOOKUP(B464,'Orders Ledger'!$A:$A,'Orders Ledger'!$F:$F,""))</f>
        <v/>
      </c>
      <c r="G464" t="str">
        <f>IF(B464="","",_xlfn.XLOOKUP(B464,'Orders Ledger'!$A:$A,'Orders Ledger'!$N:$N,0))</f>
        <v/>
      </c>
    </row>
    <row r="465" spans="2:7" x14ac:dyDescent="0.3">
      <c r="B465" t="str">
        <f t="array" ref="B465">IFERROR(INDEX('Orders Ledger'!$A$2:$A$1501, SMALL(IF(('Orders Ledger'!$J$2:$J$1501="disputed")+('Orders Ledger'!$J$2:$J$1501="PENDING_REVIEW"), ROW('Orders Ledger'!$A$2:$A$1501)-ROW('Orders Ledger'!$A$2)+1), ROW(407:407))), "")</f>
        <v/>
      </c>
      <c r="C465" s="11" t="str">
        <f>IF(B465="","",_xlfn.XLOOKUP(B465,'Orders Ledger'!$A:$A,'Orders Ledger'!$B:$B,""))</f>
        <v/>
      </c>
      <c r="D465" t="str">
        <f>IF(B465="","",_xlfn.XLOOKUP(B465,'Orders Ledger'!$A:$A,'Orders Ledger'!$G:$G,""))</f>
        <v/>
      </c>
      <c r="E465" t="str">
        <f>IF(B465="","",_xlfn.XLOOKUP(B465,'Orders Ledger'!$A:$A,'Orders Ledger'!$H:$H,""))</f>
        <v/>
      </c>
      <c r="F465" t="str">
        <f>IF(B465="","",_xlfn.XLOOKUP(B465,'Orders Ledger'!$A:$A,'Orders Ledger'!$F:$F,""))</f>
        <v/>
      </c>
      <c r="G465" t="str">
        <f>IF(B465="","",_xlfn.XLOOKUP(B465,'Orders Ledger'!$A:$A,'Orders Ledger'!$N:$N,0))</f>
        <v/>
      </c>
    </row>
    <row r="466" spans="2:7" x14ac:dyDescent="0.3">
      <c r="B466" t="str">
        <f t="array" ref="B466">IFERROR(INDEX('Orders Ledger'!$A$2:$A$1501, SMALL(IF(('Orders Ledger'!$J$2:$J$1501="disputed")+('Orders Ledger'!$J$2:$J$1501="PENDING_REVIEW"), ROW('Orders Ledger'!$A$2:$A$1501)-ROW('Orders Ledger'!$A$2)+1), ROW(408:408))), "")</f>
        <v/>
      </c>
      <c r="C466" s="11" t="str">
        <f>IF(B466="","",_xlfn.XLOOKUP(B466,'Orders Ledger'!$A:$A,'Orders Ledger'!$B:$B,""))</f>
        <v/>
      </c>
      <c r="D466" t="str">
        <f>IF(B466="","",_xlfn.XLOOKUP(B466,'Orders Ledger'!$A:$A,'Orders Ledger'!$G:$G,""))</f>
        <v/>
      </c>
      <c r="E466" t="str">
        <f>IF(B466="","",_xlfn.XLOOKUP(B466,'Orders Ledger'!$A:$A,'Orders Ledger'!$H:$H,""))</f>
        <v/>
      </c>
      <c r="F466" t="str">
        <f>IF(B466="","",_xlfn.XLOOKUP(B466,'Orders Ledger'!$A:$A,'Orders Ledger'!$F:$F,""))</f>
        <v/>
      </c>
      <c r="G466" t="str">
        <f>IF(B466="","",_xlfn.XLOOKUP(B466,'Orders Ledger'!$A:$A,'Orders Ledger'!$N:$N,0))</f>
        <v/>
      </c>
    </row>
    <row r="467" spans="2:7" x14ac:dyDescent="0.3">
      <c r="B467" t="str">
        <f t="array" ref="B467">IFERROR(INDEX('Orders Ledger'!$A$2:$A$1501, SMALL(IF(('Orders Ledger'!$J$2:$J$1501="disputed")+('Orders Ledger'!$J$2:$J$1501="PENDING_REVIEW"), ROW('Orders Ledger'!$A$2:$A$1501)-ROW('Orders Ledger'!$A$2)+1), ROW(409:409))), "")</f>
        <v/>
      </c>
      <c r="C467" s="11" t="str">
        <f>IF(B467="","",_xlfn.XLOOKUP(B467,'Orders Ledger'!$A:$A,'Orders Ledger'!$B:$B,""))</f>
        <v/>
      </c>
      <c r="D467" t="str">
        <f>IF(B467="","",_xlfn.XLOOKUP(B467,'Orders Ledger'!$A:$A,'Orders Ledger'!$G:$G,""))</f>
        <v/>
      </c>
      <c r="E467" t="str">
        <f>IF(B467="","",_xlfn.XLOOKUP(B467,'Orders Ledger'!$A:$A,'Orders Ledger'!$H:$H,""))</f>
        <v/>
      </c>
      <c r="F467" t="str">
        <f>IF(B467="","",_xlfn.XLOOKUP(B467,'Orders Ledger'!$A:$A,'Orders Ledger'!$F:$F,""))</f>
        <v/>
      </c>
      <c r="G467" t="str">
        <f>IF(B467="","",_xlfn.XLOOKUP(B467,'Orders Ledger'!$A:$A,'Orders Ledger'!$N:$N,0))</f>
        <v/>
      </c>
    </row>
    <row r="468" spans="2:7" x14ac:dyDescent="0.3">
      <c r="B468" t="str">
        <f t="array" ref="B468">IFERROR(INDEX('Orders Ledger'!$A$2:$A$1501, SMALL(IF(('Orders Ledger'!$J$2:$J$1501="disputed")+('Orders Ledger'!$J$2:$J$1501="PENDING_REVIEW"), ROW('Orders Ledger'!$A$2:$A$1501)-ROW('Orders Ledger'!$A$2)+1), ROW(410:410))), "")</f>
        <v/>
      </c>
      <c r="C468" s="11" t="str">
        <f>IF(B468="","",_xlfn.XLOOKUP(B468,'Orders Ledger'!$A:$A,'Orders Ledger'!$B:$B,""))</f>
        <v/>
      </c>
      <c r="D468" t="str">
        <f>IF(B468="","",_xlfn.XLOOKUP(B468,'Orders Ledger'!$A:$A,'Orders Ledger'!$G:$G,""))</f>
        <v/>
      </c>
      <c r="E468" t="str">
        <f>IF(B468="","",_xlfn.XLOOKUP(B468,'Orders Ledger'!$A:$A,'Orders Ledger'!$H:$H,""))</f>
        <v/>
      </c>
      <c r="F468" t="str">
        <f>IF(B468="","",_xlfn.XLOOKUP(B468,'Orders Ledger'!$A:$A,'Orders Ledger'!$F:$F,""))</f>
        <v/>
      </c>
      <c r="G468" t="str">
        <f>IF(B468="","",_xlfn.XLOOKUP(B468,'Orders Ledger'!$A:$A,'Orders Ledger'!$N:$N,0))</f>
        <v/>
      </c>
    </row>
    <row r="469" spans="2:7" x14ac:dyDescent="0.3">
      <c r="B469" t="str">
        <f t="array" ref="B469">IFERROR(INDEX('Orders Ledger'!$A$2:$A$1501, SMALL(IF(('Orders Ledger'!$J$2:$J$1501="disputed")+('Orders Ledger'!$J$2:$J$1501="PENDING_REVIEW"), ROW('Orders Ledger'!$A$2:$A$1501)-ROW('Orders Ledger'!$A$2)+1), ROW(411:411))), "")</f>
        <v/>
      </c>
      <c r="C469" s="11" t="str">
        <f>IF(B469="","",_xlfn.XLOOKUP(B469,'Orders Ledger'!$A:$A,'Orders Ledger'!$B:$B,""))</f>
        <v/>
      </c>
      <c r="D469" t="str">
        <f>IF(B469="","",_xlfn.XLOOKUP(B469,'Orders Ledger'!$A:$A,'Orders Ledger'!$G:$G,""))</f>
        <v/>
      </c>
      <c r="E469" t="str">
        <f>IF(B469="","",_xlfn.XLOOKUP(B469,'Orders Ledger'!$A:$A,'Orders Ledger'!$H:$H,""))</f>
        <v/>
      </c>
      <c r="F469" t="str">
        <f>IF(B469="","",_xlfn.XLOOKUP(B469,'Orders Ledger'!$A:$A,'Orders Ledger'!$F:$F,""))</f>
        <v/>
      </c>
      <c r="G469" t="str">
        <f>IF(B469="","",_xlfn.XLOOKUP(B469,'Orders Ledger'!$A:$A,'Orders Ledger'!$N:$N,0))</f>
        <v/>
      </c>
    </row>
    <row r="470" spans="2:7" x14ac:dyDescent="0.3">
      <c r="B470" t="str">
        <f t="array" ref="B470">IFERROR(INDEX('Orders Ledger'!$A$2:$A$1501, SMALL(IF(('Orders Ledger'!$J$2:$J$1501="disputed")+('Orders Ledger'!$J$2:$J$1501="PENDING_REVIEW"), ROW('Orders Ledger'!$A$2:$A$1501)-ROW('Orders Ledger'!$A$2)+1), ROW(412:412))), "")</f>
        <v/>
      </c>
      <c r="C470" s="11" t="str">
        <f>IF(B470="","",_xlfn.XLOOKUP(B470,'Orders Ledger'!$A:$A,'Orders Ledger'!$B:$B,""))</f>
        <v/>
      </c>
      <c r="D470" t="str">
        <f>IF(B470="","",_xlfn.XLOOKUP(B470,'Orders Ledger'!$A:$A,'Orders Ledger'!$G:$G,""))</f>
        <v/>
      </c>
      <c r="E470" t="str">
        <f>IF(B470="","",_xlfn.XLOOKUP(B470,'Orders Ledger'!$A:$A,'Orders Ledger'!$H:$H,""))</f>
        <v/>
      </c>
      <c r="F470" t="str">
        <f>IF(B470="","",_xlfn.XLOOKUP(B470,'Orders Ledger'!$A:$A,'Orders Ledger'!$F:$F,""))</f>
        <v/>
      </c>
      <c r="G470" t="str">
        <f>IF(B470="","",_xlfn.XLOOKUP(B470,'Orders Ledger'!$A:$A,'Orders Ledger'!$N:$N,0))</f>
        <v/>
      </c>
    </row>
    <row r="471" spans="2:7" x14ac:dyDescent="0.3">
      <c r="B471" t="str">
        <f t="array" ref="B471">IFERROR(INDEX('Orders Ledger'!$A$2:$A$1501, SMALL(IF(('Orders Ledger'!$J$2:$J$1501="disputed")+('Orders Ledger'!$J$2:$J$1501="PENDING_REVIEW"), ROW('Orders Ledger'!$A$2:$A$1501)-ROW('Orders Ledger'!$A$2)+1), ROW(413:413))), "")</f>
        <v/>
      </c>
      <c r="C471" s="11" t="str">
        <f>IF(B471="","",_xlfn.XLOOKUP(B471,'Orders Ledger'!$A:$A,'Orders Ledger'!$B:$B,""))</f>
        <v/>
      </c>
      <c r="D471" t="str">
        <f>IF(B471="","",_xlfn.XLOOKUP(B471,'Orders Ledger'!$A:$A,'Orders Ledger'!$G:$G,""))</f>
        <v/>
      </c>
      <c r="E471" t="str">
        <f>IF(B471="","",_xlfn.XLOOKUP(B471,'Orders Ledger'!$A:$A,'Orders Ledger'!$H:$H,""))</f>
        <v/>
      </c>
      <c r="F471" t="str">
        <f>IF(B471="","",_xlfn.XLOOKUP(B471,'Orders Ledger'!$A:$A,'Orders Ledger'!$F:$F,""))</f>
        <v/>
      </c>
      <c r="G471" t="str">
        <f>IF(B471="","",_xlfn.XLOOKUP(B471,'Orders Ledger'!$A:$A,'Orders Ledger'!$N:$N,0))</f>
        <v/>
      </c>
    </row>
    <row r="472" spans="2:7" x14ac:dyDescent="0.3">
      <c r="B472" t="str">
        <f t="array" ref="B472">IFERROR(INDEX('Orders Ledger'!$A$2:$A$1501, SMALL(IF(('Orders Ledger'!$J$2:$J$1501="disputed")+('Orders Ledger'!$J$2:$J$1501="PENDING_REVIEW"), ROW('Orders Ledger'!$A$2:$A$1501)-ROW('Orders Ledger'!$A$2)+1), ROW(414:414))), "")</f>
        <v/>
      </c>
      <c r="C472" s="11" t="str">
        <f>IF(B472="","",_xlfn.XLOOKUP(B472,'Orders Ledger'!$A:$A,'Orders Ledger'!$B:$B,""))</f>
        <v/>
      </c>
      <c r="D472" t="str">
        <f>IF(B472="","",_xlfn.XLOOKUP(B472,'Orders Ledger'!$A:$A,'Orders Ledger'!$G:$G,""))</f>
        <v/>
      </c>
      <c r="E472" t="str">
        <f>IF(B472="","",_xlfn.XLOOKUP(B472,'Orders Ledger'!$A:$A,'Orders Ledger'!$H:$H,""))</f>
        <v/>
      </c>
      <c r="F472" t="str">
        <f>IF(B472="","",_xlfn.XLOOKUP(B472,'Orders Ledger'!$A:$A,'Orders Ledger'!$F:$F,""))</f>
        <v/>
      </c>
      <c r="G472" t="str">
        <f>IF(B472="","",_xlfn.XLOOKUP(B472,'Orders Ledger'!$A:$A,'Orders Ledger'!$N:$N,0))</f>
        <v/>
      </c>
    </row>
    <row r="473" spans="2:7" x14ac:dyDescent="0.3">
      <c r="B473" t="str">
        <f t="array" ref="B473">IFERROR(INDEX('Orders Ledger'!$A$2:$A$1501, SMALL(IF(('Orders Ledger'!$J$2:$J$1501="disputed")+('Orders Ledger'!$J$2:$J$1501="PENDING_REVIEW"), ROW('Orders Ledger'!$A$2:$A$1501)-ROW('Orders Ledger'!$A$2)+1), ROW(415:415))), "")</f>
        <v/>
      </c>
      <c r="C473" s="11" t="str">
        <f>IF(B473="","",_xlfn.XLOOKUP(B473,'Orders Ledger'!$A:$A,'Orders Ledger'!$B:$B,""))</f>
        <v/>
      </c>
      <c r="D473" t="str">
        <f>IF(B473="","",_xlfn.XLOOKUP(B473,'Orders Ledger'!$A:$A,'Orders Ledger'!$G:$G,""))</f>
        <v/>
      </c>
      <c r="E473" t="str">
        <f>IF(B473="","",_xlfn.XLOOKUP(B473,'Orders Ledger'!$A:$A,'Orders Ledger'!$H:$H,""))</f>
        <v/>
      </c>
      <c r="F473" t="str">
        <f>IF(B473="","",_xlfn.XLOOKUP(B473,'Orders Ledger'!$A:$A,'Orders Ledger'!$F:$F,""))</f>
        <v/>
      </c>
      <c r="G473" t="str">
        <f>IF(B473="","",_xlfn.XLOOKUP(B473,'Orders Ledger'!$A:$A,'Orders Ledger'!$N:$N,0))</f>
        <v/>
      </c>
    </row>
    <row r="474" spans="2:7" x14ac:dyDescent="0.3">
      <c r="B474" t="str">
        <f t="array" ref="B474">IFERROR(INDEX('Orders Ledger'!$A$2:$A$1501, SMALL(IF(('Orders Ledger'!$J$2:$J$1501="disputed")+('Orders Ledger'!$J$2:$J$1501="PENDING_REVIEW"), ROW('Orders Ledger'!$A$2:$A$1501)-ROW('Orders Ledger'!$A$2)+1), ROW(416:416))), "")</f>
        <v/>
      </c>
      <c r="C474" s="11" t="str">
        <f>IF(B474="","",_xlfn.XLOOKUP(B474,'Orders Ledger'!$A:$A,'Orders Ledger'!$B:$B,""))</f>
        <v/>
      </c>
      <c r="D474" t="str">
        <f>IF(B474="","",_xlfn.XLOOKUP(B474,'Orders Ledger'!$A:$A,'Orders Ledger'!$G:$G,""))</f>
        <v/>
      </c>
      <c r="E474" t="str">
        <f>IF(B474="","",_xlfn.XLOOKUP(B474,'Orders Ledger'!$A:$A,'Orders Ledger'!$H:$H,""))</f>
        <v/>
      </c>
      <c r="F474" t="str">
        <f>IF(B474="","",_xlfn.XLOOKUP(B474,'Orders Ledger'!$A:$A,'Orders Ledger'!$F:$F,""))</f>
        <v/>
      </c>
      <c r="G474" t="str">
        <f>IF(B474="","",_xlfn.XLOOKUP(B474,'Orders Ledger'!$A:$A,'Orders Ledger'!$N:$N,0))</f>
        <v/>
      </c>
    </row>
    <row r="475" spans="2:7" x14ac:dyDescent="0.3">
      <c r="B475" t="str">
        <f t="array" ref="B475">IFERROR(INDEX('Orders Ledger'!$A$2:$A$1501, SMALL(IF(('Orders Ledger'!$J$2:$J$1501="disputed")+('Orders Ledger'!$J$2:$J$1501="PENDING_REVIEW"), ROW('Orders Ledger'!$A$2:$A$1501)-ROW('Orders Ledger'!$A$2)+1), ROW(417:417))), "")</f>
        <v/>
      </c>
      <c r="C475" s="11" t="str">
        <f>IF(B475="","",_xlfn.XLOOKUP(B475,'Orders Ledger'!$A:$A,'Orders Ledger'!$B:$B,""))</f>
        <v/>
      </c>
      <c r="D475" t="str">
        <f>IF(B475="","",_xlfn.XLOOKUP(B475,'Orders Ledger'!$A:$A,'Orders Ledger'!$G:$G,""))</f>
        <v/>
      </c>
      <c r="E475" t="str">
        <f>IF(B475="","",_xlfn.XLOOKUP(B475,'Orders Ledger'!$A:$A,'Orders Ledger'!$H:$H,""))</f>
        <v/>
      </c>
      <c r="F475" t="str">
        <f>IF(B475="","",_xlfn.XLOOKUP(B475,'Orders Ledger'!$A:$A,'Orders Ledger'!$F:$F,""))</f>
        <v/>
      </c>
      <c r="G475" t="str">
        <f>IF(B475="","",_xlfn.XLOOKUP(B475,'Orders Ledger'!$A:$A,'Orders Ledger'!$N:$N,0))</f>
        <v/>
      </c>
    </row>
    <row r="476" spans="2:7" x14ac:dyDescent="0.3">
      <c r="B476" t="str">
        <f t="array" ref="B476">IFERROR(INDEX('Orders Ledger'!$A$2:$A$1501, SMALL(IF(('Orders Ledger'!$J$2:$J$1501="disputed")+('Orders Ledger'!$J$2:$J$1501="PENDING_REVIEW"), ROW('Orders Ledger'!$A$2:$A$1501)-ROW('Orders Ledger'!$A$2)+1), ROW(418:418))), "")</f>
        <v/>
      </c>
      <c r="C476" s="11" t="str">
        <f>IF(B476="","",_xlfn.XLOOKUP(B476,'Orders Ledger'!$A:$A,'Orders Ledger'!$B:$B,""))</f>
        <v/>
      </c>
      <c r="D476" t="str">
        <f>IF(B476="","",_xlfn.XLOOKUP(B476,'Orders Ledger'!$A:$A,'Orders Ledger'!$G:$G,""))</f>
        <v/>
      </c>
      <c r="E476" t="str">
        <f>IF(B476="","",_xlfn.XLOOKUP(B476,'Orders Ledger'!$A:$A,'Orders Ledger'!$H:$H,""))</f>
        <v/>
      </c>
      <c r="F476" t="str">
        <f>IF(B476="","",_xlfn.XLOOKUP(B476,'Orders Ledger'!$A:$A,'Orders Ledger'!$F:$F,""))</f>
        <v/>
      </c>
      <c r="G476" t="str">
        <f>IF(B476="","",_xlfn.XLOOKUP(B476,'Orders Ledger'!$A:$A,'Orders Ledger'!$N:$N,0))</f>
        <v/>
      </c>
    </row>
    <row r="477" spans="2:7" x14ac:dyDescent="0.3">
      <c r="B477" t="str">
        <f t="array" ref="B477">IFERROR(INDEX('Orders Ledger'!$A$2:$A$1501, SMALL(IF(('Orders Ledger'!$J$2:$J$1501="disputed")+('Orders Ledger'!$J$2:$J$1501="PENDING_REVIEW"), ROW('Orders Ledger'!$A$2:$A$1501)-ROW('Orders Ledger'!$A$2)+1), ROW(419:419))), "")</f>
        <v/>
      </c>
      <c r="C477" s="11" t="str">
        <f>IF(B477="","",_xlfn.XLOOKUP(B477,'Orders Ledger'!$A:$A,'Orders Ledger'!$B:$B,""))</f>
        <v/>
      </c>
      <c r="D477" t="str">
        <f>IF(B477="","",_xlfn.XLOOKUP(B477,'Orders Ledger'!$A:$A,'Orders Ledger'!$G:$G,""))</f>
        <v/>
      </c>
      <c r="E477" t="str">
        <f>IF(B477="","",_xlfn.XLOOKUP(B477,'Orders Ledger'!$A:$A,'Orders Ledger'!$H:$H,""))</f>
        <v/>
      </c>
      <c r="F477" t="str">
        <f>IF(B477="","",_xlfn.XLOOKUP(B477,'Orders Ledger'!$A:$A,'Orders Ledger'!$F:$F,""))</f>
        <v/>
      </c>
      <c r="G477" t="str">
        <f>IF(B477="","",_xlfn.XLOOKUP(B477,'Orders Ledger'!$A:$A,'Orders Ledger'!$N:$N,0))</f>
        <v/>
      </c>
    </row>
    <row r="478" spans="2:7" x14ac:dyDescent="0.3">
      <c r="B478" t="str">
        <f t="array" ref="B478">IFERROR(INDEX('Orders Ledger'!$A$2:$A$1501, SMALL(IF(('Orders Ledger'!$J$2:$J$1501="disputed")+('Orders Ledger'!$J$2:$J$1501="PENDING_REVIEW"), ROW('Orders Ledger'!$A$2:$A$1501)-ROW('Orders Ledger'!$A$2)+1), ROW(420:420))), "")</f>
        <v/>
      </c>
      <c r="C478" s="11" t="str">
        <f>IF(B478="","",_xlfn.XLOOKUP(B478,'Orders Ledger'!$A:$A,'Orders Ledger'!$B:$B,""))</f>
        <v/>
      </c>
      <c r="D478" t="str">
        <f>IF(B478="","",_xlfn.XLOOKUP(B478,'Orders Ledger'!$A:$A,'Orders Ledger'!$G:$G,""))</f>
        <v/>
      </c>
      <c r="E478" t="str">
        <f>IF(B478="","",_xlfn.XLOOKUP(B478,'Orders Ledger'!$A:$A,'Orders Ledger'!$H:$H,""))</f>
        <v/>
      </c>
      <c r="F478" t="str">
        <f>IF(B478="","",_xlfn.XLOOKUP(B478,'Orders Ledger'!$A:$A,'Orders Ledger'!$F:$F,""))</f>
        <v/>
      </c>
      <c r="G478" t="str">
        <f>IF(B478="","",_xlfn.XLOOKUP(B478,'Orders Ledger'!$A:$A,'Orders Ledger'!$N:$N,0))</f>
        <v/>
      </c>
    </row>
    <row r="479" spans="2:7" x14ac:dyDescent="0.3">
      <c r="B479" t="str">
        <f t="array" ref="B479">IFERROR(INDEX('Orders Ledger'!$A$2:$A$1501, SMALL(IF(('Orders Ledger'!$J$2:$J$1501="disputed")+('Orders Ledger'!$J$2:$J$1501="PENDING_REVIEW"), ROW('Orders Ledger'!$A$2:$A$1501)-ROW('Orders Ledger'!$A$2)+1), ROW(421:421))), "")</f>
        <v/>
      </c>
      <c r="C479" s="11" t="str">
        <f>IF(B479="","",_xlfn.XLOOKUP(B479,'Orders Ledger'!$A:$A,'Orders Ledger'!$B:$B,""))</f>
        <v/>
      </c>
      <c r="D479" t="str">
        <f>IF(B479="","",_xlfn.XLOOKUP(B479,'Orders Ledger'!$A:$A,'Orders Ledger'!$G:$G,""))</f>
        <v/>
      </c>
      <c r="E479" t="str">
        <f>IF(B479="","",_xlfn.XLOOKUP(B479,'Orders Ledger'!$A:$A,'Orders Ledger'!$H:$H,""))</f>
        <v/>
      </c>
      <c r="F479" t="str">
        <f>IF(B479="","",_xlfn.XLOOKUP(B479,'Orders Ledger'!$A:$A,'Orders Ledger'!$F:$F,""))</f>
        <v/>
      </c>
      <c r="G479" t="str">
        <f>IF(B479="","",_xlfn.XLOOKUP(B479,'Orders Ledger'!$A:$A,'Orders Ledger'!$N:$N,0))</f>
        <v/>
      </c>
    </row>
    <row r="480" spans="2:7" x14ac:dyDescent="0.3">
      <c r="B480" t="str">
        <f t="array" ref="B480">IFERROR(INDEX('Orders Ledger'!$A$2:$A$1501, SMALL(IF(('Orders Ledger'!$J$2:$J$1501="disputed")+('Orders Ledger'!$J$2:$J$1501="PENDING_REVIEW"), ROW('Orders Ledger'!$A$2:$A$1501)-ROW('Orders Ledger'!$A$2)+1), ROW(422:422))), "")</f>
        <v/>
      </c>
      <c r="C480" s="11" t="str">
        <f>IF(B480="","",_xlfn.XLOOKUP(B480,'Orders Ledger'!$A:$A,'Orders Ledger'!$B:$B,""))</f>
        <v/>
      </c>
      <c r="D480" t="str">
        <f>IF(B480="","",_xlfn.XLOOKUP(B480,'Orders Ledger'!$A:$A,'Orders Ledger'!$G:$G,""))</f>
        <v/>
      </c>
      <c r="E480" t="str">
        <f>IF(B480="","",_xlfn.XLOOKUP(B480,'Orders Ledger'!$A:$A,'Orders Ledger'!$H:$H,""))</f>
        <v/>
      </c>
      <c r="F480" t="str">
        <f>IF(B480="","",_xlfn.XLOOKUP(B480,'Orders Ledger'!$A:$A,'Orders Ledger'!$F:$F,""))</f>
        <v/>
      </c>
      <c r="G480" t="str">
        <f>IF(B480="","",_xlfn.XLOOKUP(B480,'Orders Ledger'!$A:$A,'Orders Ledger'!$N:$N,0))</f>
        <v/>
      </c>
    </row>
    <row r="481" spans="2:7" x14ac:dyDescent="0.3">
      <c r="B481" t="str">
        <f t="array" ref="B481">IFERROR(INDEX('Orders Ledger'!$A$2:$A$1501, SMALL(IF(('Orders Ledger'!$J$2:$J$1501="disputed")+('Orders Ledger'!$J$2:$J$1501="PENDING_REVIEW"), ROW('Orders Ledger'!$A$2:$A$1501)-ROW('Orders Ledger'!$A$2)+1), ROW(423:423))), "")</f>
        <v/>
      </c>
      <c r="C481" s="11" t="str">
        <f>IF(B481="","",_xlfn.XLOOKUP(B481,'Orders Ledger'!$A:$A,'Orders Ledger'!$B:$B,""))</f>
        <v/>
      </c>
      <c r="D481" t="str">
        <f>IF(B481="","",_xlfn.XLOOKUP(B481,'Orders Ledger'!$A:$A,'Orders Ledger'!$G:$G,""))</f>
        <v/>
      </c>
      <c r="E481" t="str">
        <f>IF(B481="","",_xlfn.XLOOKUP(B481,'Orders Ledger'!$A:$A,'Orders Ledger'!$H:$H,""))</f>
        <v/>
      </c>
      <c r="F481" t="str">
        <f>IF(B481="","",_xlfn.XLOOKUP(B481,'Orders Ledger'!$A:$A,'Orders Ledger'!$F:$F,""))</f>
        <v/>
      </c>
      <c r="G481" t="str">
        <f>IF(B481="","",_xlfn.XLOOKUP(B481,'Orders Ledger'!$A:$A,'Orders Ledger'!$N:$N,0))</f>
        <v/>
      </c>
    </row>
    <row r="482" spans="2:7" x14ac:dyDescent="0.3">
      <c r="B482" t="str">
        <f t="array" ref="B482">IFERROR(INDEX('Orders Ledger'!$A$2:$A$1501, SMALL(IF(('Orders Ledger'!$J$2:$J$1501="disputed")+('Orders Ledger'!$J$2:$J$1501="PENDING_REVIEW"), ROW('Orders Ledger'!$A$2:$A$1501)-ROW('Orders Ledger'!$A$2)+1), ROW(424:424))), "")</f>
        <v/>
      </c>
      <c r="C482" s="11" t="str">
        <f>IF(B482="","",_xlfn.XLOOKUP(B482,'Orders Ledger'!$A:$A,'Orders Ledger'!$B:$B,""))</f>
        <v/>
      </c>
      <c r="D482" t="str">
        <f>IF(B482="","",_xlfn.XLOOKUP(B482,'Orders Ledger'!$A:$A,'Orders Ledger'!$G:$G,""))</f>
        <v/>
      </c>
      <c r="E482" t="str">
        <f>IF(B482="","",_xlfn.XLOOKUP(B482,'Orders Ledger'!$A:$A,'Orders Ledger'!$H:$H,""))</f>
        <v/>
      </c>
      <c r="F482" t="str">
        <f>IF(B482="","",_xlfn.XLOOKUP(B482,'Orders Ledger'!$A:$A,'Orders Ledger'!$F:$F,""))</f>
        <v/>
      </c>
      <c r="G482" t="str">
        <f>IF(B482="","",_xlfn.XLOOKUP(B482,'Orders Ledger'!$A:$A,'Orders Ledger'!$N:$N,0))</f>
        <v/>
      </c>
    </row>
    <row r="483" spans="2:7" x14ac:dyDescent="0.3">
      <c r="B483" t="str">
        <f t="array" ref="B483">IFERROR(INDEX('Orders Ledger'!$A$2:$A$1501, SMALL(IF(('Orders Ledger'!$J$2:$J$1501="disputed")+('Orders Ledger'!$J$2:$J$1501="PENDING_REVIEW"), ROW('Orders Ledger'!$A$2:$A$1501)-ROW('Orders Ledger'!$A$2)+1), ROW(425:425))), "")</f>
        <v/>
      </c>
      <c r="C483" s="11" t="str">
        <f>IF(B483="","",_xlfn.XLOOKUP(B483,'Orders Ledger'!$A:$A,'Orders Ledger'!$B:$B,""))</f>
        <v/>
      </c>
      <c r="D483" t="str">
        <f>IF(B483="","",_xlfn.XLOOKUP(B483,'Orders Ledger'!$A:$A,'Orders Ledger'!$G:$G,""))</f>
        <v/>
      </c>
      <c r="E483" t="str">
        <f>IF(B483="","",_xlfn.XLOOKUP(B483,'Orders Ledger'!$A:$A,'Orders Ledger'!$H:$H,""))</f>
        <v/>
      </c>
      <c r="F483" t="str">
        <f>IF(B483="","",_xlfn.XLOOKUP(B483,'Orders Ledger'!$A:$A,'Orders Ledger'!$F:$F,""))</f>
        <v/>
      </c>
      <c r="G483" t="str">
        <f>IF(B483="","",_xlfn.XLOOKUP(B483,'Orders Ledger'!$A:$A,'Orders Ledger'!$N:$N,0))</f>
        <v/>
      </c>
    </row>
    <row r="484" spans="2:7" x14ac:dyDescent="0.3">
      <c r="B484" t="str">
        <f t="array" ref="B484">IFERROR(INDEX('Orders Ledger'!$A$2:$A$1501, SMALL(IF(('Orders Ledger'!$J$2:$J$1501="disputed")+('Orders Ledger'!$J$2:$J$1501="PENDING_REVIEW"), ROW('Orders Ledger'!$A$2:$A$1501)-ROW('Orders Ledger'!$A$2)+1), ROW(426:426))), "")</f>
        <v/>
      </c>
      <c r="C484" s="11" t="str">
        <f>IF(B484="","",_xlfn.XLOOKUP(B484,'Orders Ledger'!$A:$A,'Orders Ledger'!$B:$B,""))</f>
        <v/>
      </c>
      <c r="D484" t="str">
        <f>IF(B484="","",_xlfn.XLOOKUP(B484,'Orders Ledger'!$A:$A,'Orders Ledger'!$G:$G,""))</f>
        <v/>
      </c>
      <c r="E484" t="str">
        <f>IF(B484="","",_xlfn.XLOOKUP(B484,'Orders Ledger'!$A:$A,'Orders Ledger'!$H:$H,""))</f>
        <v/>
      </c>
      <c r="F484" t="str">
        <f>IF(B484="","",_xlfn.XLOOKUP(B484,'Orders Ledger'!$A:$A,'Orders Ledger'!$F:$F,""))</f>
        <v/>
      </c>
      <c r="G484" t="str">
        <f>IF(B484="","",_xlfn.XLOOKUP(B484,'Orders Ledger'!$A:$A,'Orders Ledger'!$N:$N,0))</f>
        <v/>
      </c>
    </row>
    <row r="485" spans="2:7" x14ac:dyDescent="0.3">
      <c r="B485" t="str">
        <f t="array" ref="B485">IFERROR(INDEX('Orders Ledger'!$A$2:$A$1501, SMALL(IF(('Orders Ledger'!$J$2:$J$1501="disputed")+('Orders Ledger'!$J$2:$J$1501="PENDING_REVIEW"), ROW('Orders Ledger'!$A$2:$A$1501)-ROW('Orders Ledger'!$A$2)+1), ROW(427:427))), "")</f>
        <v/>
      </c>
      <c r="C485" s="11" t="str">
        <f>IF(B485="","",_xlfn.XLOOKUP(B485,'Orders Ledger'!$A:$A,'Orders Ledger'!$B:$B,""))</f>
        <v/>
      </c>
      <c r="D485" t="str">
        <f>IF(B485="","",_xlfn.XLOOKUP(B485,'Orders Ledger'!$A:$A,'Orders Ledger'!$G:$G,""))</f>
        <v/>
      </c>
      <c r="E485" t="str">
        <f>IF(B485="","",_xlfn.XLOOKUP(B485,'Orders Ledger'!$A:$A,'Orders Ledger'!$H:$H,""))</f>
        <v/>
      </c>
      <c r="F485" t="str">
        <f>IF(B485="","",_xlfn.XLOOKUP(B485,'Orders Ledger'!$A:$A,'Orders Ledger'!$F:$F,""))</f>
        <v/>
      </c>
      <c r="G485" t="str">
        <f>IF(B485="","",_xlfn.XLOOKUP(B485,'Orders Ledger'!$A:$A,'Orders Ledger'!$N:$N,0))</f>
        <v/>
      </c>
    </row>
    <row r="486" spans="2:7" x14ac:dyDescent="0.3">
      <c r="B486" t="str">
        <f t="array" ref="B486">IFERROR(INDEX('Orders Ledger'!$A$2:$A$1501, SMALL(IF(('Orders Ledger'!$J$2:$J$1501="disputed")+('Orders Ledger'!$J$2:$J$1501="PENDING_REVIEW"), ROW('Orders Ledger'!$A$2:$A$1501)-ROW('Orders Ledger'!$A$2)+1), ROW(428:428))), "")</f>
        <v/>
      </c>
      <c r="C486" s="11" t="str">
        <f>IF(B486="","",_xlfn.XLOOKUP(B486,'Orders Ledger'!$A:$A,'Orders Ledger'!$B:$B,""))</f>
        <v/>
      </c>
      <c r="D486" t="str">
        <f>IF(B486="","",_xlfn.XLOOKUP(B486,'Orders Ledger'!$A:$A,'Orders Ledger'!$G:$G,""))</f>
        <v/>
      </c>
      <c r="E486" t="str">
        <f>IF(B486="","",_xlfn.XLOOKUP(B486,'Orders Ledger'!$A:$A,'Orders Ledger'!$H:$H,""))</f>
        <v/>
      </c>
      <c r="F486" t="str">
        <f>IF(B486="","",_xlfn.XLOOKUP(B486,'Orders Ledger'!$A:$A,'Orders Ledger'!$F:$F,""))</f>
        <v/>
      </c>
      <c r="G486" t="str">
        <f>IF(B486="","",_xlfn.XLOOKUP(B486,'Orders Ledger'!$A:$A,'Orders Ledger'!$N:$N,0))</f>
        <v/>
      </c>
    </row>
    <row r="487" spans="2:7" x14ac:dyDescent="0.3">
      <c r="B487" t="str">
        <f t="array" ref="B487">IFERROR(INDEX('Orders Ledger'!$A$2:$A$1501, SMALL(IF(('Orders Ledger'!$J$2:$J$1501="disputed")+('Orders Ledger'!$J$2:$J$1501="PENDING_REVIEW"), ROW('Orders Ledger'!$A$2:$A$1501)-ROW('Orders Ledger'!$A$2)+1), ROW(429:429))), "")</f>
        <v/>
      </c>
      <c r="C487" s="11" t="str">
        <f>IF(B487="","",_xlfn.XLOOKUP(B487,'Orders Ledger'!$A:$A,'Orders Ledger'!$B:$B,""))</f>
        <v/>
      </c>
      <c r="D487" t="str">
        <f>IF(B487="","",_xlfn.XLOOKUP(B487,'Orders Ledger'!$A:$A,'Orders Ledger'!$G:$G,""))</f>
        <v/>
      </c>
      <c r="E487" t="str">
        <f>IF(B487="","",_xlfn.XLOOKUP(B487,'Orders Ledger'!$A:$A,'Orders Ledger'!$H:$H,""))</f>
        <v/>
      </c>
      <c r="F487" t="str">
        <f>IF(B487="","",_xlfn.XLOOKUP(B487,'Orders Ledger'!$A:$A,'Orders Ledger'!$F:$F,""))</f>
        <v/>
      </c>
      <c r="G487" t="str">
        <f>IF(B487="","",_xlfn.XLOOKUP(B487,'Orders Ledger'!$A:$A,'Orders Ledger'!$N:$N,0))</f>
        <v/>
      </c>
    </row>
    <row r="488" spans="2:7" x14ac:dyDescent="0.3">
      <c r="B488" t="str">
        <f t="array" ref="B488">IFERROR(INDEX('Orders Ledger'!$A$2:$A$1501, SMALL(IF(('Orders Ledger'!$J$2:$J$1501="disputed")+('Orders Ledger'!$J$2:$J$1501="PENDING_REVIEW"), ROW('Orders Ledger'!$A$2:$A$1501)-ROW('Orders Ledger'!$A$2)+1), ROW(430:430))), "")</f>
        <v/>
      </c>
      <c r="C488" s="11" t="str">
        <f>IF(B488="","",_xlfn.XLOOKUP(B488,'Orders Ledger'!$A:$A,'Orders Ledger'!$B:$B,""))</f>
        <v/>
      </c>
      <c r="D488" t="str">
        <f>IF(B488="","",_xlfn.XLOOKUP(B488,'Orders Ledger'!$A:$A,'Orders Ledger'!$G:$G,""))</f>
        <v/>
      </c>
      <c r="E488" t="str">
        <f>IF(B488="","",_xlfn.XLOOKUP(B488,'Orders Ledger'!$A:$A,'Orders Ledger'!$H:$H,""))</f>
        <v/>
      </c>
      <c r="F488" t="str">
        <f>IF(B488="","",_xlfn.XLOOKUP(B488,'Orders Ledger'!$A:$A,'Orders Ledger'!$F:$F,""))</f>
        <v/>
      </c>
      <c r="G488" t="str">
        <f>IF(B488="","",_xlfn.XLOOKUP(B488,'Orders Ledger'!$A:$A,'Orders Ledger'!$N:$N,0))</f>
        <v/>
      </c>
    </row>
    <row r="489" spans="2:7" x14ac:dyDescent="0.3">
      <c r="B489" t="str">
        <f t="array" ref="B489">IFERROR(INDEX('Orders Ledger'!$A$2:$A$1501, SMALL(IF(('Orders Ledger'!$J$2:$J$1501="disputed")+('Orders Ledger'!$J$2:$J$1501="PENDING_REVIEW"), ROW('Orders Ledger'!$A$2:$A$1501)-ROW('Orders Ledger'!$A$2)+1), ROW(431:431))), "")</f>
        <v/>
      </c>
      <c r="C489" s="11" t="str">
        <f>IF(B489="","",_xlfn.XLOOKUP(B489,'Orders Ledger'!$A:$A,'Orders Ledger'!$B:$B,""))</f>
        <v/>
      </c>
      <c r="D489" t="str">
        <f>IF(B489="","",_xlfn.XLOOKUP(B489,'Orders Ledger'!$A:$A,'Orders Ledger'!$G:$G,""))</f>
        <v/>
      </c>
      <c r="E489" t="str">
        <f>IF(B489="","",_xlfn.XLOOKUP(B489,'Orders Ledger'!$A:$A,'Orders Ledger'!$H:$H,""))</f>
        <v/>
      </c>
      <c r="F489" t="str">
        <f>IF(B489="","",_xlfn.XLOOKUP(B489,'Orders Ledger'!$A:$A,'Orders Ledger'!$F:$F,""))</f>
        <v/>
      </c>
      <c r="G489" t="str">
        <f>IF(B489="","",_xlfn.XLOOKUP(B489,'Orders Ledger'!$A:$A,'Orders Ledger'!$N:$N,0))</f>
        <v/>
      </c>
    </row>
    <row r="490" spans="2:7" x14ac:dyDescent="0.3">
      <c r="B490" t="str">
        <f t="array" ref="B490">IFERROR(INDEX('Orders Ledger'!$A$2:$A$1501, SMALL(IF(('Orders Ledger'!$J$2:$J$1501="disputed")+('Orders Ledger'!$J$2:$J$1501="PENDING_REVIEW"), ROW('Orders Ledger'!$A$2:$A$1501)-ROW('Orders Ledger'!$A$2)+1), ROW(432:432))), "")</f>
        <v/>
      </c>
      <c r="C490" s="11" t="str">
        <f>IF(B490="","",_xlfn.XLOOKUP(B490,'Orders Ledger'!$A:$A,'Orders Ledger'!$B:$B,""))</f>
        <v/>
      </c>
      <c r="D490" t="str">
        <f>IF(B490="","",_xlfn.XLOOKUP(B490,'Orders Ledger'!$A:$A,'Orders Ledger'!$G:$G,""))</f>
        <v/>
      </c>
      <c r="E490" t="str">
        <f>IF(B490="","",_xlfn.XLOOKUP(B490,'Orders Ledger'!$A:$A,'Orders Ledger'!$H:$H,""))</f>
        <v/>
      </c>
      <c r="F490" t="str">
        <f>IF(B490="","",_xlfn.XLOOKUP(B490,'Orders Ledger'!$A:$A,'Orders Ledger'!$F:$F,""))</f>
        <v/>
      </c>
      <c r="G490" t="str">
        <f>IF(B490="","",_xlfn.XLOOKUP(B490,'Orders Ledger'!$A:$A,'Orders Ledger'!$N:$N,0))</f>
        <v/>
      </c>
    </row>
    <row r="491" spans="2:7" x14ac:dyDescent="0.3">
      <c r="B491" t="str">
        <f t="array" ref="B491">IFERROR(INDEX('Orders Ledger'!$A$2:$A$1501, SMALL(IF(('Orders Ledger'!$J$2:$J$1501="disputed")+('Orders Ledger'!$J$2:$J$1501="PENDING_REVIEW"), ROW('Orders Ledger'!$A$2:$A$1501)-ROW('Orders Ledger'!$A$2)+1), ROW(433:433))), "")</f>
        <v/>
      </c>
      <c r="C491" s="11" t="str">
        <f>IF(B491="","",_xlfn.XLOOKUP(B491,'Orders Ledger'!$A:$A,'Orders Ledger'!$B:$B,""))</f>
        <v/>
      </c>
      <c r="D491" t="str">
        <f>IF(B491="","",_xlfn.XLOOKUP(B491,'Orders Ledger'!$A:$A,'Orders Ledger'!$G:$G,""))</f>
        <v/>
      </c>
      <c r="E491" t="str">
        <f>IF(B491="","",_xlfn.XLOOKUP(B491,'Orders Ledger'!$A:$A,'Orders Ledger'!$H:$H,""))</f>
        <v/>
      </c>
      <c r="F491" t="str">
        <f>IF(B491="","",_xlfn.XLOOKUP(B491,'Orders Ledger'!$A:$A,'Orders Ledger'!$F:$F,""))</f>
        <v/>
      </c>
      <c r="G491" t="str">
        <f>IF(B491="","",_xlfn.XLOOKUP(B491,'Orders Ledger'!$A:$A,'Orders Ledger'!$N:$N,0))</f>
        <v/>
      </c>
    </row>
    <row r="492" spans="2:7" x14ac:dyDescent="0.3">
      <c r="B492" t="str">
        <f t="array" ref="B492">IFERROR(INDEX('Orders Ledger'!$A$2:$A$1501, SMALL(IF(('Orders Ledger'!$J$2:$J$1501="disputed")+('Orders Ledger'!$J$2:$J$1501="PENDING_REVIEW"), ROW('Orders Ledger'!$A$2:$A$1501)-ROW('Orders Ledger'!$A$2)+1), ROW(434:434))), "")</f>
        <v/>
      </c>
      <c r="C492" s="11" t="str">
        <f>IF(B492="","",_xlfn.XLOOKUP(B492,'Orders Ledger'!$A:$A,'Orders Ledger'!$B:$B,""))</f>
        <v/>
      </c>
      <c r="D492" t="str">
        <f>IF(B492="","",_xlfn.XLOOKUP(B492,'Orders Ledger'!$A:$A,'Orders Ledger'!$G:$G,""))</f>
        <v/>
      </c>
      <c r="E492" t="str">
        <f>IF(B492="","",_xlfn.XLOOKUP(B492,'Orders Ledger'!$A:$A,'Orders Ledger'!$H:$H,""))</f>
        <v/>
      </c>
      <c r="F492" t="str">
        <f>IF(B492="","",_xlfn.XLOOKUP(B492,'Orders Ledger'!$A:$A,'Orders Ledger'!$F:$F,""))</f>
        <v/>
      </c>
      <c r="G492" t="str">
        <f>IF(B492="","",_xlfn.XLOOKUP(B492,'Orders Ledger'!$A:$A,'Orders Ledger'!$N:$N,0))</f>
        <v/>
      </c>
    </row>
    <row r="493" spans="2:7" x14ac:dyDescent="0.3">
      <c r="B493" t="str">
        <f t="array" ref="B493">IFERROR(INDEX('Orders Ledger'!$A$2:$A$1501, SMALL(IF(('Orders Ledger'!$J$2:$J$1501="disputed")+('Orders Ledger'!$J$2:$J$1501="PENDING_REVIEW"), ROW('Orders Ledger'!$A$2:$A$1501)-ROW('Orders Ledger'!$A$2)+1), ROW(435:435))), "")</f>
        <v/>
      </c>
      <c r="C493" s="11" t="str">
        <f>IF(B493="","",_xlfn.XLOOKUP(B493,'Orders Ledger'!$A:$A,'Orders Ledger'!$B:$B,""))</f>
        <v/>
      </c>
      <c r="D493" t="str">
        <f>IF(B493="","",_xlfn.XLOOKUP(B493,'Orders Ledger'!$A:$A,'Orders Ledger'!$G:$G,""))</f>
        <v/>
      </c>
      <c r="E493" t="str">
        <f>IF(B493="","",_xlfn.XLOOKUP(B493,'Orders Ledger'!$A:$A,'Orders Ledger'!$H:$H,""))</f>
        <v/>
      </c>
      <c r="F493" t="str">
        <f>IF(B493="","",_xlfn.XLOOKUP(B493,'Orders Ledger'!$A:$A,'Orders Ledger'!$F:$F,""))</f>
        <v/>
      </c>
      <c r="G493" t="str">
        <f>IF(B493="","",_xlfn.XLOOKUP(B493,'Orders Ledger'!$A:$A,'Orders Ledger'!$N:$N,0))</f>
        <v/>
      </c>
    </row>
    <row r="494" spans="2:7" x14ac:dyDescent="0.3">
      <c r="B494" t="str">
        <f t="array" ref="B494">IFERROR(INDEX('Orders Ledger'!$A$2:$A$1501, SMALL(IF(('Orders Ledger'!$J$2:$J$1501="disputed")+('Orders Ledger'!$J$2:$J$1501="PENDING_REVIEW"), ROW('Orders Ledger'!$A$2:$A$1501)-ROW('Orders Ledger'!$A$2)+1), ROW(436:436))), "")</f>
        <v/>
      </c>
      <c r="C494" s="11" t="str">
        <f>IF(B494="","",_xlfn.XLOOKUP(B494,'Orders Ledger'!$A:$A,'Orders Ledger'!$B:$B,""))</f>
        <v/>
      </c>
      <c r="D494" t="str">
        <f>IF(B494="","",_xlfn.XLOOKUP(B494,'Orders Ledger'!$A:$A,'Orders Ledger'!$G:$G,""))</f>
        <v/>
      </c>
      <c r="E494" t="str">
        <f>IF(B494="","",_xlfn.XLOOKUP(B494,'Orders Ledger'!$A:$A,'Orders Ledger'!$H:$H,""))</f>
        <v/>
      </c>
      <c r="F494" t="str">
        <f>IF(B494="","",_xlfn.XLOOKUP(B494,'Orders Ledger'!$A:$A,'Orders Ledger'!$F:$F,""))</f>
        <v/>
      </c>
      <c r="G494" t="str">
        <f>IF(B494="","",_xlfn.XLOOKUP(B494,'Orders Ledger'!$A:$A,'Orders Ledger'!$N:$N,0))</f>
        <v/>
      </c>
    </row>
    <row r="495" spans="2:7" x14ac:dyDescent="0.3">
      <c r="B495" t="str">
        <f t="array" ref="B495">IFERROR(INDEX('Orders Ledger'!$A$2:$A$1501, SMALL(IF(('Orders Ledger'!$J$2:$J$1501="disputed")+('Orders Ledger'!$J$2:$J$1501="PENDING_REVIEW"), ROW('Orders Ledger'!$A$2:$A$1501)-ROW('Orders Ledger'!$A$2)+1), ROW(437:437))), "")</f>
        <v/>
      </c>
      <c r="C495" s="11" t="str">
        <f>IF(B495="","",_xlfn.XLOOKUP(B495,'Orders Ledger'!$A:$A,'Orders Ledger'!$B:$B,""))</f>
        <v/>
      </c>
      <c r="D495" t="str">
        <f>IF(B495="","",_xlfn.XLOOKUP(B495,'Orders Ledger'!$A:$A,'Orders Ledger'!$G:$G,""))</f>
        <v/>
      </c>
      <c r="E495" t="str">
        <f>IF(B495="","",_xlfn.XLOOKUP(B495,'Orders Ledger'!$A:$A,'Orders Ledger'!$H:$H,""))</f>
        <v/>
      </c>
      <c r="F495" t="str">
        <f>IF(B495="","",_xlfn.XLOOKUP(B495,'Orders Ledger'!$A:$A,'Orders Ledger'!$F:$F,""))</f>
        <v/>
      </c>
      <c r="G495" t="str">
        <f>IF(B495="","",_xlfn.XLOOKUP(B495,'Orders Ledger'!$A:$A,'Orders Ledger'!$N:$N,0))</f>
        <v/>
      </c>
    </row>
    <row r="496" spans="2:7" x14ac:dyDescent="0.3">
      <c r="B496" t="str">
        <f t="array" ref="B496">IFERROR(INDEX('Orders Ledger'!$A$2:$A$1501, SMALL(IF(('Orders Ledger'!$J$2:$J$1501="disputed")+('Orders Ledger'!$J$2:$J$1501="PENDING_REVIEW"), ROW('Orders Ledger'!$A$2:$A$1501)-ROW('Orders Ledger'!$A$2)+1), ROW(438:438))), "")</f>
        <v/>
      </c>
      <c r="C496" s="11" t="str">
        <f>IF(B496="","",_xlfn.XLOOKUP(B496,'Orders Ledger'!$A:$A,'Orders Ledger'!$B:$B,""))</f>
        <v/>
      </c>
      <c r="D496" t="str">
        <f>IF(B496="","",_xlfn.XLOOKUP(B496,'Orders Ledger'!$A:$A,'Orders Ledger'!$G:$G,""))</f>
        <v/>
      </c>
      <c r="E496" t="str">
        <f>IF(B496="","",_xlfn.XLOOKUP(B496,'Orders Ledger'!$A:$A,'Orders Ledger'!$H:$H,""))</f>
        <v/>
      </c>
      <c r="F496" t="str">
        <f>IF(B496="","",_xlfn.XLOOKUP(B496,'Orders Ledger'!$A:$A,'Orders Ledger'!$F:$F,""))</f>
        <v/>
      </c>
      <c r="G496" t="str">
        <f>IF(B496="","",_xlfn.XLOOKUP(B496,'Orders Ledger'!$A:$A,'Orders Ledger'!$N:$N,0))</f>
        <v/>
      </c>
    </row>
    <row r="497" spans="2:7" x14ac:dyDescent="0.3">
      <c r="B497" t="str">
        <f t="array" ref="B497">IFERROR(INDEX('Orders Ledger'!$A$2:$A$1501, SMALL(IF(('Orders Ledger'!$J$2:$J$1501="disputed")+('Orders Ledger'!$J$2:$J$1501="PENDING_REVIEW"), ROW('Orders Ledger'!$A$2:$A$1501)-ROW('Orders Ledger'!$A$2)+1), ROW(439:439))), "")</f>
        <v/>
      </c>
      <c r="C497" s="11" t="str">
        <f>IF(B497="","",_xlfn.XLOOKUP(B497,'Orders Ledger'!$A:$A,'Orders Ledger'!$B:$B,""))</f>
        <v/>
      </c>
      <c r="D497" t="str">
        <f>IF(B497="","",_xlfn.XLOOKUP(B497,'Orders Ledger'!$A:$A,'Orders Ledger'!$G:$G,""))</f>
        <v/>
      </c>
      <c r="E497" t="str">
        <f>IF(B497="","",_xlfn.XLOOKUP(B497,'Orders Ledger'!$A:$A,'Orders Ledger'!$H:$H,""))</f>
        <v/>
      </c>
      <c r="F497" t="str">
        <f>IF(B497="","",_xlfn.XLOOKUP(B497,'Orders Ledger'!$A:$A,'Orders Ledger'!$F:$F,""))</f>
        <v/>
      </c>
      <c r="G497" t="str">
        <f>IF(B497="","",_xlfn.XLOOKUP(B497,'Orders Ledger'!$A:$A,'Orders Ledger'!$N:$N,0))</f>
        <v/>
      </c>
    </row>
    <row r="498" spans="2:7" x14ac:dyDescent="0.3">
      <c r="B498" t="str">
        <f t="array" ref="B498">IFERROR(INDEX('Orders Ledger'!$A$2:$A$1501, SMALL(IF(('Orders Ledger'!$J$2:$J$1501="disputed")+('Orders Ledger'!$J$2:$J$1501="PENDING_REVIEW"), ROW('Orders Ledger'!$A$2:$A$1501)-ROW('Orders Ledger'!$A$2)+1), ROW(440:440))), "")</f>
        <v/>
      </c>
      <c r="C498" s="11" t="str">
        <f>IF(B498="","",_xlfn.XLOOKUP(B498,'Orders Ledger'!$A:$A,'Orders Ledger'!$B:$B,""))</f>
        <v/>
      </c>
      <c r="D498" t="str">
        <f>IF(B498="","",_xlfn.XLOOKUP(B498,'Orders Ledger'!$A:$A,'Orders Ledger'!$G:$G,""))</f>
        <v/>
      </c>
      <c r="E498" t="str">
        <f>IF(B498="","",_xlfn.XLOOKUP(B498,'Orders Ledger'!$A:$A,'Orders Ledger'!$H:$H,""))</f>
        <v/>
      </c>
      <c r="F498" t="str">
        <f>IF(B498="","",_xlfn.XLOOKUP(B498,'Orders Ledger'!$A:$A,'Orders Ledger'!$F:$F,""))</f>
        <v/>
      </c>
      <c r="G498" t="str">
        <f>IF(B498="","",_xlfn.XLOOKUP(B498,'Orders Ledger'!$A:$A,'Orders Ledger'!$N:$N,0))</f>
        <v/>
      </c>
    </row>
    <row r="499" spans="2:7" x14ac:dyDescent="0.3">
      <c r="B499" t="str">
        <f t="array" ref="B499">IFERROR(INDEX('Orders Ledger'!$A$2:$A$1501, SMALL(IF(('Orders Ledger'!$J$2:$J$1501="disputed")+('Orders Ledger'!$J$2:$J$1501="PENDING_REVIEW"), ROW('Orders Ledger'!$A$2:$A$1501)-ROW('Orders Ledger'!$A$2)+1), ROW(441:441))), "")</f>
        <v/>
      </c>
      <c r="C499" s="11" t="str">
        <f>IF(B499="","",_xlfn.XLOOKUP(B499,'Orders Ledger'!$A:$A,'Orders Ledger'!$B:$B,""))</f>
        <v/>
      </c>
      <c r="D499" t="str">
        <f>IF(B499="","",_xlfn.XLOOKUP(B499,'Orders Ledger'!$A:$A,'Orders Ledger'!$G:$G,""))</f>
        <v/>
      </c>
      <c r="E499" t="str">
        <f>IF(B499="","",_xlfn.XLOOKUP(B499,'Orders Ledger'!$A:$A,'Orders Ledger'!$H:$H,""))</f>
        <v/>
      </c>
      <c r="F499" t="str">
        <f>IF(B499="","",_xlfn.XLOOKUP(B499,'Orders Ledger'!$A:$A,'Orders Ledger'!$F:$F,""))</f>
        <v/>
      </c>
      <c r="G499" t="str">
        <f>IF(B499="","",_xlfn.XLOOKUP(B499,'Orders Ledger'!$A:$A,'Orders Ledger'!$N:$N,0))</f>
        <v/>
      </c>
    </row>
    <row r="500" spans="2:7" x14ac:dyDescent="0.3">
      <c r="B500" t="str">
        <f t="array" ref="B500">IFERROR(INDEX('Orders Ledger'!$A$2:$A$1501, SMALL(IF(('Orders Ledger'!$J$2:$J$1501="disputed")+('Orders Ledger'!$J$2:$J$1501="PENDING_REVIEW"), ROW('Orders Ledger'!$A$2:$A$1501)-ROW('Orders Ledger'!$A$2)+1), ROW(442:442))), "")</f>
        <v/>
      </c>
      <c r="C500" s="11" t="str">
        <f>IF(B500="","",_xlfn.XLOOKUP(B500,'Orders Ledger'!$A:$A,'Orders Ledger'!$B:$B,""))</f>
        <v/>
      </c>
      <c r="D500" t="str">
        <f>IF(B500="","",_xlfn.XLOOKUP(B500,'Orders Ledger'!$A:$A,'Orders Ledger'!$G:$G,""))</f>
        <v/>
      </c>
      <c r="E500" t="str">
        <f>IF(B500="","",_xlfn.XLOOKUP(B500,'Orders Ledger'!$A:$A,'Orders Ledger'!$H:$H,""))</f>
        <v/>
      </c>
      <c r="F500" t="str">
        <f>IF(B500="","",_xlfn.XLOOKUP(B500,'Orders Ledger'!$A:$A,'Orders Ledger'!$F:$F,""))</f>
        <v/>
      </c>
      <c r="G500" t="str">
        <f>IF(B500="","",_xlfn.XLOOKUP(B500,'Orders Ledger'!$A:$A,'Orders Ledger'!$N:$N,0))</f>
        <v/>
      </c>
    </row>
    <row r="501" spans="2:7" x14ac:dyDescent="0.3">
      <c r="B501" t="str">
        <f t="array" ref="B501">IFERROR(INDEX('Orders Ledger'!$A$2:$A$1501, SMALL(IF(('Orders Ledger'!$J$2:$J$1501="disputed")+('Orders Ledger'!$J$2:$J$1501="PENDING_REVIEW"), ROW('Orders Ledger'!$A$2:$A$1501)-ROW('Orders Ledger'!$A$2)+1), ROW(443:443))), "")</f>
        <v/>
      </c>
      <c r="C501" s="11" t="str">
        <f>IF(B501="","",_xlfn.XLOOKUP(B501,'Orders Ledger'!$A:$A,'Orders Ledger'!$B:$B,""))</f>
        <v/>
      </c>
      <c r="D501" t="str">
        <f>IF(B501="","",_xlfn.XLOOKUP(B501,'Orders Ledger'!$A:$A,'Orders Ledger'!$G:$G,""))</f>
        <v/>
      </c>
      <c r="E501" t="str">
        <f>IF(B501="","",_xlfn.XLOOKUP(B501,'Orders Ledger'!$A:$A,'Orders Ledger'!$H:$H,""))</f>
        <v/>
      </c>
      <c r="F501" t="str">
        <f>IF(B501="","",_xlfn.XLOOKUP(B501,'Orders Ledger'!$A:$A,'Orders Ledger'!$F:$F,""))</f>
        <v/>
      </c>
      <c r="G501" t="str">
        <f>IF(B501="","",_xlfn.XLOOKUP(B501,'Orders Ledger'!$A:$A,'Orders Ledger'!$N:$N,0))</f>
        <v/>
      </c>
    </row>
    <row r="502" spans="2:7" x14ac:dyDescent="0.3">
      <c r="B502" t="str">
        <f t="array" ref="B502">IFERROR(INDEX('Orders Ledger'!$A$2:$A$1501, SMALL(IF(('Orders Ledger'!$J$2:$J$1501="disputed")+('Orders Ledger'!$J$2:$J$1501="PENDING_REVIEW"), ROW('Orders Ledger'!$A$2:$A$1501)-ROW('Orders Ledger'!$A$2)+1), ROW(444:444))), "")</f>
        <v/>
      </c>
      <c r="C502" s="11" t="str">
        <f>IF(B502="","",_xlfn.XLOOKUP(B502,'Orders Ledger'!$A:$A,'Orders Ledger'!$B:$B,""))</f>
        <v/>
      </c>
      <c r="D502" t="str">
        <f>IF(B502="","",_xlfn.XLOOKUP(B502,'Orders Ledger'!$A:$A,'Orders Ledger'!$G:$G,""))</f>
        <v/>
      </c>
      <c r="E502" t="str">
        <f>IF(B502="","",_xlfn.XLOOKUP(B502,'Orders Ledger'!$A:$A,'Orders Ledger'!$H:$H,""))</f>
        <v/>
      </c>
      <c r="F502" t="str">
        <f>IF(B502="","",_xlfn.XLOOKUP(B502,'Orders Ledger'!$A:$A,'Orders Ledger'!$F:$F,""))</f>
        <v/>
      </c>
      <c r="G502" t="str">
        <f>IF(B502="","",_xlfn.XLOOKUP(B502,'Orders Ledger'!$A:$A,'Orders Ledger'!$N:$N,0))</f>
        <v/>
      </c>
    </row>
    <row r="503" spans="2:7" x14ac:dyDescent="0.3">
      <c r="B503" t="str">
        <f t="array" ref="B503">IFERROR(INDEX('Orders Ledger'!$A$2:$A$1501, SMALL(IF(('Orders Ledger'!$J$2:$J$1501="disputed")+('Orders Ledger'!$J$2:$J$1501="PENDING_REVIEW"), ROW('Orders Ledger'!$A$2:$A$1501)-ROW('Orders Ledger'!$A$2)+1), ROW(445:445))), "")</f>
        <v/>
      </c>
      <c r="C503" s="11" t="str">
        <f>IF(B503="","",_xlfn.XLOOKUP(B503,'Orders Ledger'!$A:$A,'Orders Ledger'!$B:$B,""))</f>
        <v/>
      </c>
      <c r="D503" t="str">
        <f>IF(B503="","",_xlfn.XLOOKUP(B503,'Orders Ledger'!$A:$A,'Orders Ledger'!$G:$G,""))</f>
        <v/>
      </c>
      <c r="E503" t="str">
        <f>IF(B503="","",_xlfn.XLOOKUP(B503,'Orders Ledger'!$A:$A,'Orders Ledger'!$H:$H,""))</f>
        <v/>
      </c>
      <c r="F503" t="str">
        <f>IF(B503="","",_xlfn.XLOOKUP(B503,'Orders Ledger'!$A:$A,'Orders Ledger'!$F:$F,""))</f>
        <v/>
      </c>
      <c r="G503" t="str">
        <f>IF(B503="","",_xlfn.XLOOKUP(B503,'Orders Ledger'!$A:$A,'Orders Ledger'!$N:$N,0))</f>
        <v/>
      </c>
    </row>
    <row r="504" spans="2:7" x14ac:dyDescent="0.3">
      <c r="B504" t="str">
        <f t="array" ref="B504">IFERROR(INDEX('Orders Ledger'!$A$2:$A$1501, SMALL(IF(('Orders Ledger'!$J$2:$J$1501="disputed")+('Orders Ledger'!$J$2:$J$1501="PENDING_REVIEW"), ROW('Orders Ledger'!$A$2:$A$1501)-ROW('Orders Ledger'!$A$2)+1), ROW(446:446))), "")</f>
        <v/>
      </c>
      <c r="C504" s="11" t="str">
        <f>IF(B504="","",_xlfn.XLOOKUP(B504,'Orders Ledger'!$A:$A,'Orders Ledger'!$B:$B,""))</f>
        <v/>
      </c>
      <c r="D504" t="str">
        <f>IF(B504="","",_xlfn.XLOOKUP(B504,'Orders Ledger'!$A:$A,'Orders Ledger'!$G:$G,""))</f>
        <v/>
      </c>
      <c r="E504" t="str">
        <f>IF(B504="","",_xlfn.XLOOKUP(B504,'Orders Ledger'!$A:$A,'Orders Ledger'!$H:$H,""))</f>
        <v/>
      </c>
      <c r="F504" t="str">
        <f>IF(B504="","",_xlfn.XLOOKUP(B504,'Orders Ledger'!$A:$A,'Orders Ledger'!$F:$F,""))</f>
        <v/>
      </c>
      <c r="G504" t="str">
        <f>IF(B504="","",_xlfn.XLOOKUP(B504,'Orders Ledger'!$A:$A,'Orders Ledger'!$N:$N,0))</f>
        <v/>
      </c>
    </row>
    <row r="505" spans="2:7" x14ac:dyDescent="0.3">
      <c r="B505" t="str">
        <f t="array" ref="B505">IFERROR(INDEX('Orders Ledger'!$A$2:$A$1501, SMALL(IF(('Orders Ledger'!$J$2:$J$1501="disputed")+('Orders Ledger'!$J$2:$J$1501="PENDING_REVIEW"), ROW('Orders Ledger'!$A$2:$A$1501)-ROW('Orders Ledger'!$A$2)+1), ROW(447:447))), "")</f>
        <v/>
      </c>
      <c r="C505" s="11" t="str">
        <f>IF(B505="","",_xlfn.XLOOKUP(B505,'Orders Ledger'!$A:$A,'Orders Ledger'!$B:$B,""))</f>
        <v/>
      </c>
      <c r="D505" t="str">
        <f>IF(B505="","",_xlfn.XLOOKUP(B505,'Orders Ledger'!$A:$A,'Orders Ledger'!$G:$G,""))</f>
        <v/>
      </c>
      <c r="E505" t="str">
        <f>IF(B505="","",_xlfn.XLOOKUP(B505,'Orders Ledger'!$A:$A,'Orders Ledger'!$H:$H,""))</f>
        <v/>
      </c>
      <c r="F505" t="str">
        <f>IF(B505="","",_xlfn.XLOOKUP(B505,'Orders Ledger'!$A:$A,'Orders Ledger'!$F:$F,""))</f>
        <v/>
      </c>
      <c r="G505" t="str">
        <f>IF(B505="","",_xlfn.XLOOKUP(B505,'Orders Ledger'!$A:$A,'Orders Ledger'!$N:$N,0))</f>
        <v/>
      </c>
    </row>
    <row r="506" spans="2:7" x14ac:dyDescent="0.3">
      <c r="B506" t="str">
        <f t="array" ref="B506">IFERROR(INDEX('Orders Ledger'!$A$2:$A$1501, SMALL(IF(('Orders Ledger'!$J$2:$J$1501="disputed")+('Orders Ledger'!$J$2:$J$1501="PENDING_REVIEW"), ROW('Orders Ledger'!$A$2:$A$1501)-ROW('Orders Ledger'!$A$2)+1), ROW(448:448))), "")</f>
        <v/>
      </c>
      <c r="C506" s="11" t="str">
        <f>IF(B506="","",_xlfn.XLOOKUP(B506,'Orders Ledger'!$A:$A,'Orders Ledger'!$B:$B,""))</f>
        <v/>
      </c>
      <c r="D506" t="str">
        <f>IF(B506="","",_xlfn.XLOOKUP(B506,'Orders Ledger'!$A:$A,'Orders Ledger'!$G:$G,""))</f>
        <v/>
      </c>
      <c r="E506" t="str">
        <f>IF(B506="","",_xlfn.XLOOKUP(B506,'Orders Ledger'!$A:$A,'Orders Ledger'!$H:$H,""))</f>
        <v/>
      </c>
      <c r="F506" t="str">
        <f>IF(B506="","",_xlfn.XLOOKUP(B506,'Orders Ledger'!$A:$A,'Orders Ledger'!$F:$F,""))</f>
        <v/>
      </c>
      <c r="G506" t="str">
        <f>IF(B506="","",_xlfn.XLOOKUP(B506,'Orders Ledger'!$A:$A,'Orders Ledger'!$N:$N,0))</f>
        <v/>
      </c>
    </row>
    <row r="507" spans="2:7" x14ac:dyDescent="0.3">
      <c r="B507" t="str">
        <f t="array" ref="B507">IFERROR(INDEX('Orders Ledger'!$A$2:$A$1501, SMALL(IF(('Orders Ledger'!$J$2:$J$1501="disputed")+('Orders Ledger'!$J$2:$J$1501="PENDING_REVIEW"), ROW('Orders Ledger'!$A$2:$A$1501)-ROW('Orders Ledger'!$A$2)+1), ROW(449:449))), "")</f>
        <v/>
      </c>
      <c r="C507" s="11" t="str">
        <f>IF(B507="","",_xlfn.XLOOKUP(B507,'Orders Ledger'!$A:$A,'Orders Ledger'!$B:$B,""))</f>
        <v/>
      </c>
      <c r="D507" t="str">
        <f>IF(B507="","",_xlfn.XLOOKUP(B507,'Orders Ledger'!$A:$A,'Orders Ledger'!$G:$G,""))</f>
        <v/>
      </c>
      <c r="E507" t="str">
        <f>IF(B507="","",_xlfn.XLOOKUP(B507,'Orders Ledger'!$A:$A,'Orders Ledger'!$H:$H,""))</f>
        <v/>
      </c>
      <c r="F507" t="str">
        <f>IF(B507="","",_xlfn.XLOOKUP(B507,'Orders Ledger'!$A:$A,'Orders Ledger'!$F:$F,""))</f>
        <v/>
      </c>
      <c r="G507" t="str">
        <f>IF(B507="","",_xlfn.XLOOKUP(B507,'Orders Ledger'!$A:$A,'Orders Ledger'!$N:$N,0))</f>
        <v/>
      </c>
    </row>
    <row r="508" spans="2:7" x14ac:dyDescent="0.3">
      <c r="B508" t="str">
        <f t="array" ref="B508">IFERROR(INDEX('Orders Ledger'!$A$2:$A$1501, SMALL(IF(('Orders Ledger'!$J$2:$J$1501="disputed")+('Orders Ledger'!$J$2:$J$1501="PENDING_REVIEW"), ROW('Orders Ledger'!$A$2:$A$1501)-ROW('Orders Ledger'!$A$2)+1), ROW(450:450))), "")</f>
        <v/>
      </c>
      <c r="C508" s="11" t="str">
        <f>IF(B508="","",_xlfn.XLOOKUP(B508,'Orders Ledger'!$A:$A,'Orders Ledger'!$B:$B,""))</f>
        <v/>
      </c>
      <c r="D508" t="str">
        <f>IF(B508="","",_xlfn.XLOOKUP(B508,'Orders Ledger'!$A:$A,'Orders Ledger'!$G:$G,""))</f>
        <v/>
      </c>
      <c r="E508" t="str">
        <f>IF(B508="","",_xlfn.XLOOKUP(B508,'Orders Ledger'!$A:$A,'Orders Ledger'!$H:$H,""))</f>
        <v/>
      </c>
      <c r="F508" t="str">
        <f>IF(B508="","",_xlfn.XLOOKUP(B508,'Orders Ledger'!$A:$A,'Orders Ledger'!$F:$F,""))</f>
        <v/>
      </c>
      <c r="G508" t="str">
        <f>IF(B508="","",_xlfn.XLOOKUP(B508,'Orders Ledger'!$A:$A,'Orders Ledger'!$N:$N,0))</f>
        <v/>
      </c>
    </row>
    <row r="509" spans="2:7" x14ac:dyDescent="0.3">
      <c r="B509" t="str">
        <f t="array" ref="B509">IFERROR(INDEX('Orders Ledger'!$A$2:$A$1501, SMALL(IF(('Orders Ledger'!$J$2:$J$1501="disputed")+('Orders Ledger'!$J$2:$J$1501="PENDING_REVIEW"), ROW('Orders Ledger'!$A$2:$A$1501)-ROW('Orders Ledger'!$A$2)+1), ROW(451:451))), "")</f>
        <v/>
      </c>
      <c r="C509" s="11" t="str">
        <f>IF(B509="","",_xlfn.XLOOKUP(B509,'Orders Ledger'!$A:$A,'Orders Ledger'!$B:$B,""))</f>
        <v/>
      </c>
      <c r="D509" t="str">
        <f>IF(B509="","",_xlfn.XLOOKUP(B509,'Orders Ledger'!$A:$A,'Orders Ledger'!$G:$G,""))</f>
        <v/>
      </c>
      <c r="E509" t="str">
        <f>IF(B509="","",_xlfn.XLOOKUP(B509,'Orders Ledger'!$A:$A,'Orders Ledger'!$H:$H,""))</f>
        <v/>
      </c>
      <c r="F509" t="str">
        <f>IF(B509="","",_xlfn.XLOOKUP(B509,'Orders Ledger'!$A:$A,'Orders Ledger'!$F:$F,""))</f>
        <v/>
      </c>
      <c r="G509" t="str">
        <f>IF(B509="","",_xlfn.XLOOKUP(B509,'Orders Ledger'!$A:$A,'Orders Ledger'!$N:$N,0))</f>
        <v/>
      </c>
    </row>
    <row r="510" spans="2:7" x14ac:dyDescent="0.3">
      <c r="B510" t="str">
        <f t="array" ref="B510">IFERROR(INDEX('Orders Ledger'!$A$2:$A$1501, SMALL(IF(('Orders Ledger'!$J$2:$J$1501="disputed")+('Orders Ledger'!$J$2:$J$1501="PENDING_REVIEW"), ROW('Orders Ledger'!$A$2:$A$1501)-ROW('Orders Ledger'!$A$2)+1), ROW(452:452))), "")</f>
        <v/>
      </c>
      <c r="C510" s="11" t="str">
        <f>IF(B510="","",_xlfn.XLOOKUP(B510,'Orders Ledger'!$A:$A,'Orders Ledger'!$B:$B,""))</f>
        <v/>
      </c>
      <c r="D510" t="str">
        <f>IF(B510="","",_xlfn.XLOOKUP(B510,'Orders Ledger'!$A:$A,'Orders Ledger'!$G:$G,""))</f>
        <v/>
      </c>
      <c r="E510" t="str">
        <f>IF(B510="","",_xlfn.XLOOKUP(B510,'Orders Ledger'!$A:$A,'Orders Ledger'!$H:$H,""))</f>
        <v/>
      </c>
      <c r="F510" t="str">
        <f>IF(B510="","",_xlfn.XLOOKUP(B510,'Orders Ledger'!$A:$A,'Orders Ledger'!$F:$F,""))</f>
        <v/>
      </c>
      <c r="G510" t="str">
        <f>IF(B510="","",_xlfn.XLOOKUP(B510,'Orders Ledger'!$A:$A,'Orders Ledger'!$N:$N,0))</f>
        <v/>
      </c>
    </row>
    <row r="511" spans="2:7" x14ac:dyDescent="0.3">
      <c r="B511" t="str">
        <f t="array" ref="B511">IFERROR(INDEX('Orders Ledger'!$A$2:$A$1501, SMALL(IF(('Orders Ledger'!$J$2:$J$1501="disputed")+('Orders Ledger'!$J$2:$J$1501="PENDING_REVIEW"), ROW('Orders Ledger'!$A$2:$A$1501)-ROW('Orders Ledger'!$A$2)+1), ROW(453:453))), "")</f>
        <v/>
      </c>
      <c r="C511" s="11" t="str">
        <f>IF(B511="","",_xlfn.XLOOKUP(B511,'Orders Ledger'!$A:$A,'Orders Ledger'!$B:$B,""))</f>
        <v/>
      </c>
      <c r="D511" t="str">
        <f>IF(B511="","",_xlfn.XLOOKUP(B511,'Orders Ledger'!$A:$A,'Orders Ledger'!$G:$G,""))</f>
        <v/>
      </c>
      <c r="E511" t="str">
        <f>IF(B511="","",_xlfn.XLOOKUP(B511,'Orders Ledger'!$A:$A,'Orders Ledger'!$H:$H,""))</f>
        <v/>
      </c>
      <c r="F511" t="str">
        <f>IF(B511="","",_xlfn.XLOOKUP(B511,'Orders Ledger'!$A:$A,'Orders Ledger'!$F:$F,""))</f>
        <v/>
      </c>
      <c r="G511" t="str">
        <f>IF(B511="","",_xlfn.XLOOKUP(B511,'Orders Ledger'!$A:$A,'Orders Ledger'!$N:$N,0))</f>
        <v/>
      </c>
    </row>
    <row r="512" spans="2:7" x14ac:dyDescent="0.3">
      <c r="B512" t="str">
        <f t="array" ref="B512">IFERROR(INDEX('Orders Ledger'!$A$2:$A$1501, SMALL(IF(('Orders Ledger'!$J$2:$J$1501="disputed")+('Orders Ledger'!$J$2:$J$1501="PENDING_REVIEW"), ROW('Orders Ledger'!$A$2:$A$1501)-ROW('Orders Ledger'!$A$2)+1), ROW(454:454))), "")</f>
        <v/>
      </c>
      <c r="C512" s="11" t="str">
        <f>IF(B512="","",_xlfn.XLOOKUP(B512,'Orders Ledger'!$A:$A,'Orders Ledger'!$B:$B,""))</f>
        <v/>
      </c>
      <c r="D512" t="str">
        <f>IF(B512="","",_xlfn.XLOOKUP(B512,'Orders Ledger'!$A:$A,'Orders Ledger'!$G:$G,""))</f>
        <v/>
      </c>
      <c r="E512" t="str">
        <f>IF(B512="","",_xlfn.XLOOKUP(B512,'Orders Ledger'!$A:$A,'Orders Ledger'!$H:$H,""))</f>
        <v/>
      </c>
      <c r="F512" t="str">
        <f>IF(B512="","",_xlfn.XLOOKUP(B512,'Orders Ledger'!$A:$A,'Orders Ledger'!$F:$F,""))</f>
        <v/>
      </c>
      <c r="G512" t="str">
        <f>IF(B512="","",_xlfn.XLOOKUP(B512,'Orders Ledger'!$A:$A,'Orders Ledger'!$N:$N,0))</f>
        <v/>
      </c>
    </row>
    <row r="513" spans="2:7" x14ac:dyDescent="0.3">
      <c r="B513" t="str">
        <f t="array" ref="B513">IFERROR(INDEX('Orders Ledger'!$A$2:$A$1501, SMALL(IF(('Orders Ledger'!$J$2:$J$1501="disputed")+('Orders Ledger'!$J$2:$J$1501="PENDING_REVIEW"), ROW('Orders Ledger'!$A$2:$A$1501)-ROW('Orders Ledger'!$A$2)+1), ROW(455:455))), "")</f>
        <v/>
      </c>
      <c r="C513" s="11" t="str">
        <f>IF(B513="","",_xlfn.XLOOKUP(B513,'Orders Ledger'!$A:$A,'Orders Ledger'!$B:$B,""))</f>
        <v/>
      </c>
      <c r="D513" t="str">
        <f>IF(B513="","",_xlfn.XLOOKUP(B513,'Orders Ledger'!$A:$A,'Orders Ledger'!$G:$G,""))</f>
        <v/>
      </c>
      <c r="E513" t="str">
        <f>IF(B513="","",_xlfn.XLOOKUP(B513,'Orders Ledger'!$A:$A,'Orders Ledger'!$H:$H,""))</f>
        <v/>
      </c>
      <c r="F513" t="str">
        <f>IF(B513="","",_xlfn.XLOOKUP(B513,'Orders Ledger'!$A:$A,'Orders Ledger'!$F:$F,""))</f>
        <v/>
      </c>
      <c r="G513" t="str">
        <f>IF(B513="","",_xlfn.XLOOKUP(B513,'Orders Ledger'!$A:$A,'Orders Ledger'!$N:$N,0))</f>
        <v/>
      </c>
    </row>
    <row r="514" spans="2:7" x14ac:dyDescent="0.3">
      <c r="B514" t="str">
        <f t="array" ref="B514">IFERROR(INDEX('Orders Ledger'!$A$2:$A$1501, SMALL(IF(('Orders Ledger'!$J$2:$J$1501="disputed")+('Orders Ledger'!$J$2:$J$1501="PENDING_REVIEW"), ROW('Orders Ledger'!$A$2:$A$1501)-ROW('Orders Ledger'!$A$2)+1), ROW(456:456))), "")</f>
        <v/>
      </c>
      <c r="C514" s="11" t="str">
        <f>IF(B514="","",_xlfn.XLOOKUP(B514,'Orders Ledger'!$A:$A,'Orders Ledger'!$B:$B,""))</f>
        <v/>
      </c>
      <c r="D514" t="str">
        <f>IF(B514="","",_xlfn.XLOOKUP(B514,'Orders Ledger'!$A:$A,'Orders Ledger'!$G:$G,""))</f>
        <v/>
      </c>
      <c r="E514" t="str">
        <f>IF(B514="","",_xlfn.XLOOKUP(B514,'Orders Ledger'!$A:$A,'Orders Ledger'!$H:$H,""))</f>
        <v/>
      </c>
      <c r="F514" t="str">
        <f>IF(B514="","",_xlfn.XLOOKUP(B514,'Orders Ledger'!$A:$A,'Orders Ledger'!$F:$F,""))</f>
        <v/>
      </c>
      <c r="G514" t="str">
        <f>IF(B514="","",_xlfn.XLOOKUP(B514,'Orders Ledger'!$A:$A,'Orders Ledger'!$N:$N,0))</f>
        <v/>
      </c>
    </row>
    <row r="515" spans="2:7" x14ac:dyDescent="0.3">
      <c r="B515" t="str">
        <f t="array" ref="B515">IFERROR(INDEX('Orders Ledger'!$A$2:$A$1501, SMALL(IF(('Orders Ledger'!$J$2:$J$1501="disputed")+('Orders Ledger'!$J$2:$J$1501="PENDING_REVIEW"), ROW('Orders Ledger'!$A$2:$A$1501)-ROW('Orders Ledger'!$A$2)+1), ROW(457:457))), "")</f>
        <v/>
      </c>
      <c r="C515" s="11" t="str">
        <f>IF(B515="","",_xlfn.XLOOKUP(B515,'Orders Ledger'!$A:$A,'Orders Ledger'!$B:$B,""))</f>
        <v/>
      </c>
      <c r="D515" t="str">
        <f>IF(B515="","",_xlfn.XLOOKUP(B515,'Orders Ledger'!$A:$A,'Orders Ledger'!$G:$G,""))</f>
        <v/>
      </c>
      <c r="E515" t="str">
        <f>IF(B515="","",_xlfn.XLOOKUP(B515,'Orders Ledger'!$A:$A,'Orders Ledger'!$H:$H,""))</f>
        <v/>
      </c>
      <c r="F515" t="str">
        <f>IF(B515="","",_xlfn.XLOOKUP(B515,'Orders Ledger'!$A:$A,'Orders Ledger'!$F:$F,""))</f>
        <v/>
      </c>
      <c r="G515" t="str">
        <f>IF(B515="","",_xlfn.XLOOKUP(B515,'Orders Ledger'!$A:$A,'Orders Ledger'!$N:$N,0))</f>
        <v/>
      </c>
    </row>
    <row r="516" spans="2:7" x14ac:dyDescent="0.3">
      <c r="B516" t="str">
        <f t="array" ref="B516">IFERROR(INDEX('Orders Ledger'!$A$2:$A$1501, SMALL(IF(('Orders Ledger'!$J$2:$J$1501="disputed")+('Orders Ledger'!$J$2:$J$1501="PENDING_REVIEW"), ROW('Orders Ledger'!$A$2:$A$1501)-ROW('Orders Ledger'!$A$2)+1), ROW(458:458))), "")</f>
        <v/>
      </c>
      <c r="C516" s="11" t="str">
        <f>IF(B516="","",_xlfn.XLOOKUP(B516,'Orders Ledger'!$A:$A,'Orders Ledger'!$B:$B,""))</f>
        <v/>
      </c>
      <c r="D516" t="str">
        <f>IF(B516="","",_xlfn.XLOOKUP(B516,'Orders Ledger'!$A:$A,'Orders Ledger'!$G:$G,""))</f>
        <v/>
      </c>
      <c r="E516" t="str">
        <f>IF(B516="","",_xlfn.XLOOKUP(B516,'Orders Ledger'!$A:$A,'Orders Ledger'!$H:$H,""))</f>
        <v/>
      </c>
      <c r="F516" t="str">
        <f>IF(B516="","",_xlfn.XLOOKUP(B516,'Orders Ledger'!$A:$A,'Orders Ledger'!$F:$F,""))</f>
        <v/>
      </c>
      <c r="G516" t="str">
        <f>IF(B516="","",_xlfn.XLOOKUP(B516,'Orders Ledger'!$A:$A,'Orders Ledger'!$N:$N,0))</f>
        <v/>
      </c>
    </row>
    <row r="517" spans="2:7" x14ac:dyDescent="0.3">
      <c r="B517" t="str">
        <f t="array" ref="B517">IFERROR(INDEX('Orders Ledger'!$A$2:$A$1501, SMALL(IF(('Orders Ledger'!$J$2:$J$1501="disputed")+('Orders Ledger'!$J$2:$J$1501="PENDING_REVIEW"), ROW('Orders Ledger'!$A$2:$A$1501)-ROW('Orders Ledger'!$A$2)+1), ROW(459:459))), "")</f>
        <v/>
      </c>
      <c r="C517" s="11" t="str">
        <f>IF(B517="","",_xlfn.XLOOKUP(B517,'Orders Ledger'!$A:$A,'Orders Ledger'!$B:$B,""))</f>
        <v/>
      </c>
      <c r="D517" t="str">
        <f>IF(B517="","",_xlfn.XLOOKUP(B517,'Orders Ledger'!$A:$A,'Orders Ledger'!$G:$G,""))</f>
        <v/>
      </c>
      <c r="E517" t="str">
        <f>IF(B517="","",_xlfn.XLOOKUP(B517,'Orders Ledger'!$A:$A,'Orders Ledger'!$H:$H,""))</f>
        <v/>
      </c>
      <c r="F517" t="str">
        <f>IF(B517="","",_xlfn.XLOOKUP(B517,'Orders Ledger'!$A:$A,'Orders Ledger'!$F:$F,""))</f>
        <v/>
      </c>
      <c r="G517" t="str">
        <f>IF(B517="","",_xlfn.XLOOKUP(B517,'Orders Ledger'!$A:$A,'Orders Ledger'!$N:$N,0))</f>
        <v/>
      </c>
    </row>
    <row r="518" spans="2:7" x14ac:dyDescent="0.3">
      <c r="B518" t="str">
        <f t="array" ref="B518">IFERROR(INDEX('Orders Ledger'!$A$2:$A$1501, SMALL(IF(('Orders Ledger'!$J$2:$J$1501="disputed")+('Orders Ledger'!$J$2:$J$1501="PENDING_REVIEW"), ROW('Orders Ledger'!$A$2:$A$1501)-ROW('Orders Ledger'!$A$2)+1), ROW(460:460))), "")</f>
        <v/>
      </c>
      <c r="C518" s="11" t="str">
        <f>IF(B518="","",_xlfn.XLOOKUP(B518,'Orders Ledger'!$A:$A,'Orders Ledger'!$B:$B,""))</f>
        <v/>
      </c>
      <c r="D518" t="str">
        <f>IF(B518="","",_xlfn.XLOOKUP(B518,'Orders Ledger'!$A:$A,'Orders Ledger'!$G:$G,""))</f>
        <v/>
      </c>
      <c r="E518" t="str">
        <f>IF(B518="","",_xlfn.XLOOKUP(B518,'Orders Ledger'!$A:$A,'Orders Ledger'!$H:$H,""))</f>
        <v/>
      </c>
      <c r="F518" t="str">
        <f>IF(B518="","",_xlfn.XLOOKUP(B518,'Orders Ledger'!$A:$A,'Orders Ledger'!$F:$F,""))</f>
        <v/>
      </c>
      <c r="G518" t="str">
        <f>IF(B518="","",_xlfn.XLOOKUP(B518,'Orders Ledger'!$A:$A,'Orders Ledger'!$N:$N,0))</f>
        <v/>
      </c>
    </row>
    <row r="519" spans="2:7" x14ac:dyDescent="0.3">
      <c r="B519" t="str">
        <f t="array" ref="B519">IFERROR(INDEX('Orders Ledger'!$A$2:$A$1501, SMALL(IF(('Orders Ledger'!$J$2:$J$1501="disputed")+('Orders Ledger'!$J$2:$J$1501="PENDING_REVIEW"), ROW('Orders Ledger'!$A$2:$A$1501)-ROW('Orders Ledger'!$A$2)+1), ROW(461:461))), "")</f>
        <v/>
      </c>
      <c r="C519" s="11" t="str">
        <f>IF(B519="","",_xlfn.XLOOKUP(B519,'Orders Ledger'!$A:$A,'Orders Ledger'!$B:$B,""))</f>
        <v/>
      </c>
      <c r="D519" t="str">
        <f>IF(B519="","",_xlfn.XLOOKUP(B519,'Orders Ledger'!$A:$A,'Orders Ledger'!$G:$G,""))</f>
        <v/>
      </c>
      <c r="E519" t="str">
        <f>IF(B519="","",_xlfn.XLOOKUP(B519,'Orders Ledger'!$A:$A,'Orders Ledger'!$H:$H,""))</f>
        <v/>
      </c>
      <c r="F519" t="str">
        <f>IF(B519="","",_xlfn.XLOOKUP(B519,'Orders Ledger'!$A:$A,'Orders Ledger'!$F:$F,""))</f>
        <v/>
      </c>
      <c r="G519" t="str">
        <f>IF(B519="","",_xlfn.XLOOKUP(B519,'Orders Ledger'!$A:$A,'Orders Ledger'!$N:$N,0))</f>
        <v/>
      </c>
    </row>
    <row r="520" spans="2:7" x14ac:dyDescent="0.3">
      <c r="B520" t="str">
        <f t="array" ref="B520">IFERROR(INDEX('Orders Ledger'!$A$2:$A$1501, SMALL(IF(('Orders Ledger'!$J$2:$J$1501="disputed")+('Orders Ledger'!$J$2:$J$1501="PENDING_REVIEW"), ROW('Orders Ledger'!$A$2:$A$1501)-ROW('Orders Ledger'!$A$2)+1), ROW(462:462))), "")</f>
        <v/>
      </c>
      <c r="C520" s="11" t="str">
        <f>IF(B520="","",_xlfn.XLOOKUP(B520,'Orders Ledger'!$A:$A,'Orders Ledger'!$B:$B,""))</f>
        <v/>
      </c>
      <c r="D520" t="str">
        <f>IF(B520="","",_xlfn.XLOOKUP(B520,'Orders Ledger'!$A:$A,'Orders Ledger'!$G:$G,""))</f>
        <v/>
      </c>
      <c r="E520" t="str">
        <f>IF(B520="","",_xlfn.XLOOKUP(B520,'Orders Ledger'!$A:$A,'Orders Ledger'!$H:$H,""))</f>
        <v/>
      </c>
      <c r="F520" t="str">
        <f>IF(B520="","",_xlfn.XLOOKUP(B520,'Orders Ledger'!$A:$A,'Orders Ledger'!$F:$F,""))</f>
        <v/>
      </c>
      <c r="G520" t="str">
        <f>IF(B520="","",_xlfn.XLOOKUP(B520,'Orders Ledger'!$A:$A,'Orders Ledger'!$N:$N,0))</f>
        <v/>
      </c>
    </row>
    <row r="521" spans="2:7" x14ac:dyDescent="0.3">
      <c r="B521" t="str">
        <f t="array" ref="B521">IFERROR(INDEX('Orders Ledger'!$A$2:$A$1501, SMALL(IF(('Orders Ledger'!$J$2:$J$1501="disputed")+('Orders Ledger'!$J$2:$J$1501="PENDING_REVIEW"), ROW('Orders Ledger'!$A$2:$A$1501)-ROW('Orders Ledger'!$A$2)+1), ROW(463:463))), "")</f>
        <v/>
      </c>
      <c r="C521" s="11" t="str">
        <f>IF(B521="","",_xlfn.XLOOKUP(B521,'Orders Ledger'!$A:$A,'Orders Ledger'!$B:$B,""))</f>
        <v/>
      </c>
      <c r="D521" t="str">
        <f>IF(B521="","",_xlfn.XLOOKUP(B521,'Orders Ledger'!$A:$A,'Orders Ledger'!$G:$G,""))</f>
        <v/>
      </c>
      <c r="E521" t="str">
        <f>IF(B521="","",_xlfn.XLOOKUP(B521,'Orders Ledger'!$A:$A,'Orders Ledger'!$H:$H,""))</f>
        <v/>
      </c>
      <c r="F521" t="str">
        <f>IF(B521="","",_xlfn.XLOOKUP(B521,'Orders Ledger'!$A:$A,'Orders Ledger'!$F:$F,""))</f>
        <v/>
      </c>
      <c r="G521" t="str">
        <f>IF(B521="","",_xlfn.XLOOKUP(B521,'Orders Ledger'!$A:$A,'Orders Ledger'!$N:$N,0))</f>
        <v/>
      </c>
    </row>
    <row r="522" spans="2:7" x14ac:dyDescent="0.3">
      <c r="B522" t="str">
        <f t="array" ref="B522">IFERROR(INDEX('Orders Ledger'!$A$2:$A$1501, SMALL(IF(('Orders Ledger'!$J$2:$J$1501="disputed")+('Orders Ledger'!$J$2:$J$1501="PENDING_REVIEW"), ROW('Orders Ledger'!$A$2:$A$1501)-ROW('Orders Ledger'!$A$2)+1), ROW(464:464))), "")</f>
        <v/>
      </c>
      <c r="C522" s="11" t="str">
        <f>IF(B522="","",_xlfn.XLOOKUP(B522,'Orders Ledger'!$A:$A,'Orders Ledger'!$B:$B,""))</f>
        <v/>
      </c>
      <c r="D522" t="str">
        <f>IF(B522="","",_xlfn.XLOOKUP(B522,'Orders Ledger'!$A:$A,'Orders Ledger'!$G:$G,""))</f>
        <v/>
      </c>
      <c r="E522" t="str">
        <f>IF(B522="","",_xlfn.XLOOKUP(B522,'Orders Ledger'!$A:$A,'Orders Ledger'!$H:$H,""))</f>
        <v/>
      </c>
      <c r="F522" t="str">
        <f>IF(B522="","",_xlfn.XLOOKUP(B522,'Orders Ledger'!$A:$A,'Orders Ledger'!$F:$F,""))</f>
        <v/>
      </c>
      <c r="G522" t="str">
        <f>IF(B522="","",_xlfn.XLOOKUP(B522,'Orders Ledger'!$A:$A,'Orders Ledger'!$N:$N,0))</f>
        <v/>
      </c>
    </row>
    <row r="523" spans="2:7" x14ac:dyDescent="0.3">
      <c r="B523" t="str">
        <f t="array" ref="B523">IFERROR(INDEX('Orders Ledger'!$A$2:$A$1501, SMALL(IF(('Orders Ledger'!$J$2:$J$1501="disputed")+('Orders Ledger'!$J$2:$J$1501="PENDING_REVIEW"), ROW('Orders Ledger'!$A$2:$A$1501)-ROW('Orders Ledger'!$A$2)+1), ROW(465:465))), "")</f>
        <v/>
      </c>
      <c r="C523" s="11" t="str">
        <f>IF(B523="","",_xlfn.XLOOKUP(B523,'Orders Ledger'!$A:$A,'Orders Ledger'!$B:$B,""))</f>
        <v/>
      </c>
      <c r="D523" t="str">
        <f>IF(B523="","",_xlfn.XLOOKUP(B523,'Orders Ledger'!$A:$A,'Orders Ledger'!$G:$G,""))</f>
        <v/>
      </c>
      <c r="E523" t="str">
        <f>IF(B523="","",_xlfn.XLOOKUP(B523,'Orders Ledger'!$A:$A,'Orders Ledger'!$H:$H,""))</f>
        <v/>
      </c>
      <c r="F523" t="str">
        <f>IF(B523="","",_xlfn.XLOOKUP(B523,'Orders Ledger'!$A:$A,'Orders Ledger'!$F:$F,""))</f>
        <v/>
      </c>
      <c r="G523" t="str">
        <f>IF(B523="","",_xlfn.XLOOKUP(B523,'Orders Ledger'!$A:$A,'Orders Ledger'!$N:$N,0))</f>
        <v/>
      </c>
    </row>
    <row r="524" spans="2:7" x14ac:dyDescent="0.3">
      <c r="B524" t="str">
        <f t="array" ref="B524">IFERROR(INDEX('Orders Ledger'!$A$2:$A$1501, SMALL(IF(('Orders Ledger'!$J$2:$J$1501="disputed")+('Orders Ledger'!$J$2:$J$1501="PENDING_REVIEW"), ROW('Orders Ledger'!$A$2:$A$1501)-ROW('Orders Ledger'!$A$2)+1), ROW(466:466))), "")</f>
        <v/>
      </c>
      <c r="C524" s="11" t="str">
        <f>IF(B524="","",_xlfn.XLOOKUP(B524,'Orders Ledger'!$A:$A,'Orders Ledger'!$B:$B,""))</f>
        <v/>
      </c>
      <c r="D524" t="str">
        <f>IF(B524="","",_xlfn.XLOOKUP(B524,'Orders Ledger'!$A:$A,'Orders Ledger'!$G:$G,""))</f>
        <v/>
      </c>
      <c r="E524" t="str">
        <f>IF(B524="","",_xlfn.XLOOKUP(B524,'Orders Ledger'!$A:$A,'Orders Ledger'!$H:$H,""))</f>
        <v/>
      </c>
      <c r="F524" t="str">
        <f>IF(B524="","",_xlfn.XLOOKUP(B524,'Orders Ledger'!$A:$A,'Orders Ledger'!$F:$F,""))</f>
        <v/>
      </c>
      <c r="G524" t="str">
        <f>IF(B524="","",_xlfn.XLOOKUP(B524,'Orders Ledger'!$A:$A,'Orders Ledger'!$N:$N,0))</f>
        <v/>
      </c>
    </row>
    <row r="525" spans="2:7" x14ac:dyDescent="0.3">
      <c r="B525" t="str">
        <f t="array" ref="B525">IFERROR(INDEX('Orders Ledger'!$A$2:$A$1501, SMALL(IF(('Orders Ledger'!$J$2:$J$1501="disputed")+('Orders Ledger'!$J$2:$J$1501="PENDING_REVIEW"), ROW('Orders Ledger'!$A$2:$A$1501)-ROW('Orders Ledger'!$A$2)+1), ROW(467:467))), "")</f>
        <v/>
      </c>
      <c r="C525" s="11" t="str">
        <f>IF(B525="","",_xlfn.XLOOKUP(B525,'Orders Ledger'!$A:$A,'Orders Ledger'!$B:$B,""))</f>
        <v/>
      </c>
      <c r="D525" t="str">
        <f>IF(B525="","",_xlfn.XLOOKUP(B525,'Orders Ledger'!$A:$A,'Orders Ledger'!$G:$G,""))</f>
        <v/>
      </c>
      <c r="E525" t="str">
        <f>IF(B525="","",_xlfn.XLOOKUP(B525,'Orders Ledger'!$A:$A,'Orders Ledger'!$H:$H,""))</f>
        <v/>
      </c>
      <c r="F525" t="str">
        <f>IF(B525="","",_xlfn.XLOOKUP(B525,'Orders Ledger'!$A:$A,'Orders Ledger'!$F:$F,""))</f>
        <v/>
      </c>
      <c r="G525" t="str">
        <f>IF(B525="","",_xlfn.XLOOKUP(B525,'Orders Ledger'!$A:$A,'Orders Ledger'!$N:$N,0))</f>
        <v/>
      </c>
    </row>
    <row r="526" spans="2:7" x14ac:dyDescent="0.3">
      <c r="B526" t="str">
        <f t="array" ref="B526">IFERROR(INDEX('Orders Ledger'!$A$2:$A$1501, SMALL(IF(('Orders Ledger'!$J$2:$J$1501="disputed")+('Orders Ledger'!$J$2:$J$1501="PENDING_REVIEW"), ROW('Orders Ledger'!$A$2:$A$1501)-ROW('Orders Ledger'!$A$2)+1), ROW(468:468))), "")</f>
        <v/>
      </c>
      <c r="C526" s="11" t="str">
        <f>IF(B526="","",_xlfn.XLOOKUP(B526,'Orders Ledger'!$A:$A,'Orders Ledger'!$B:$B,""))</f>
        <v/>
      </c>
      <c r="D526" t="str">
        <f>IF(B526="","",_xlfn.XLOOKUP(B526,'Orders Ledger'!$A:$A,'Orders Ledger'!$G:$G,""))</f>
        <v/>
      </c>
      <c r="E526" t="str">
        <f>IF(B526="","",_xlfn.XLOOKUP(B526,'Orders Ledger'!$A:$A,'Orders Ledger'!$H:$H,""))</f>
        <v/>
      </c>
      <c r="F526" t="str">
        <f>IF(B526="","",_xlfn.XLOOKUP(B526,'Orders Ledger'!$A:$A,'Orders Ledger'!$F:$F,""))</f>
        <v/>
      </c>
      <c r="G526" t="str">
        <f>IF(B526="","",_xlfn.XLOOKUP(B526,'Orders Ledger'!$A:$A,'Orders Ledger'!$N:$N,0))</f>
        <v/>
      </c>
    </row>
    <row r="527" spans="2:7" x14ac:dyDescent="0.3">
      <c r="B527" t="str">
        <f t="array" ref="B527">IFERROR(INDEX('Orders Ledger'!$A$2:$A$1501, SMALL(IF(('Orders Ledger'!$J$2:$J$1501="disputed")+('Orders Ledger'!$J$2:$J$1501="PENDING_REVIEW"), ROW('Orders Ledger'!$A$2:$A$1501)-ROW('Orders Ledger'!$A$2)+1), ROW(469:469))), "")</f>
        <v/>
      </c>
      <c r="C527" s="11" t="str">
        <f>IF(B527="","",_xlfn.XLOOKUP(B527,'Orders Ledger'!$A:$A,'Orders Ledger'!$B:$B,""))</f>
        <v/>
      </c>
      <c r="D527" t="str">
        <f>IF(B527="","",_xlfn.XLOOKUP(B527,'Orders Ledger'!$A:$A,'Orders Ledger'!$G:$G,""))</f>
        <v/>
      </c>
      <c r="E527" t="str">
        <f>IF(B527="","",_xlfn.XLOOKUP(B527,'Orders Ledger'!$A:$A,'Orders Ledger'!$H:$H,""))</f>
        <v/>
      </c>
      <c r="F527" t="str">
        <f>IF(B527="","",_xlfn.XLOOKUP(B527,'Orders Ledger'!$A:$A,'Orders Ledger'!$F:$F,""))</f>
        <v/>
      </c>
      <c r="G527" t="str">
        <f>IF(B527="","",_xlfn.XLOOKUP(B527,'Orders Ledger'!$A:$A,'Orders Ledger'!$N:$N,0))</f>
        <v/>
      </c>
    </row>
    <row r="528" spans="2:7" x14ac:dyDescent="0.3">
      <c r="B528" t="str">
        <f t="array" ref="B528">IFERROR(INDEX('Orders Ledger'!$A$2:$A$1501, SMALL(IF(('Orders Ledger'!$J$2:$J$1501="disputed")+('Orders Ledger'!$J$2:$J$1501="PENDING_REVIEW"), ROW('Orders Ledger'!$A$2:$A$1501)-ROW('Orders Ledger'!$A$2)+1), ROW(470:470))), "")</f>
        <v/>
      </c>
      <c r="C528" s="11" t="str">
        <f>IF(B528="","",_xlfn.XLOOKUP(B528,'Orders Ledger'!$A:$A,'Orders Ledger'!$B:$B,""))</f>
        <v/>
      </c>
      <c r="D528" t="str">
        <f>IF(B528="","",_xlfn.XLOOKUP(B528,'Orders Ledger'!$A:$A,'Orders Ledger'!$G:$G,""))</f>
        <v/>
      </c>
      <c r="E528" t="str">
        <f>IF(B528="","",_xlfn.XLOOKUP(B528,'Orders Ledger'!$A:$A,'Orders Ledger'!$H:$H,""))</f>
        <v/>
      </c>
      <c r="F528" t="str">
        <f>IF(B528="","",_xlfn.XLOOKUP(B528,'Orders Ledger'!$A:$A,'Orders Ledger'!$F:$F,""))</f>
        <v/>
      </c>
      <c r="G528" t="str">
        <f>IF(B528="","",_xlfn.XLOOKUP(B528,'Orders Ledger'!$A:$A,'Orders Ledger'!$N:$N,0))</f>
        <v/>
      </c>
    </row>
    <row r="529" spans="2:7" x14ac:dyDescent="0.3">
      <c r="B529" t="str">
        <f t="array" ref="B529">IFERROR(INDEX('Orders Ledger'!$A$2:$A$1501, SMALL(IF(('Orders Ledger'!$J$2:$J$1501="disputed")+('Orders Ledger'!$J$2:$J$1501="PENDING_REVIEW"), ROW('Orders Ledger'!$A$2:$A$1501)-ROW('Orders Ledger'!$A$2)+1), ROW(471:471))), "")</f>
        <v/>
      </c>
      <c r="C529" s="11" t="str">
        <f>IF(B529="","",_xlfn.XLOOKUP(B529,'Orders Ledger'!$A:$A,'Orders Ledger'!$B:$B,""))</f>
        <v/>
      </c>
      <c r="D529" t="str">
        <f>IF(B529="","",_xlfn.XLOOKUP(B529,'Orders Ledger'!$A:$A,'Orders Ledger'!$G:$G,""))</f>
        <v/>
      </c>
      <c r="E529" t="str">
        <f>IF(B529="","",_xlfn.XLOOKUP(B529,'Orders Ledger'!$A:$A,'Orders Ledger'!$H:$H,""))</f>
        <v/>
      </c>
      <c r="F529" t="str">
        <f>IF(B529="","",_xlfn.XLOOKUP(B529,'Orders Ledger'!$A:$A,'Orders Ledger'!$F:$F,""))</f>
        <v/>
      </c>
      <c r="G529" t="str">
        <f>IF(B529="","",_xlfn.XLOOKUP(B529,'Orders Ledger'!$A:$A,'Orders Ledger'!$N:$N,0))</f>
        <v/>
      </c>
    </row>
    <row r="530" spans="2:7" x14ac:dyDescent="0.3">
      <c r="B530" t="str">
        <f t="array" ref="B530">IFERROR(INDEX('Orders Ledger'!$A$2:$A$1501, SMALL(IF(('Orders Ledger'!$J$2:$J$1501="disputed")+('Orders Ledger'!$J$2:$J$1501="PENDING_REVIEW"), ROW('Orders Ledger'!$A$2:$A$1501)-ROW('Orders Ledger'!$A$2)+1), ROW(472:472))), "")</f>
        <v/>
      </c>
      <c r="C530" s="11" t="str">
        <f>IF(B530="","",_xlfn.XLOOKUP(B530,'Orders Ledger'!$A:$A,'Orders Ledger'!$B:$B,""))</f>
        <v/>
      </c>
      <c r="D530" t="str">
        <f>IF(B530="","",_xlfn.XLOOKUP(B530,'Orders Ledger'!$A:$A,'Orders Ledger'!$G:$G,""))</f>
        <v/>
      </c>
      <c r="E530" t="str">
        <f>IF(B530="","",_xlfn.XLOOKUP(B530,'Orders Ledger'!$A:$A,'Orders Ledger'!$H:$H,""))</f>
        <v/>
      </c>
      <c r="F530" t="str">
        <f>IF(B530="","",_xlfn.XLOOKUP(B530,'Orders Ledger'!$A:$A,'Orders Ledger'!$F:$F,""))</f>
        <v/>
      </c>
      <c r="G530" t="str">
        <f>IF(B530="","",_xlfn.XLOOKUP(B530,'Orders Ledger'!$A:$A,'Orders Ledger'!$N:$N,0))</f>
        <v/>
      </c>
    </row>
    <row r="531" spans="2:7" x14ac:dyDescent="0.3">
      <c r="B531" t="str">
        <f t="array" ref="B531">IFERROR(INDEX('Orders Ledger'!$A$2:$A$1501, SMALL(IF(('Orders Ledger'!$J$2:$J$1501="disputed")+('Orders Ledger'!$J$2:$J$1501="PENDING_REVIEW"), ROW('Orders Ledger'!$A$2:$A$1501)-ROW('Orders Ledger'!$A$2)+1), ROW(473:473))), "")</f>
        <v/>
      </c>
      <c r="C531" s="11" t="str">
        <f>IF(B531="","",_xlfn.XLOOKUP(B531,'Orders Ledger'!$A:$A,'Orders Ledger'!$B:$B,""))</f>
        <v/>
      </c>
      <c r="D531" t="str">
        <f>IF(B531="","",_xlfn.XLOOKUP(B531,'Orders Ledger'!$A:$A,'Orders Ledger'!$G:$G,""))</f>
        <v/>
      </c>
      <c r="E531" t="str">
        <f>IF(B531="","",_xlfn.XLOOKUP(B531,'Orders Ledger'!$A:$A,'Orders Ledger'!$H:$H,""))</f>
        <v/>
      </c>
      <c r="F531" t="str">
        <f>IF(B531="","",_xlfn.XLOOKUP(B531,'Orders Ledger'!$A:$A,'Orders Ledger'!$F:$F,""))</f>
        <v/>
      </c>
      <c r="G531" t="str">
        <f>IF(B531="","",_xlfn.XLOOKUP(B531,'Orders Ledger'!$A:$A,'Orders Ledger'!$N:$N,0))</f>
        <v/>
      </c>
    </row>
    <row r="532" spans="2:7" x14ac:dyDescent="0.3">
      <c r="B532" t="str">
        <f t="array" ref="B532">IFERROR(INDEX('Orders Ledger'!$A$2:$A$1501, SMALL(IF(('Orders Ledger'!$J$2:$J$1501="disputed")+('Orders Ledger'!$J$2:$J$1501="PENDING_REVIEW"), ROW('Orders Ledger'!$A$2:$A$1501)-ROW('Orders Ledger'!$A$2)+1), ROW(474:474))), "")</f>
        <v/>
      </c>
      <c r="C532" s="11" t="str">
        <f>IF(B532="","",_xlfn.XLOOKUP(B532,'Orders Ledger'!$A:$A,'Orders Ledger'!$B:$B,""))</f>
        <v/>
      </c>
      <c r="D532" t="str">
        <f>IF(B532="","",_xlfn.XLOOKUP(B532,'Orders Ledger'!$A:$A,'Orders Ledger'!$G:$G,""))</f>
        <v/>
      </c>
      <c r="E532" t="str">
        <f>IF(B532="","",_xlfn.XLOOKUP(B532,'Orders Ledger'!$A:$A,'Orders Ledger'!$H:$H,""))</f>
        <v/>
      </c>
      <c r="F532" t="str">
        <f>IF(B532="","",_xlfn.XLOOKUP(B532,'Orders Ledger'!$A:$A,'Orders Ledger'!$F:$F,""))</f>
        <v/>
      </c>
      <c r="G532" t="str">
        <f>IF(B532="","",_xlfn.XLOOKUP(B532,'Orders Ledger'!$A:$A,'Orders Ledger'!$N:$N,0))</f>
        <v/>
      </c>
    </row>
    <row r="533" spans="2:7" x14ac:dyDescent="0.3">
      <c r="B533" t="str">
        <f t="array" ref="B533">IFERROR(INDEX('Orders Ledger'!$A$2:$A$1501, SMALL(IF(('Orders Ledger'!$J$2:$J$1501="disputed")+('Orders Ledger'!$J$2:$J$1501="PENDING_REVIEW"), ROW('Orders Ledger'!$A$2:$A$1501)-ROW('Orders Ledger'!$A$2)+1), ROW(475:475))), "")</f>
        <v/>
      </c>
      <c r="C533" s="11" t="str">
        <f>IF(B533="","",_xlfn.XLOOKUP(B533,'Orders Ledger'!$A:$A,'Orders Ledger'!$B:$B,""))</f>
        <v/>
      </c>
      <c r="D533" t="str">
        <f>IF(B533="","",_xlfn.XLOOKUP(B533,'Orders Ledger'!$A:$A,'Orders Ledger'!$G:$G,""))</f>
        <v/>
      </c>
      <c r="E533" t="str">
        <f>IF(B533="","",_xlfn.XLOOKUP(B533,'Orders Ledger'!$A:$A,'Orders Ledger'!$H:$H,""))</f>
        <v/>
      </c>
      <c r="F533" t="str">
        <f>IF(B533="","",_xlfn.XLOOKUP(B533,'Orders Ledger'!$A:$A,'Orders Ledger'!$F:$F,""))</f>
        <v/>
      </c>
      <c r="G533" t="str">
        <f>IF(B533="","",_xlfn.XLOOKUP(B533,'Orders Ledger'!$A:$A,'Orders Ledger'!$N:$N,0))</f>
        <v/>
      </c>
    </row>
    <row r="534" spans="2:7" x14ac:dyDescent="0.3">
      <c r="B534" t="str">
        <f t="array" ref="B534">IFERROR(INDEX('Orders Ledger'!$A$2:$A$1501, SMALL(IF(('Orders Ledger'!$J$2:$J$1501="disputed")+('Orders Ledger'!$J$2:$J$1501="PENDING_REVIEW"), ROW('Orders Ledger'!$A$2:$A$1501)-ROW('Orders Ledger'!$A$2)+1), ROW(476:476))), "")</f>
        <v/>
      </c>
      <c r="C534" s="11" t="str">
        <f>IF(B534="","",_xlfn.XLOOKUP(B534,'Orders Ledger'!$A:$A,'Orders Ledger'!$B:$B,""))</f>
        <v/>
      </c>
      <c r="D534" t="str">
        <f>IF(B534="","",_xlfn.XLOOKUP(B534,'Orders Ledger'!$A:$A,'Orders Ledger'!$G:$G,""))</f>
        <v/>
      </c>
      <c r="E534" t="str">
        <f>IF(B534="","",_xlfn.XLOOKUP(B534,'Orders Ledger'!$A:$A,'Orders Ledger'!$H:$H,""))</f>
        <v/>
      </c>
      <c r="F534" t="str">
        <f>IF(B534="","",_xlfn.XLOOKUP(B534,'Orders Ledger'!$A:$A,'Orders Ledger'!$F:$F,""))</f>
        <v/>
      </c>
      <c r="G534" t="str">
        <f>IF(B534="","",_xlfn.XLOOKUP(B534,'Orders Ledger'!$A:$A,'Orders Ledger'!$N:$N,0))</f>
        <v/>
      </c>
    </row>
    <row r="535" spans="2:7" x14ac:dyDescent="0.3">
      <c r="B535" t="str">
        <f t="array" ref="B535">IFERROR(INDEX('Orders Ledger'!$A$2:$A$1501, SMALL(IF(('Orders Ledger'!$J$2:$J$1501="disputed")+('Orders Ledger'!$J$2:$J$1501="PENDING_REVIEW"), ROW('Orders Ledger'!$A$2:$A$1501)-ROW('Orders Ledger'!$A$2)+1), ROW(477:477))), "")</f>
        <v/>
      </c>
      <c r="C535" s="11" t="str">
        <f>IF(B535="","",_xlfn.XLOOKUP(B535,'Orders Ledger'!$A:$A,'Orders Ledger'!$B:$B,""))</f>
        <v/>
      </c>
      <c r="D535" t="str">
        <f>IF(B535="","",_xlfn.XLOOKUP(B535,'Orders Ledger'!$A:$A,'Orders Ledger'!$G:$G,""))</f>
        <v/>
      </c>
      <c r="E535" t="str">
        <f>IF(B535="","",_xlfn.XLOOKUP(B535,'Orders Ledger'!$A:$A,'Orders Ledger'!$H:$H,""))</f>
        <v/>
      </c>
      <c r="F535" t="str">
        <f>IF(B535="","",_xlfn.XLOOKUP(B535,'Orders Ledger'!$A:$A,'Orders Ledger'!$F:$F,""))</f>
        <v/>
      </c>
      <c r="G535" t="str">
        <f>IF(B535="","",_xlfn.XLOOKUP(B535,'Orders Ledger'!$A:$A,'Orders Ledger'!$N:$N,0))</f>
        <v/>
      </c>
    </row>
    <row r="536" spans="2:7" x14ac:dyDescent="0.3">
      <c r="B536" t="str">
        <f t="array" ref="B536">IFERROR(INDEX('Orders Ledger'!$A$2:$A$1501, SMALL(IF(('Orders Ledger'!$J$2:$J$1501="disputed")+('Orders Ledger'!$J$2:$J$1501="PENDING_REVIEW"), ROW('Orders Ledger'!$A$2:$A$1501)-ROW('Orders Ledger'!$A$2)+1), ROW(478:478))), "")</f>
        <v/>
      </c>
      <c r="C536" s="11" t="str">
        <f>IF(B536="","",_xlfn.XLOOKUP(B536,'Orders Ledger'!$A:$A,'Orders Ledger'!$B:$B,""))</f>
        <v/>
      </c>
      <c r="D536" t="str">
        <f>IF(B536="","",_xlfn.XLOOKUP(B536,'Orders Ledger'!$A:$A,'Orders Ledger'!$G:$G,""))</f>
        <v/>
      </c>
      <c r="E536" t="str">
        <f>IF(B536="","",_xlfn.XLOOKUP(B536,'Orders Ledger'!$A:$A,'Orders Ledger'!$H:$H,""))</f>
        <v/>
      </c>
      <c r="F536" t="str">
        <f>IF(B536="","",_xlfn.XLOOKUP(B536,'Orders Ledger'!$A:$A,'Orders Ledger'!$F:$F,""))</f>
        <v/>
      </c>
      <c r="G536" t="str">
        <f>IF(B536="","",_xlfn.XLOOKUP(B536,'Orders Ledger'!$A:$A,'Orders Ledger'!$N:$N,0))</f>
        <v/>
      </c>
    </row>
    <row r="537" spans="2:7" x14ac:dyDescent="0.3">
      <c r="B537" t="str">
        <f t="array" ref="B537">IFERROR(INDEX('Orders Ledger'!$A$2:$A$1501, SMALL(IF(('Orders Ledger'!$J$2:$J$1501="disputed")+('Orders Ledger'!$J$2:$J$1501="PENDING_REVIEW"), ROW('Orders Ledger'!$A$2:$A$1501)-ROW('Orders Ledger'!$A$2)+1), ROW(479:479))), "")</f>
        <v/>
      </c>
      <c r="C537" s="11" t="str">
        <f>IF(B537="","",_xlfn.XLOOKUP(B537,'Orders Ledger'!$A:$A,'Orders Ledger'!$B:$B,""))</f>
        <v/>
      </c>
      <c r="D537" t="str">
        <f>IF(B537="","",_xlfn.XLOOKUP(B537,'Orders Ledger'!$A:$A,'Orders Ledger'!$G:$G,""))</f>
        <v/>
      </c>
      <c r="E537" t="str">
        <f>IF(B537="","",_xlfn.XLOOKUP(B537,'Orders Ledger'!$A:$A,'Orders Ledger'!$H:$H,""))</f>
        <v/>
      </c>
      <c r="F537" t="str">
        <f>IF(B537="","",_xlfn.XLOOKUP(B537,'Orders Ledger'!$A:$A,'Orders Ledger'!$F:$F,""))</f>
        <v/>
      </c>
      <c r="G537" t="str">
        <f>IF(B537="","",_xlfn.XLOOKUP(B537,'Orders Ledger'!$A:$A,'Orders Ledger'!$N:$N,0))</f>
        <v/>
      </c>
    </row>
    <row r="538" spans="2:7" x14ac:dyDescent="0.3">
      <c r="B538" t="str">
        <f t="array" ref="B538">IFERROR(INDEX('Orders Ledger'!$A$2:$A$1501, SMALL(IF(('Orders Ledger'!$J$2:$J$1501="disputed")+('Orders Ledger'!$J$2:$J$1501="PENDING_REVIEW"), ROW('Orders Ledger'!$A$2:$A$1501)-ROW('Orders Ledger'!$A$2)+1), ROW(480:480))), "")</f>
        <v/>
      </c>
      <c r="C538" s="11" t="str">
        <f>IF(B538="","",_xlfn.XLOOKUP(B538,'Orders Ledger'!$A:$A,'Orders Ledger'!$B:$B,""))</f>
        <v/>
      </c>
      <c r="D538" t="str">
        <f>IF(B538="","",_xlfn.XLOOKUP(B538,'Orders Ledger'!$A:$A,'Orders Ledger'!$G:$G,""))</f>
        <v/>
      </c>
      <c r="E538" t="str">
        <f>IF(B538="","",_xlfn.XLOOKUP(B538,'Orders Ledger'!$A:$A,'Orders Ledger'!$H:$H,""))</f>
        <v/>
      </c>
      <c r="F538" t="str">
        <f>IF(B538="","",_xlfn.XLOOKUP(B538,'Orders Ledger'!$A:$A,'Orders Ledger'!$F:$F,""))</f>
        <v/>
      </c>
      <c r="G538" t="str">
        <f>IF(B538="","",_xlfn.XLOOKUP(B538,'Orders Ledger'!$A:$A,'Orders Ledger'!$N:$N,0))</f>
        <v/>
      </c>
    </row>
    <row r="539" spans="2:7" x14ac:dyDescent="0.3">
      <c r="B539" t="str">
        <f t="array" ref="B539">IFERROR(INDEX('Orders Ledger'!$A$2:$A$1501, SMALL(IF(('Orders Ledger'!$J$2:$J$1501="disputed")+('Orders Ledger'!$J$2:$J$1501="PENDING_REVIEW"), ROW('Orders Ledger'!$A$2:$A$1501)-ROW('Orders Ledger'!$A$2)+1), ROW(481:481))), "")</f>
        <v/>
      </c>
      <c r="C539" s="11" t="str">
        <f>IF(B539="","",_xlfn.XLOOKUP(B539,'Orders Ledger'!$A:$A,'Orders Ledger'!$B:$B,""))</f>
        <v/>
      </c>
      <c r="D539" t="str">
        <f>IF(B539="","",_xlfn.XLOOKUP(B539,'Orders Ledger'!$A:$A,'Orders Ledger'!$G:$G,""))</f>
        <v/>
      </c>
      <c r="E539" t="str">
        <f>IF(B539="","",_xlfn.XLOOKUP(B539,'Orders Ledger'!$A:$A,'Orders Ledger'!$H:$H,""))</f>
        <v/>
      </c>
      <c r="F539" t="str">
        <f>IF(B539="","",_xlfn.XLOOKUP(B539,'Orders Ledger'!$A:$A,'Orders Ledger'!$F:$F,""))</f>
        <v/>
      </c>
      <c r="G539" t="str">
        <f>IF(B539="","",_xlfn.XLOOKUP(B539,'Orders Ledger'!$A:$A,'Orders Ledger'!$N:$N,0))</f>
        <v/>
      </c>
    </row>
    <row r="540" spans="2:7" x14ac:dyDescent="0.3">
      <c r="B540" t="str">
        <f t="array" ref="B540">IFERROR(INDEX('Orders Ledger'!$A$2:$A$1501, SMALL(IF(('Orders Ledger'!$J$2:$J$1501="disputed")+('Orders Ledger'!$J$2:$J$1501="PENDING_REVIEW"), ROW('Orders Ledger'!$A$2:$A$1501)-ROW('Orders Ledger'!$A$2)+1), ROW(482:482))), "")</f>
        <v/>
      </c>
      <c r="C540" s="11" t="str">
        <f>IF(B540="","",_xlfn.XLOOKUP(B540,'Orders Ledger'!$A:$A,'Orders Ledger'!$B:$B,""))</f>
        <v/>
      </c>
      <c r="D540" t="str">
        <f>IF(B540="","",_xlfn.XLOOKUP(B540,'Orders Ledger'!$A:$A,'Orders Ledger'!$G:$G,""))</f>
        <v/>
      </c>
      <c r="E540" t="str">
        <f>IF(B540="","",_xlfn.XLOOKUP(B540,'Orders Ledger'!$A:$A,'Orders Ledger'!$H:$H,""))</f>
        <v/>
      </c>
      <c r="F540" t="str">
        <f>IF(B540="","",_xlfn.XLOOKUP(B540,'Orders Ledger'!$A:$A,'Orders Ledger'!$F:$F,""))</f>
        <v/>
      </c>
      <c r="G540" t="str">
        <f>IF(B540="","",_xlfn.XLOOKUP(B540,'Orders Ledger'!$A:$A,'Orders Ledger'!$N:$N,0))</f>
        <v/>
      </c>
    </row>
    <row r="541" spans="2:7" x14ac:dyDescent="0.3">
      <c r="B541" t="str">
        <f t="array" ref="B541">IFERROR(INDEX('Orders Ledger'!$A$2:$A$1501, SMALL(IF(('Orders Ledger'!$J$2:$J$1501="disputed")+('Orders Ledger'!$J$2:$J$1501="PENDING_REVIEW"), ROW('Orders Ledger'!$A$2:$A$1501)-ROW('Orders Ledger'!$A$2)+1), ROW(483:483))), "")</f>
        <v/>
      </c>
      <c r="C541" s="11" t="str">
        <f>IF(B541="","",_xlfn.XLOOKUP(B541,'Orders Ledger'!$A:$A,'Orders Ledger'!$B:$B,""))</f>
        <v/>
      </c>
      <c r="D541" t="str">
        <f>IF(B541="","",_xlfn.XLOOKUP(B541,'Orders Ledger'!$A:$A,'Orders Ledger'!$G:$G,""))</f>
        <v/>
      </c>
      <c r="E541" t="str">
        <f>IF(B541="","",_xlfn.XLOOKUP(B541,'Orders Ledger'!$A:$A,'Orders Ledger'!$H:$H,""))</f>
        <v/>
      </c>
      <c r="F541" t="str">
        <f>IF(B541="","",_xlfn.XLOOKUP(B541,'Orders Ledger'!$A:$A,'Orders Ledger'!$F:$F,""))</f>
        <v/>
      </c>
      <c r="G541" t="str">
        <f>IF(B541="","",_xlfn.XLOOKUP(B541,'Orders Ledger'!$A:$A,'Orders Ledger'!$N:$N,0))</f>
        <v/>
      </c>
    </row>
    <row r="542" spans="2:7" x14ac:dyDescent="0.3">
      <c r="B542" t="str">
        <f t="array" ref="B542">IFERROR(INDEX('Orders Ledger'!$A$2:$A$1501, SMALL(IF(('Orders Ledger'!$J$2:$J$1501="disputed")+('Orders Ledger'!$J$2:$J$1501="PENDING_REVIEW"), ROW('Orders Ledger'!$A$2:$A$1501)-ROW('Orders Ledger'!$A$2)+1), ROW(484:484))), "")</f>
        <v/>
      </c>
      <c r="C542" s="11" t="str">
        <f>IF(B542="","",_xlfn.XLOOKUP(B542,'Orders Ledger'!$A:$A,'Orders Ledger'!$B:$B,""))</f>
        <v/>
      </c>
      <c r="D542" t="str">
        <f>IF(B542="","",_xlfn.XLOOKUP(B542,'Orders Ledger'!$A:$A,'Orders Ledger'!$G:$G,""))</f>
        <v/>
      </c>
      <c r="E542" t="str">
        <f>IF(B542="","",_xlfn.XLOOKUP(B542,'Orders Ledger'!$A:$A,'Orders Ledger'!$H:$H,""))</f>
        <v/>
      </c>
      <c r="F542" t="str">
        <f>IF(B542="","",_xlfn.XLOOKUP(B542,'Orders Ledger'!$A:$A,'Orders Ledger'!$F:$F,""))</f>
        <v/>
      </c>
      <c r="G542" t="str">
        <f>IF(B542="","",_xlfn.XLOOKUP(B542,'Orders Ledger'!$A:$A,'Orders Ledger'!$N:$N,0))</f>
        <v/>
      </c>
    </row>
    <row r="543" spans="2:7" x14ac:dyDescent="0.3">
      <c r="B543" t="str">
        <f t="array" ref="B543">IFERROR(INDEX('Orders Ledger'!$A$2:$A$1501, SMALL(IF(('Orders Ledger'!$J$2:$J$1501="disputed")+('Orders Ledger'!$J$2:$J$1501="PENDING_REVIEW"), ROW('Orders Ledger'!$A$2:$A$1501)-ROW('Orders Ledger'!$A$2)+1), ROW(485:485))), "")</f>
        <v/>
      </c>
      <c r="C543" s="11" t="str">
        <f>IF(B543="","",_xlfn.XLOOKUP(B543,'Orders Ledger'!$A:$A,'Orders Ledger'!$B:$B,""))</f>
        <v/>
      </c>
      <c r="D543" t="str">
        <f>IF(B543="","",_xlfn.XLOOKUP(B543,'Orders Ledger'!$A:$A,'Orders Ledger'!$G:$G,""))</f>
        <v/>
      </c>
      <c r="E543" t="str">
        <f>IF(B543="","",_xlfn.XLOOKUP(B543,'Orders Ledger'!$A:$A,'Orders Ledger'!$H:$H,""))</f>
        <v/>
      </c>
      <c r="F543" t="str">
        <f>IF(B543="","",_xlfn.XLOOKUP(B543,'Orders Ledger'!$A:$A,'Orders Ledger'!$F:$F,""))</f>
        <v/>
      </c>
      <c r="G543" t="str">
        <f>IF(B543="","",_xlfn.XLOOKUP(B543,'Orders Ledger'!$A:$A,'Orders Ledger'!$N:$N,0))</f>
        <v/>
      </c>
    </row>
    <row r="544" spans="2:7" x14ac:dyDescent="0.3">
      <c r="B544" t="str">
        <f t="array" ref="B544">IFERROR(INDEX('Orders Ledger'!$A$2:$A$1501, SMALL(IF(('Orders Ledger'!$J$2:$J$1501="disputed")+('Orders Ledger'!$J$2:$J$1501="PENDING_REVIEW"), ROW('Orders Ledger'!$A$2:$A$1501)-ROW('Orders Ledger'!$A$2)+1), ROW(486:486))), "")</f>
        <v/>
      </c>
      <c r="C544" s="11" t="str">
        <f>IF(B544="","",_xlfn.XLOOKUP(B544,'Orders Ledger'!$A:$A,'Orders Ledger'!$B:$B,""))</f>
        <v/>
      </c>
      <c r="D544" t="str">
        <f>IF(B544="","",_xlfn.XLOOKUP(B544,'Orders Ledger'!$A:$A,'Orders Ledger'!$G:$G,""))</f>
        <v/>
      </c>
      <c r="E544" t="str">
        <f>IF(B544="","",_xlfn.XLOOKUP(B544,'Orders Ledger'!$A:$A,'Orders Ledger'!$H:$H,""))</f>
        <v/>
      </c>
      <c r="F544" t="str">
        <f>IF(B544="","",_xlfn.XLOOKUP(B544,'Orders Ledger'!$A:$A,'Orders Ledger'!$F:$F,""))</f>
        <v/>
      </c>
      <c r="G544" t="str">
        <f>IF(B544="","",_xlfn.XLOOKUP(B544,'Orders Ledger'!$A:$A,'Orders Ledger'!$N:$N,0))</f>
        <v/>
      </c>
    </row>
    <row r="545" spans="2:7" x14ac:dyDescent="0.3">
      <c r="B545" t="str">
        <f t="array" ref="B545">IFERROR(INDEX('Orders Ledger'!$A$2:$A$1501, SMALL(IF(('Orders Ledger'!$J$2:$J$1501="disputed")+('Orders Ledger'!$J$2:$J$1501="PENDING_REVIEW"), ROW('Orders Ledger'!$A$2:$A$1501)-ROW('Orders Ledger'!$A$2)+1), ROW(487:487))), "")</f>
        <v/>
      </c>
      <c r="C545" s="11" t="str">
        <f>IF(B545="","",_xlfn.XLOOKUP(B545,'Orders Ledger'!$A:$A,'Orders Ledger'!$B:$B,""))</f>
        <v/>
      </c>
      <c r="D545" t="str">
        <f>IF(B545="","",_xlfn.XLOOKUP(B545,'Orders Ledger'!$A:$A,'Orders Ledger'!$G:$G,""))</f>
        <v/>
      </c>
      <c r="E545" t="str">
        <f>IF(B545="","",_xlfn.XLOOKUP(B545,'Orders Ledger'!$A:$A,'Orders Ledger'!$H:$H,""))</f>
        <v/>
      </c>
      <c r="F545" t="str">
        <f>IF(B545="","",_xlfn.XLOOKUP(B545,'Orders Ledger'!$A:$A,'Orders Ledger'!$F:$F,""))</f>
        <v/>
      </c>
      <c r="G545" t="str">
        <f>IF(B545="","",_xlfn.XLOOKUP(B545,'Orders Ledger'!$A:$A,'Orders Ledger'!$N:$N,0))</f>
        <v/>
      </c>
    </row>
    <row r="546" spans="2:7" x14ac:dyDescent="0.3">
      <c r="B546" t="str">
        <f t="array" ref="B546">IFERROR(INDEX('Orders Ledger'!$A$2:$A$1501, SMALL(IF(('Orders Ledger'!$J$2:$J$1501="disputed")+('Orders Ledger'!$J$2:$J$1501="PENDING_REVIEW"), ROW('Orders Ledger'!$A$2:$A$1501)-ROW('Orders Ledger'!$A$2)+1), ROW(488:488))), "")</f>
        <v/>
      </c>
      <c r="C546" s="11" t="str">
        <f>IF(B546="","",_xlfn.XLOOKUP(B546,'Orders Ledger'!$A:$A,'Orders Ledger'!$B:$B,""))</f>
        <v/>
      </c>
      <c r="D546" t="str">
        <f>IF(B546="","",_xlfn.XLOOKUP(B546,'Orders Ledger'!$A:$A,'Orders Ledger'!$G:$G,""))</f>
        <v/>
      </c>
      <c r="E546" t="str">
        <f>IF(B546="","",_xlfn.XLOOKUP(B546,'Orders Ledger'!$A:$A,'Orders Ledger'!$H:$H,""))</f>
        <v/>
      </c>
      <c r="F546" t="str">
        <f>IF(B546="","",_xlfn.XLOOKUP(B546,'Orders Ledger'!$A:$A,'Orders Ledger'!$F:$F,""))</f>
        <v/>
      </c>
      <c r="G546" t="str">
        <f>IF(B546="","",_xlfn.XLOOKUP(B546,'Orders Ledger'!$A:$A,'Orders Ledger'!$N:$N,0))</f>
        <v/>
      </c>
    </row>
    <row r="547" spans="2:7" x14ac:dyDescent="0.3">
      <c r="B547" t="str">
        <f t="array" ref="B547">IFERROR(INDEX('Orders Ledger'!$A$2:$A$1501, SMALL(IF(('Orders Ledger'!$J$2:$J$1501="disputed")+('Orders Ledger'!$J$2:$J$1501="PENDING_REVIEW"), ROW('Orders Ledger'!$A$2:$A$1501)-ROW('Orders Ledger'!$A$2)+1), ROW(489:489))), "")</f>
        <v/>
      </c>
      <c r="C547" s="11" t="str">
        <f>IF(B547="","",_xlfn.XLOOKUP(B547,'Orders Ledger'!$A:$A,'Orders Ledger'!$B:$B,""))</f>
        <v/>
      </c>
      <c r="D547" t="str">
        <f>IF(B547="","",_xlfn.XLOOKUP(B547,'Orders Ledger'!$A:$A,'Orders Ledger'!$G:$G,""))</f>
        <v/>
      </c>
      <c r="E547" t="str">
        <f>IF(B547="","",_xlfn.XLOOKUP(B547,'Orders Ledger'!$A:$A,'Orders Ledger'!$H:$H,""))</f>
        <v/>
      </c>
      <c r="F547" t="str">
        <f>IF(B547="","",_xlfn.XLOOKUP(B547,'Orders Ledger'!$A:$A,'Orders Ledger'!$F:$F,""))</f>
        <v/>
      </c>
      <c r="G547" t="str">
        <f>IF(B547="","",_xlfn.XLOOKUP(B547,'Orders Ledger'!$A:$A,'Orders Ledger'!$N:$N,0))</f>
        <v/>
      </c>
    </row>
    <row r="548" spans="2:7" x14ac:dyDescent="0.3">
      <c r="B548" t="str">
        <f t="array" ref="B548">IFERROR(INDEX('Orders Ledger'!$A$2:$A$1501, SMALL(IF(('Orders Ledger'!$J$2:$J$1501="disputed")+('Orders Ledger'!$J$2:$J$1501="PENDING_REVIEW"), ROW('Orders Ledger'!$A$2:$A$1501)-ROW('Orders Ledger'!$A$2)+1), ROW(490:490))), "")</f>
        <v/>
      </c>
      <c r="C548" s="11" t="str">
        <f>IF(B548="","",_xlfn.XLOOKUP(B548,'Orders Ledger'!$A:$A,'Orders Ledger'!$B:$B,""))</f>
        <v/>
      </c>
      <c r="D548" t="str">
        <f>IF(B548="","",_xlfn.XLOOKUP(B548,'Orders Ledger'!$A:$A,'Orders Ledger'!$G:$G,""))</f>
        <v/>
      </c>
      <c r="E548" t="str">
        <f>IF(B548="","",_xlfn.XLOOKUP(B548,'Orders Ledger'!$A:$A,'Orders Ledger'!$H:$H,""))</f>
        <v/>
      </c>
      <c r="F548" t="str">
        <f>IF(B548="","",_xlfn.XLOOKUP(B548,'Orders Ledger'!$A:$A,'Orders Ledger'!$F:$F,""))</f>
        <v/>
      </c>
      <c r="G548" t="str">
        <f>IF(B548="","",_xlfn.XLOOKUP(B548,'Orders Ledger'!$A:$A,'Orders Ledger'!$N:$N,0))</f>
        <v/>
      </c>
    </row>
    <row r="549" spans="2:7" x14ac:dyDescent="0.3">
      <c r="B549" t="str">
        <f t="array" ref="B549">IFERROR(INDEX('Orders Ledger'!$A$2:$A$1501, SMALL(IF(('Orders Ledger'!$J$2:$J$1501="disputed")+('Orders Ledger'!$J$2:$J$1501="PENDING_REVIEW"), ROW('Orders Ledger'!$A$2:$A$1501)-ROW('Orders Ledger'!$A$2)+1), ROW(491:491))), "")</f>
        <v/>
      </c>
      <c r="C549" s="11" t="str">
        <f>IF(B549="","",_xlfn.XLOOKUP(B549,'Orders Ledger'!$A:$A,'Orders Ledger'!$B:$B,""))</f>
        <v/>
      </c>
      <c r="D549" t="str">
        <f>IF(B549="","",_xlfn.XLOOKUP(B549,'Orders Ledger'!$A:$A,'Orders Ledger'!$G:$G,""))</f>
        <v/>
      </c>
      <c r="E549" t="str">
        <f>IF(B549="","",_xlfn.XLOOKUP(B549,'Orders Ledger'!$A:$A,'Orders Ledger'!$H:$H,""))</f>
        <v/>
      </c>
      <c r="F549" t="str">
        <f>IF(B549="","",_xlfn.XLOOKUP(B549,'Orders Ledger'!$A:$A,'Orders Ledger'!$F:$F,""))</f>
        <v/>
      </c>
      <c r="G549" t="str">
        <f>IF(B549="","",_xlfn.XLOOKUP(B549,'Orders Ledger'!$A:$A,'Orders Ledger'!$N:$N,0))</f>
        <v/>
      </c>
    </row>
    <row r="550" spans="2:7" x14ac:dyDescent="0.3">
      <c r="B550" t="str">
        <f t="array" ref="B550">IFERROR(INDEX('Orders Ledger'!$A$2:$A$1501, SMALL(IF(('Orders Ledger'!$J$2:$J$1501="disputed")+('Orders Ledger'!$J$2:$J$1501="PENDING_REVIEW"), ROW('Orders Ledger'!$A$2:$A$1501)-ROW('Orders Ledger'!$A$2)+1), ROW(492:492))), "")</f>
        <v/>
      </c>
      <c r="C550" s="11" t="str">
        <f>IF(B550="","",_xlfn.XLOOKUP(B550,'Orders Ledger'!$A:$A,'Orders Ledger'!$B:$B,""))</f>
        <v/>
      </c>
      <c r="D550" t="str">
        <f>IF(B550="","",_xlfn.XLOOKUP(B550,'Orders Ledger'!$A:$A,'Orders Ledger'!$G:$G,""))</f>
        <v/>
      </c>
      <c r="E550" t="str">
        <f>IF(B550="","",_xlfn.XLOOKUP(B550,'Orders Ledger'!$A:$A,'Orders Ledger'!$H:$H,""))</f>
        <v/>
      </c>
      <c r="F550" t="str">
        <f>IF(B550="","",_xlfn.XLOOKUP(B550,'Orders Ledger'!$A:$A,'Orders Ledger'!$F:$F,""))</f>
        <v/>
      </c>
      <c r="G550" t="str">
        <f>IF(B550="","",_xlfn.XLOOKUP(B550,'Orders Ledger'!$A:$A,'Orders Ledger'!$N:$N,0))</f>
        <v/>
      </c>
    </row>
    <row r="551" spans="2:7" x14ac:dyDescent="0.3">
      <c r="B551" t="str">
        <f t="array" ref="B551">IFERROR(INDEX('Orders Ledger'!$A$2:$A$1501, SMALL(IF(('Orders Ledger'!$J$2:$J$1501="disputed")+('Orders Ledger'!$J$2:$J$1501="PENDING_REVIEW"), ROW('Orders Ledger'!$A$2:$A$1501)-ROW('Orders Ledger'!$A$2)+1), ROW(493:493))), "")</f>
        <v/>
      </c>
      <c r="C551" s="11" t="str">
        <f>IF(B551="","",_xlfn.XLOOKUP(B551,'Orders Ledger'!$A:$A,'Orders Ledger'!$B:$B,""))</f>
        <v/>
      </c>
      <c r="D551" t="str">
        <f>IF(B551="","",_xlfn.XLOOKUP(B551,'Orders Ledger'!$A:$A,'Orders Ledger'!$G:$G,""))</f>
        <v/>
      </c>
      <c r="E551" t="str">
        <f>IF(B551="","",_xlfn.XLOOKUP(B551,'Orders Ledger'!$A:$A,'Orders Ledger'!$H:$H,""))</f>
        <v/>
      </c>
      <c r="F551" t="str">
        <f>IF(B551="","",_xlfn.XLOOKUP(B551,'Orders Ledger'!$A:$A,'Orders Ledger'!$F:$F,""))</f>
        <v/>
      </c>
      <c r="G551" t="str">
        <f>IF(B551="","",_xlfn.XLOOKUP(B551,'Orders Ledger'!$A:$A,'Orders Ledger'!$N:$N,0))</f>
        <v/>
      </c>
    </row>
    <row r="552" spans="2:7" x14ac:dyDescent="0.3">
      <c r="B552" t="str">
        <f t="array" ref="B552">IFERROR(INDEX('Orders Ledger'!$A$2:$A$1501, SMALL(IF(('Orders Ledger'!$J$2:$J$1501="disputed")+('Orders Ledger'!$J$2:$J$1501="PENDING_REVIEW"), ROW('Orders Ledger'!$A$2:$A$1501)-ROW('Orders Ledger'!$A$2)+1), ROW(494:494))), "")</f>
        <v/>
      </c>
      <c r="C552" s="11" t="str">
        <f>IF(B552="","",_xlfn.XLOOKUP(B552,'Orders Ledger'!$A:$A,'Orders Ledger'!$B:$B,""))</f>
        <v/>
      </c>
      <c r="D552" t="str">
        <f>IF(B552="","",_xlfn.XLOOKUP(B552,'Orders Ledger'!$A:$A,'Orders Ledger'!$G:$G,""))</f>
        <v/>
      </c>
      <c r="E552" t="str">
        <f>IF(B552="","",_xlfn.XLOOKUP(B552,'Orders Ledger'!$A:$A,'Orders Ledger'!$H:$H,""))</f>
        <v/>
      </c>
      <c r="F552" t="str">
        <f>IF(B552="","",_xlfn.XLOOKUP(B552,'Orders Ledger'!$A:$A,'Orders Ledger'!$F:$F,""))</f>
        <v/>
      </c>
      <c r="G552" t="str">
        <f>IF(B552="","",_xlfn.XLOOKUP(B552,'Orders Ledger'!$A:$A,'Orders Ledger'!$N:$N,0))</f>
        <v/>
      </c>
    </row>
    <row r="553" spans="2:7" x14ac:dyDescent="0.3">
      <c r="B553" t="str">
        <f t="array" ref="B553">IFERROR(INDEX('Orders Ledger'!$A$2:$A$1501, SMALL(IF(('Orders Ledger'!$J$2:$J$1501="disputed")+('Orders Ledger'!$J$2:$J$1501="PENDING_REVIEW"), ROW('Orders Ledger'!$A$2:$A$1501)-ROW('Orders Ledger'!$A$2)+1), ROW(495:495))), "")</f>
        <v/>
      </c>
      <c r="C553" s="11" t="str">
        <f>IF(B553="","",_xlfn.XLOOKUP(B553,'Orders Ledger'!$A:$A,'Orders Ledger'!$B:$B,""))</f>
        <v/>
      </c>
      <c r="D553" t="str">
        <f>IF(B553="","",_xlfn.XLOOKUP(B553,'Orders Ledger'!$A:$A,'Orders Ledger'!$G:$G,""))</f>
        <v/>
      </c>
      <c r="E553" t="str">
        <f>IF(B553="","",_xlfn.XLOOKUP(B553,'Orders Ledger'!$A:$A,'Orders Ledger'!$H:$H,""))</f>
        <v/>
      </c>
      <c r="F553" t="str">
        <f>IF(B553="","",_xlfn.XLOOKUP(B553,'Orders Ledger'!$A:$A,'Orders Ledger'!$F:$F,""))</f>
        <v/>
      </c>
      <c r="G553" t="str">
        <f>IF(B553="","",_xlfn.XLOOKUP(B553,'Orders Ledger'!$A:$A,'Orders Ledger'!$N:$N,0))</f>
        <v/>
      </c>
    </row>
    <row r="554" spans="2:7" x14ac:dyDescent="0.3">
      <c r="B554" t="str">
        <f t="array" ref="B554">IFERROR(INDEX('Orders Ledger'!$A$2:$A$1501, SMALL(IF(('Orders Ledger'!$J$2:$J$1501="disputed")+('Orders Ledger'!$J$2:$J$1501="PENDING_REVIEW"), ROW('Orders Ledger'!$A$2:$A$1501)-ROW('Orders Ledger'!$A$2)+1), ROW(496:496))), "")</f>
        <v/>
      </c>
      <c r="C554" s="11" t="str">
        <f>IF(B554="","",_xlfn.XLOOKUP(B554,'Orders Ledger'!$A:$A,'Orders Ledger'!$B:$B,""))</f>
        <v/>
      </c>
      <c r="D554" t="str">
        <f>IF(B554="","",_xlfn.XLOOKUP(B554,'Orders Ledger'!$A:$A,'Orders Ledger'!$G:$G,""))</f>
        <v/>
      </c>
      <c r="E554" t="str">
        <f>IF(B554="","",_xlfn.XLOOKUP(B554,'Orders Ledger'!$A:$A,'Orders Ledger'!$H:$H,""))</f>
        <v/>
      </c>
      <c r="F554" t="str">
        <f>IF(B554="","",_xlfn.XLOOKUP(B554,'Orders Ledger'!$A:$A,'Orders Ledger'!$F:$F,""))</f>
        <v/>
      </c>
      <c r="G554" t="str">
        <f>IF(B554="","",_xlfn.XLOOKUP(B554,'Orders Ledger'!$A:$A,'Orders Ledger'!$N:$N,0))</f>
        <v/>
      </c>
    </row>
    <row r="555" spans="2:7" x14ac:dyDescent="0.3">
      <c r="B555" t="str">
        <f t="array" ref="B555">IFERROR(INDEX('Orders Ledger'!$A$2:$A$1501, SMALL(IF(('Orders Ledger'!$J$2:$J$1501="disputed")+('Orders Ledger'!$J$2:$J$1501="PENDING_REVIEW"), ROW('Orders Ledger'!$A$2:$A$1501)-ROW('Orders Ledger'!$A$2)+1), ROW(497:497))), "")</f>
        <v/>
      </c>
      <c r="C555" s="11" t="str">
        <f>IF(B555="","",_xlfn.XLOOKUP(B555,'Orders Ledger'!$A:$A,'Orders Ledger'!$B:$B,""))</f>
        <v/>
      </c>
      <c r="D555" t="str">
        <f>IF(B555="","",_xlfn.XLOOKUP(B555,'Orders Ledger'!$A:$A,'Orders Ledger'!$G:$G,""))</f>
        <v/>
      </c>
      <c r="E555" t="str">
        <f>IF(B555="","",_xlfn.XLOOKUP(B555,'Orders Ledger'!$A:$A,'Orders Ledger'!$H:$H,""))</f>
        <v/>
      </c>
      <c r="F555" t="str">
        <f>IF(B555="","",_xlfn.XLOOKUP(B555,'Orders Ledger'!$A:$A,'Orders Ledger'!$F:$F,""))</f>
        <v/>
      </c>
      <c r="G555" t="str">
        <f>IF(B555="","",_xlfn.XLOOKUP(B555,'Orders Ledger'!$A:$A,'Orders Ledger'!$N:$N,0))</f>
        <v/>
      </c>
    </row>
    <row r="556" spans="2:7" x14ac:dyDescent="0.3">
      <c r="B556" t="str">
        <f t="array" ref="B556">IFERROR(INDEX('Orders Ledger'!$A$2:$A$1501, SMALL(IF(('Orders Ledger'!$J$2:$J$1501="disputed")+('Orders Ledger'!$J$2:$J$1501="PENDING_REVIEW"), ROW('Orders Ledger'!$A$2:$A$1501)-ROW('Orders Ledger'!$A$2)+1), ROW(498:498))), "")</f>
        <v/>
      </c>
      <c r="C556" s="11" t="str">
        <f>IF(B556="","",_xlfn.XLOOKUP(B556,'Orders Ledger'!$A:$A,'Orders Ledger'!$B:$B,""))</f>
        <v/>
      </c>
      <c r="D556" t="str">
        <f>IF(B556="","",_xlfn.XLOOKUP(B556,'Orders Ledger'!$A:$A,'Orders Ledger'!$G:$G,""))</f>
        <v/>
      </c>
      <c r="E556" t="str">
        <f>IF(B556="","",_xlfn.XLOOKUP(B556,'Orders Ledger'!$A:$A,'Orders Ledger'!$H:$H,""))</f>
        <v/>
      </c>
      <c r="F556" t="str">
        <f>IF(B556="","",_xlfn.XLOOKUP(B556,'Orders Ledger'!$A:$A,'Orders Ledger'!$F:$F,""))</f>
        <v/>
      </c>
      <c r="G556" t="str">
        <f>IF(B556="","",_xlfn.XLOOKUP(B556,'Orders Ledger'!$A:$A,'Orders Ledger'!$N:$N,0))</f>
        <v/>
      </c>
    </row>
    <row r="557" spans="2:7" x14ac:dyDescent="0.3">
      <c r="B557" t="str">
        <f t="array" ref="B557">IFERROR(INDEX('Orders Ledger'!$A$2:$A$1501, SMALL(IF(('Orders Ledger'!$J$2:$J$1501="disputed")+('Orders Ledger'!$J$2:$J$1501="PENDING_REVIEW"), ROW('Orders Ledger'!$A$2:$A$1501)-ROW('Orders Ledger'!$A$2)+1), ROW(499:499))), "")</f>
        <v/>
      </c>
      <c r="C557" s="11" t="str">
        <f>IF(B557="","",_xlfn.XLOOKUP(B557,'Orders Ledger'!$A:$A,'Orders Ledger'!$B:$B,""))</f>
        <v/>
      </c>
      <c r="D557" t="str">
        <f>IF(B557="","",_xlfn.XLOOKUP(B557,'Orders Ledger'!$A:$A,'Orders Ledger'!$G:$G,""))</f>
        <v/>
      </c>
      <c r="E557" t="str">
        <f>IF(B557="","",_xlfn.XLOOKUP(B557,'Orders Ledger'!$A:$A,'Orders Ledger'!$H:$H,""))</f>
        <v/>
      </c>
      <c r="F557" t="str">
        <f>IF(B557="","",_xlfn.XLOOKUP(B557,'Orders Ledger'!$A:$A,'Orders Ledger'!$F:$F,""))</f>
        <v/>
      </c>
      <c r="G557" t="str">
        <f>IF(B557="","",_xlfn.XLOOKUP(B557,'Orders Ledger'!$A:$A,'Orders Ledger'!$N:$N,0))</f>
        <v/>
      </c>
    </row>
    <row r="558" spans="2:7" x14ac:dyDescent="0.3">
      <c r="B558" t="str">
        <f t="array" ref="B558">IFERROR(INDEX('Orders Ledger'!$A$2:$A$1501, SMALL(IF(('Orders Ledger'!$J$2:$J$1501="disputed")+('Orders Ledger'!$J$2:$J$1501="PENDING_REVIEW"), ROW('Orders Ledger'!$A$2:$A$1501)-ROW('Orders Ledger'!$A$2)+1), ROW(500:500))), "")</f>
        <v/>
      </c>
      <c r="C558" s="11" t="str">
        <f>IF(B558="","",_xlfn.XLOOKUP(B558,'Orders Ledger'!$A:$A,'Orders Ledger'!$B:$B,""))</f>
        <v/>
      </c>
      <c r="D558" t="str">
        <f>IF(B558="","",_xlfn.XLOOKUP(B558,'Orders Ledger'!$A:$A,'Orders Ledger'!$G:$G,""))</f>
        <v/>
      </c>
      <c r="E558" t="str">
        <f>IF(B558="","",_xlfn.XLOOKUP(B558,'Orders Ledger'!$A:$A,'Orders Ledger'!$H:$H,""))</f>
        <v/>
      </c>
      <c r="F558" t="str">
        <f>IF(B558="","",_xlfn.XLOOKUP(B558,'Orders Ledger'!$A:$A,'Orders Ledger'!$F:$F,""))</f>
        <v/>
      </c>
      <c r="G558" t="str">
        <f>IF(B558="","",_xlfn.XLOOKUP(B558,'Orders Ledger'!$A:$A,'Orders Ledger'!$N:$N,0))</f>
        <v/>
      </c>
    </row>
    <row r="559" spans="2:7" x14ac:dyDescent="0.3">
      <c r="B559" t="str">
        <f t="array" ref="B559">IFERROR(INDEX('Orders Ledger'!$A$2:$A$1501, SMALL(IF(('Orders Ledger'!$J$2:$J$1501="disputed")+('Orders Ledger'!$J$2:$J$1501="PENDING_REVIEW"), ROW('Orders Ledger'!$A$2:$A$1501)-ROW('Orders Ledger'!$A$2)+1), ROW(501:501))), "")</f>
        <v/>
      </c>
      <c r="C559" s="11" t="str">
        <f>IF(B559="","",_xlfn.XLOOKUP(B559,'Orders Ledger'!$A:$A,'Orders Ledger'!$B:$B,""))</f>
        <v/>
      </c>
      <c r="D559" t="str">
        <f>IF(B559="","",_xlfn.XLOOKUP(B559,'Orders Ledger'!$A:$A,'Orders Ledger'!$G:$G,""))</f>
        <v/>
      </c>
      <c r="E559" t="str">
        <f>IF(B559="","",_xlfn.XLOOKUP(B559,'Orders Ledger'!$A:$A,'Orders Ledger'!$H:$H,""))</f>
        <v/>
      </c>
      <c r="F559" t="str">
        <f>IF(B559="","",_xlfn.XLOOKUP(B559,'Orders Ledger'!$A:$A,'Orders Ledger'!$F:$F,""))</f>
        <v/>
      </c>
      <c r="G559" t="str">
        <f>IF(B559="","",_xlfn.XLOOKUP(B559,'Orders Ledger'!$A:$A,'Orders Ledger'!$N:$N,0))</f>
        <v/>
      </c>
    </row>
    <row r="560" spans="2:7" x14ac:dyDescent="0.3">
      <c r="B560" t="str">
        <f t="array" ref="B560">IFERROR(INDEX('Orders Ledger'!$A$2:$A$1501, SMALL(IF(('Orders Ledger'!$J$2:$J$1501="disputed")+('Orders Ledger'!$J$2:$J$1501="PENDING_REVIEW"), ROW('Orders Ledger'!$A$2:$A$1501)-ROW('Orders Ledger'!$A$2)+1), ROW(502:502))), "")</f>
        <v/>
      </c>
      <c r="C560" s="11" t="str">
        <f>IF(B560="","",_xlfn.XLOOKUP(B560,'Orders Ledger'!$A:$A,'Orders Ledger'!$B:$B,""))</f>
        <v/>
      </c>
      <c r="D560" t="str">
        <f>IF(B560="","",_xlfn.XLOOKUP(B560,'Orders Ledger'!$A:$A,'Orders Ledger'!$G:$G,""))</f>
        <v/>
      </c>
      <c r="E560" t="str">
        <f>IF(B560="","",_xlfn.XLOOKUP(B560,'Orders Ledger'!$A:$A,'Orders Ledger'!$H:$H,""))</f>
        <v/>
      </c>
      <c r="F560" t="str">
        <f>IF(B560="","",_xlfn.XLOOKUP(B560,'Orders Ledger'!$A:$A,'Orders Ledger'!$F:$F,""))</f>
        <v/>
      </c>
      <c r="G560" t="str">
        <f>IF(B560="","",_xlfn.XLOOKUP(B560,'Orders Ledger'!$A:$A,'Orders Ledger'!$N:$N,0))</f>
        <v/>
      </c>
    </row>
    <row r="561" spans="2:7" x14ac:dyDescent="0.3">
      <c r="B561" t="str">
        <f t="array" ref="B561">IFERROR(INDEX('Orders Ledger'!$A$2:$A$1501, SMALL(IF(('Orders Ledger'!$J$2:$J$1501="disputed")+('Orders Ledger'!$J$2:$J$1501="PENDING_REVIEW"), ROW('Orders Ledger'!$A$2:$A$1501)-ROW('Orders Ledger'!$A$2)+1), ROW(503:503))), "")</f>
        <v/>
      </c>
      <c r="C561" s="11" t="str">
        <f>IF(B561="","",_xlfn.XLOOKUP(B561,'Orders Ledger'!$A:$A,'Orders Ledger'!$B:$B,""))</f>
        <v/>
      </c>
      <c r="D561" t="str">
        <f>IF(B561="","",_xlfn.XLOOKUP(B561,'Orders Ledger'!$A:$A,'Orders Ledger'!$G:$G,""))</f>
        <v/>
      </c>
      <c r="E561" t="str">
        <f>IF(B561="","",_xlfn.XLOOKUP(B561,'Orders Ledger'!$A:$A,'Orders Ledger'!$H:$H,""))</f>
        <v/>
      </c>
      <c r="F561" t="str">
        <f>IF(B561="","",_xlfn.XLOOKUP(B561,'Orders Ledger'!$A:$A,'Orders Ledger'!$F:$F,""))</f>
        <v/>
      </c>
      <c r="G561" t="str">
        <f>IF(B561="","",_xlfn.XLOOKUP(B561,'Orders Ledger'!$A:$A,'Orders Ledger'!$N:$N,0))</f>
        <v/>
      </c>
    </row>
    <row r="562" spans="2:7" x14ac:dyDescent="0.3">
      <c r="B562" t="str">
        <f t="array" ref="B562">IFERROR(INDEX('Orders Ledger'!$A$2:$A$1501, SMALL(IF(('Orders Ledger'!$J$2:$J$1501="disputed")+('Orders Ledger'!$J$2:$J$1501="PENDING_REVIEW"), ROW('Orders Ledger'!$A$2:$A$1501)-ROW('Orders Ledger'!$A$2)+1), ROW(504:504))), "")</f>
        <v/>
      </c>
      <c r="C562" s="11" t="str">
        <f>IF(B562="","",_xlfn.XLOOKUP(B562,'Orders Ledger'!$A:$A,'Orders Ledger'!$B:$B,""))</f>
        <v/>
      </c>
      <c r="D562" t="str">
        <f>IF(B562="","",_xlfn.XLOOKUP(B562,'Orders Ledger'!$A:$A,'Orders Ledger'!$G:$G,""))</f>
        <v/>
      </c>
      <c r="E562" t="str">
        <f>IF(B562="","",_xlfn.XLOOKUP(B562,'Orders Ledger'!$A:$A,'Orders Ledger'!$H:$H,""))</f>
        <v/>
      </c>
      <c r="F562" t="str">
        <f>IF(B562="","",_xlfn.XLOOKUP(B562,'Orders Ledger'!$A:$A,'Orders Ledger'!$F:$F,""))</f>
        <v/>
      </c>
      <c r="G562" t="str">
        <f>IF(B562="","",_xlfn.XLOOKUP(B562,'Orders Ledger'!$A:$A,'Orders Ledger'!$N:$N,0))</f>
        <v/>
      </c>
    </row>
    <row r="563" spans="2:7" x14ac:dyDescent="0.3">
      <c r="B563" t="str">
        <f t="array" ref="B563">IFERROR(INDEX('Orders Ledger'!$A$2:$A$1501, SMALL(IF(('Orders Ledger'!$J$2:$J$1501="disputed")+('Orders Ledger'!$J$2:$J$1501="PENDING_REVIEW"), ROW('Orders Ledger'!$A$2:$A$1501)-ROW('Orders Ledger'!$A$2)+1), ROW(505:505))), "")</f>
        <v/>
      </c>
      <c r="C563" s="11" t="str">
        <f>IF(B563="","",_xlfn.XLOOKUP(B563,'Orders Ledger'!$A:$A,'Orders Ledger'!$B:$B,""))</f>
        <v/>
      </c>
      <c r="D563" t="str">
        <f>IF(B563="","",_xlfn.XLOOKUP(B563,'Orders Ledger'!$A:$A,'Orders Ledger'!$G:$G,""))</f>
        <v/>
      </c>
      <c r="E563" t="str">
        <f>IF(B563="","",_xlfn.XLOOKUP(B563,'Orders Ledger'!$A:$A,'Orders Ledger'!$H:$H,""))</f>
        <v/>
      </c>
      <c r="F563" t="str">
        <f>IF(B563="","",_xlfn.XLOOKUP(B563,'Orders Ledger'!$A:$A,'Orders Ledger'!$F:$F,""))</f>
        <v/>
      </c>
      <c r="G563" t="str">
        <f>IF(B563="","",_xlfn.XLOOKUP(B563,'Orders Ledger'!$A:$A,'Orders Ledger'!$N:$N,0))</f>
        <v/>
      </c>
    </row>
    <row r="564" spans="2:7" x14ac:dyDescent="0.3">
      <c r="B564" t="str">
        <f t="array" ref="B564">IFERROR(INDEX('Orders Ledger'!$A$2:$A$1501, SMALL(IF(('Orders Ledger'!$J$2:$J$1501="disputed")+('Orders Ledger'!$J$2:$J$1501="PENDING_REVIEW"), ROW('Orders Ledger'!$A$2:$A$1501)-ROW('Orders Ledger'!$A$2)+1), ROW(506:506))), "")</f>
        <v/>
      </c>
      <c r="C564" s="11" t="str">
        <f>IF(B564="","",_xlfn.XLOOKUP(B564,'Orders Ledger'!$A:$A,'Orders Ledger'!$B:$B,""))</f>
        <v/>
      </c>
      <c r="D564" t="str">
        <f>IF(B564="","",_xlfn.XLOOKUP(B564,'Orders Ledger'!$A:$A,'Orders Ledger'!$G:$G,""))</f>
        <v/>
      </c>
      <c r="E564" t="str">
        <f>IF(B564="","",_xlfn.XLOOKUP(B564,'Orders Ledger'!$A:$A,'Orders Ledger'!$H:$H,""))</f>
        <v/>
      </c>
      <c r="F564" t="str">
        <f>IF(B564="","",_xlfn.XLOOKUP(B564,'Orders Ledger'!$A:$A,'Orders Ledger'!$F:$F,""))</f>
        <v/>
      </c>
      <c r="G564" t="str">
        <f>IF(B564="","",_xlfn.XLOOKUP(B564,'Orders Ledger'!$A:$A,'Orders Ledger'!$N:$N,0))</f>
        <v/>
      </c>
    </row>
    <row r="565" spans="2:7" x14ac:dyDescent="0.3">
      <c r="B565" t="str">
        <f t="array" ref="B565">IFERROR(INDEX('Orders Ledger'!$A$2:$A$1501, SMALL(IF(('Orders Ledger'!$J$2:$J$1501="disputed")+('Orders Ledger'!$J$2:$J$1501="PENDING_REVIEW"), ROW('Orders Ledger'!$A$2:$A$1501)-ROW('Orders Ledger'!$A$2)+1), ROW(507:507))), "")</f>
        <v/>
      </c>
      <c r="C565" s="11" t="str">
        <f>IF(B565="","",_xlfn.XLOOKUP(B565,'Orders Ledger'!$A:$A,'Orders Ledger'!$B:$B,""))</f>
        <v/>
      </c>
      <c r="D565" t="str">
        <f>IF(B565="","",_xlfn.XLOOKUP(B565,'Orders Ledger'!$A:$A,'Orders Ledger'!$G:$G,""))</f>
        <v/>
      </c>
      <c r="E565" t="str">
        <f>IF(B565="","",_xlfn.XLOOKUP(B565,'Orders Ledger'!$A:$A,'Orders Ledger'!$H:$H,""))</f>
        <v/>
      </c>
      <c r="F565" t="str">
        <f>IF(B565="","",_xlfn.XLOOKUP(B565,'Orders Ledger'!$A:$A,'Orders Ledger'!$F:$F,""))</f>
        <v/>
      </c>
      <c r="G565" t="str">
        <f>IF(B565="","",_xlfn.XLOOKUP(B565,'Orders Ledger'!$A:$A,'Orders Ledger'!$N:$N,0))</f>
        <v/>
      </c>
    </row>
    <row r="566" spans="2:7" x14ac:dyDescent="0.3">
      <c r="B566" t="str">
        <f t="array" ref="B566">IFERROR(INDEX('Orders Ledger'!$A$2:$A$1501, SMALL(IF(('Orders Ledger'!$J$2:$J$1501="disputed")+('Orders Ledger'!$J$2:$J$1501="PENDING_REVIEW"), ROW('Orders Ledger'!$A$2:$A$1501)-ROW('Orders Ledger'!$A$2)+1), ROW(508:508))), "")</f>
        <v/>
      </c>
      <c r="C566" s="11" t="str">
        <f>IF(B566="","",_xlfn.XLOOKUP(B566,'Orders Ledger'!$A:$A,'Orders Ledger'!$B:$B,""))</f>
        <v/>
      </c>
      <c r="D566" t="str">
        <f>IF(B566="","",_xlfn.XLOOKUP(B566,'Orders Ledger'!$A:$A,'Orders Ledger'!$G:$G,""))</f>
        <v/>
      </c>
      <c r="E566" t="str">
        <f>IF(B566="","",_xlfn.XLOOKUP(B566,'Orders Ledger'!$A:$A,'Orders Ledger'!$H:$H,""))</f>
        <v/>
      </c>
      <c r="F566" t="str">
        <f>IF(B566="","",_xlfn.XLOOKUP(B566,'Orders Ledger'!$A:$A,'Orders Ledger'!$F:$F,""))</f>
        <v/>
      </c>
      <c r="G566" t="str">
        <f>IF(B566="","",_xlfn.XLOOKUP(B566,'Orders Ledger'!$A:$A,'Orders Ledger'!$N:$N,0))</f>
        <v/>
      </c>
    </row>
    <row r="567" spans="2:7" x14ac:dyDescent="0.3">
      <c r="B567" t="str">
        <f t="array" ref="B567">IFERROR(INDEX('Orders Ledger'!$A$2:$A$1501, SMALL(IF(('Orders Ledger'!$J$2:$J$1501="disputed")+('Orders Ledger'!$J$2:$J$1501="PENDING_REVIEW"), ROW('Orders Ledger'!$A$2:$A$1501)-ROW('Orders Ledger'!$A$2)+1), ROW(509:509))), "")</f>
        <v/>
      </c>
      <c r="C567" s="11" t="str">
        <f>IF(B567="","",_xlfn.XLOOKUP(B567,'Orders Ledger'!$A:$A,'Orders Ledger'!$B:$B,""))</f>
        <v/>
      </c>
      <c r="D567" t="str">
        <f>IF(B567="","",_xlfn.XLOOKUP(B567,'Orders Ledger'!$A:$A,'Orders Ledger'!$G:$G,""))</f>
        <v/>
      </c>
      <c r="E567" t="str">
        <f>IF(B567="","",_xlfn.XLOOKUP(B567,'Orders Ledger'!$A:$A,'Orders Ledger'!$H:$H,""))</f>
        <v/>
      </c>
      <c r="F567" t="str">
        <f>IF(B567="","",_xlfn.XLOOKUP(B567,'Orders Ledger'!$A:$A,'Orders Ledger'!$F:$F,""))</f>
        <v/>
      </c>
      <c r="G567" t="str">
        <f>IF(B567="","",_xlfn.XLOOKUP(B567,'Orders Ledger'!$A:$A,'Orders Ledger'!$N:$N,0))</f>
        <v/>
      </c>
    </row>
    <row r="568" spans="2:7" x14ac:dyDescent="0.3">
      <c r="B568" t="str">
        <f t="array" ref="B568">IFERROR(INDEX('Orders Ledger'!$A$2:$A$1501, SMALL(IF(('Orders Ledger'!$J$2:$J$1501="disputed")+('Orders Ledger'!$J$2:$J$1501="PENDING_REVIEW"), ROW('Orders Ledger'!$A$2:$A$1501)-ROW('Orders Ledger'!$A$2)+1), ROW(510:510))), "")</f>
        <v/>
      </c>
      <c r="C568" s="11" t="str">
        <f>IF(B568="","",_xlfn.XLOOKUP(B568,'Orders Ledger'!$A:$A,'Orders Ledger'!$B:$B,""))</f>
        <v/>
      </c>
      <c r="D568" t="str">
        <f>IF(B568="","",_xlfn.XLOOKUP(B568,'Orders Ledger'!$A:$A,'Orders Ledger'!$G:$G,""))</f>
        <v/>
      </c>
      <c r="E568" t="str">
        <f>IF(B568="","",_xlfn.XLOOKUP(B568,'Orders Ledger'!$A:$A,'Orders Ledger'!$H:$H,""))</f>
        <v/>
      </c>
      <c r="F568" t="str">
        <f>IF(B568="","",_xlfn.XLOOKUP(B568,'Orders Ledger'!$A:$A,'Orders Ledger'!$F:$F,""))</f>
        <v/>
      </c>
      <c r="G568" t="str">
        <f>IF(B568="","",_xlfn.XLOOKUP(B568,'Orders Ledger'!$A:$A,'Orders Ledger'!$N:$N,0))</f>
        <v/>
      </c>
    </row>
    <row r="569" spans="2:7" x14ac:dyDescent="0.3">
      <c r="B569" t="str">
        <f t="array" ref="B569">IFERROR(INDEX('Orders Ledger'!$A$2:$A$1501, SMALL(IF(('Orders Ledger'!$J$2:$J$1501="disputed")+('Orders Ledger'!$J$2:$J$1501="PENDING_REVIEW"), ROW('Orders Ledger'!$A$2:$A$1501)-ROW('Orders Ledger'!$A$2)+1), ROW(511:511))), "")</f>
        <v/>
      </c>
      <c r="C569" s="11" t="str">
        <f>IF(B569="","",_xlfn.XLOOKUP(B569,'Orders Ledger'!$A:$A,'Orders Ledger'!$B:$B,""))</f>
        <v/>
      </c>
      <c r="D569" t="str">
        <f>IF(B569="","",_xlfn.XLOOKUP(B569,'Orders Ledger'!$A:$A,'Orders Ledger'!$G:$G,""))</f>
        <v/>
      </c>
      <c r="E569" t="str">
        <f>IF(B569="","",_xlfn.XLOOKUP(B569,'Orders Ledger'!$A:$A,'Orders Ledger'!$H:$H,""))</f>
        <v/>
      </c>
      <c r="F569" t="str">
        <f>IF(B569="","",_xlfn.XLOOKUP(B569,'Orders Ledger'!$A:$A,'Orders Ledger'!$F:$F,""))</f>
        <v/>
      </c>
      <c r="G569" t="str">
        <f>IF(B569="","",_xlfn.XLOOKUP(B569,'Orders Ledger'!$A:$A,'Orders Ledger'!$N:$N,0))</f>
        <v/>
      </c>
    </row>
    <row r="570" spans="2:7" x14ac:dyDescent="0.3">
      <c r="B570" t="str">
        <f t="array" ref="B570">IFERROR(INDEX('Orders Ledger'!$A$2:$A$1501, SMALL(IF(('Orders Ledger'!$J$2:$J$1501="disputed")+('Orders Ledger'!$J$2:$J$1501="PENDING_REVIEW"), ROW('Orders Ledger'!$A$2:$A$1501)-ROW('Orders Ledger'!$A$2)+1), ROW(512:512))), "")</f>
        <v/>
      </c>
      <c r="C570" s="11" t="str">
        <f>IF(B570="","",_xlfn.XLOOKUP(B570,'Orders Ledger'!$A:$A,'Orders Ledger'!$B:$B,""))</f>
        <v/>
      </c>
      <c r="D570" t="str">
        <f>IF(B570="","",_xlfn.XLOOKUP(B570,'Orders Ledger'!$A:$A,'Orders Ledger'!$G:$G,""))</f>
        <v/>
      </c>
      <c r="E570" t="str">
        <f>IF(B570="","",_xlfn.XLOOKUP(B570,'Orders Ledger'!$A:$A,'Orders Ledger'!$H:$H,""))</f>
        <v/>
      </c>
      <c r="F570" t="str">
        <f>IF(B570="","",_xlfn.XLOOKUP(B570,'Orders Ledger'!$A:$A,'Orders Ledger'!$F:$F,""))</f>
        <v/>
      </c>
      <c r="G570" t="str">
        <f>IF(B570="","",_xlfn.XLOOKUP(B570,'Orders Ledger'!$A:$A,'Orders Ledger'!$N:$N,0))</f>
        <v/>
      </c>
    </row>
    <row r="571" spans="2:7" x14ac:dyDescent="0.3">
      <c r="B571" t="str">
        <f t="array" ref="B571">IFERROR(INDEX('Orders Ledger'!$A$2:$A$1501, SMALL(IF(('Orders Ledger'!$J$2:$J$1501="disputed")+('Orders Ledger'!$J$2:$J$1501="PENDING_REVIEW"), ROW('Orders Ledger'!$A$2:$A$1501)-ROW('Orders Ledger'!$A$2)+1), ROW(513:513))), "")</f>
        <v/>
      </c>
      <c r="C571" s="11" t="str">
        <f>IF(B571="","",_xlfn.XLOOKUP(B571,'Orders Ledger'!$A:$A,'Orders Ledger'!$B:$B,""))</f>
        <v/>
      </c>
      <c r="D571" t="str">
        <f>IF(B571="","",_xlfn.XLOOKUP(B571,'Orders Ledger'!$A:$A,'Orders Ledger'!$G:$G,""))</f>
        <v/>
      </c>
      <c r="E571" t="str">
        <f>IF(B571="","",_xlfn.XLOOKUP(B571,'Orders Ledger'!$A:$A,'Orders Ledger'!$H:$H,""))</f>
        <v/>
      </c>
      <c r="F571" t="str">
        <f>IF(B571="","",_xlfn.XLOOKUP(B571,'Orders Ledger'!$A:$A,'Orders Ledger'!$F:$F,""))</f>
        <v/>
      </c>
      <c r="G571" t="str">
        <f>IF(B571="","",_xlfn.XLOOKUP(B571,'Orders Ledger'!$A:$A,'Orders Ledger'!$N:$N,0))</f>
        <v/>
      </c>
    </row>
    <row r="572" spans="2:7" x14ac:dyDescent="0.3">
      <c r="B572" t="str">
        <f t="array" ref="B572">IFERROR(INDEX('Orders Ledger'!$A$2:$A$1501, SMALL(IF(('Orders Ledger'!$J$2:$J$1501="disputed")+('Orders Ledger'!$J$2:$J$1501="PENDING_REVIEW"), ROW('Orders Ledger'!$A$2:$A$1501)-ROW('Orders Ledger'!$A$2)+1), ROW(514:514))), "")</f>
        <v/>
      </c>
      <c r="C572" s="11" t="str">
        <f>IF(B572="","",_xlfn.XLOOKUP(B572,'Orders Ledger'!$A:$A,'Orders Ledger'!$B:$B,""))</f>
        <v/>
      </c>
      <c r="D572" t="str">
        <f>IF(B572="","",_xlfn.XLOOKUP(B572,'Orders Ledger'!$A:$A,'Orders Ledger'!$G:$G,""))</f>
        <v/>
      </c>
      <c r="E572" t="str">
        <f>IF(B572="","",_xlfn.XLOOKUP(B572,'Orders Ledger'!$A:$A,'Orders Ledger'!$H:$H,""))</f>
        <v/>
      </c>
      <c r="F572" t="str">
        <f>IF(B572="","",_xlfn.XLOOKUP(B572,'Orders Ledger'!$A:$A,'Orders Ledger'!$F:$F,""))</f>
        <v/>
      </c>
      <c r="G572" t="str">
        <f>IF(B572="","",_xlfn.XLOOKUP(B572,'Orders Ledger'!$A:$A,'Orders Ledger'!$N:$N,0))</f>
        <v/>
      </c>
    </row>
    <row r="573" spans="2:7" x14ac:dyDescent="0.3">
      <c r="B573" t="str">
        <f t="array" ref="B573">IFERROR(INDEX('Orders Ledger'!$A$2:$A$1501, SMALL(IF(('Orders Ledger'!$J$2:$J$1501="disputed")+('Orders Ledger'!$J$2:$J$1501="PENDING_REVIEW"), ROW('Orders Ledger'!$A$2:$A$1501)-ROW('Orders Ledger'!$A$2)+1), ROW(515:515))), "")</f>
        <v/>
      </c>
      <c r="C573" s="11" t="str">
        <f>IF(B573="","",_xlfn.XLOOKUP(B573,'Orders Ledger'!$A:$A,'Orders Ledger'!$B:$B,""))</f>
        <v/>
      </c>
      <c r="D573" t="str">
        <f>IF(B573="","",_xlfn.XLOOKUP(B573,'Orders Ledger'!$A:$A,'Orders Ledger'!$G:$G,""))</f>
        <v/>
      </c>
      <c r="E573" t="str">
        <f>IF(B573="","",_xlfn.XLOOKUP(B573,'Orders Ledger'!$A:$A,'Orders Ledger'!$H:$H,""))</f>
        <v/>
      </c>
      <c r="F573" t="str">
        <f>IF(B573="","",_xlfn.XLOOKUP(B573,'Orders Ledger'!$A:$A,'Orders Ledger'!$F:$F,""))</f>
        <v/>
      </c>
      <c r="G573" t="str">
        <f>IF(B573="","",_xlfn.XLOOKUP(B573,'Orders Ledger'!$A:$A,'Orders Ledger'!$N:$N,0))</f>
        <v/>
      </c>
    </row>
    <row r="574" spans="2:7" x14ac:dyDescent="0.3">
      <c r="B574" t="str">
        <f t="array" ref="B574">IFERROR(INDEX('Orders Ledger'!$A$2:$A$1501, SMALL(IF(('Orders Ledger'!$J$2:$J$1501="disputed")+('Orders Ledger'!$J$2:$J$1501="PENDING_REVIEW"), ROW('Orders Ledger'!$A$2:$A$1501)-ROW('Orders Ledger'!$A$2)+1), ROW(516:516))), "")</f>
        <v/>
      </c>
      <c r="C574" s="11" t="str">
        <f>IF(B574="","",_xlfn.XLOOKUP(B574,'Orders Ledger'!$A:$A,'Orders Ledger'!$B:$B,""))</f>
        <v/>
      </c>
      <c r="D574" t="str">
        <f>IF(B574="","",_xlfn.XLOOKUP(B574,'Orders Ledger'!$A:$A,'Orders Ledger'!$G:$G,""))</f>
        <v/>
      </c>
      <c r="E574" t="str">
        <f>IF(B574="","",_xlfn.XLOOKUP(B574,'Orders Ledger'!$A:$A,'Orders Ledger'!$H:$H,""))</f>
        <v/>
      </c>
      <c r="F574" t="str">
        <f>IF(B574="","",_xlfn.XLOOKUP(B574,'Orders Ledger'!$A:$A,'Orders Ledger'!$F:$F,""))</f>
        <v/>
      </c>
      <c r="G574" t="str">
        <f>IF(B574="","",_xlfn.XLOOKUP(B574,'Orders Ledger'!$A:$A,'Orders Ledger'!$N:$N,0))</f>
        <v/>
      </c>
    </row>
    <row r="575" spans="2:7" x14ac:dyDescent="0.3">
      <c r="B575" t="str">
        <f t="array" ref="B575">IFERROR(INDEX('Orders Ledger'!$A$2:$A$1501, SMALL(IF(('Orders Ledger'!$J$2:$J$1501="disputed")+('Orders Ledger'!$J$2:$J$1501="PENDING_REVIEW"), ROW('Orders Ledger'!$A$2:$A$1501)-ROW('Orders Ledger'!$A$2)+1), ROW(517:517))), "")</f>
        <v/>
      </c>
      <c r="C575" s="11" t="str">
        <f>IF(B575="","",_xlfn.XLOOKUP(B575,'Orders Ledger'!$A:$A,'Orders Ledger'!$B:$B,""))</f>
        <v/>
      </c>
      <c r="D575" t="str">
        <f>IF(B575="","",_xlfn.XLOOKUP(B575,'Orders Ledger'!$A:$A,'Orders Ledger'!$G:$G,""))</f>
        <v/>
      </c>
      <c r="E575" t="str">
        <f>IF(B575="","",_xlfn.XLOOKUP(B575,'Orders Ledger'!$A:$A,'Orders Ledger'!$H:$H,""))</f>
        <v/>
      </c>
      <c r="F575" t="str">
        <f>IF(B575="","",_xlfn.XLOOKUP(B575,'Orders Ledger'!$A:$A,'Orders Ledger'!$F:$F,""))</f>
        <v/>
      </c>
      <c r="G575" t="str">
        <f>IF(B575="","",_xlfn.XLOOKUP(B575,'Orders Ledger'!$A:$A,'Orders Ledger'!$N:$N,0))</f>
        <v/>
      </c>
    </row>
    <row r="576" spans="2:7" x14ac:dyDescent="0.3">
      <c r="B576" t="str">
        <f t="array" ref="B576">IFERROR(INDEX('Orders Ledger'!$A$2:$A$1501, SMALL(IF(('Orders Ledger'!$J$2:$J$1501="disputed")+('Orders Ledger'!$J$2:$J$1501="PENDING_REVIEW"), ROW('Orders Ledger'!$A$2:$A$1501)-ROW('Orders Ledger'!$A$2)+1), ROW(518:518))), "")</f>
        <v/>
      </c>
      <c r="C576" s="11" t="str">
        <f>IF(B576="","",_xlfn.XLOOKUP(B576,'Orders Ledger'!$A:$A,'Orders Ledger'!$B:$B,""))</f>
        <v/>
      </c>
      <c r="D576" t="str">
        <f>IF(B576="","",_xlfn.XLOOKUP(B576,'Orders Ledger'!$A:$A,'Orders Ledger'!$G:$G,""))</f>
        <v/>
      </c>
      <c r="E576" t="str">
        <f>IF(B576="","",_xlfn.XLOOKUP(B576,'Orders Ledger'!$A:$A,'Orders Ledger'!$H:$H,""))</f>
        <v/>
      </c>
      <c r="F576" t="str">
        <f>IF(B576="","",_xlfn.XLOOKUP(B576,'Orders Ledger'!$A:$A,'Orders Ledger'!$F:$F,""))</f>
        <v/>
      </c>
      <c r="G576" t="str">
        <f>IF(B576="","",_xlfn.XLOOKUP(B576,'Orders Ledger'!$A:$A,'Orders Ledger'!$N:$N,0))</f>
        <v/>
      </c>
    </row>
    <row r="577" spans="2:7" x14ac:dyDescent="0.3">
      <c r="B577" t="str">
        <f t="array" ref="B577">IFERROR(INDEX('Orders Ledger'!$A$2:$A$1501, SMALL(IF(('Orders Ledger'!$J$2:$J$1501="disputed")+('Orders Ledger'!$J$2:$J$1501="PENDING_REVIEW"), ROW('Orders Ledger'!$A$2:$A$1501)-ROW('Orders Ledger'!$A$2)+1), ROW(519:519))), "")</f>
        <v/>
      </c>
      <c r="C577" s="11" t="str">
        <f>IF(B577="","",_xlfn.XLOOKUP(B577,'Orders Ledger'!$A:$A,'Orders Ledger'!$B:$B,""))</f>
        <v/>
      </c>
      <c r="D577" t="str">
        <f>IF(B577="","",_xlfn.XLOOKUP(B577,'Orders Ledger'!$A:$A,'Orders Ledger'!$G:$G,""))</f>
        <v/>
      </c>
      <c r="E577" t="str">
        <f>IF(B577="","",_xlfn.XLOOKUP(B577,'Orders Ledger'!$A:$A,'Orders Ledger'!$H:$H,""))</f>
        <v/>
      </c>
      <c r="F577" t="str">
        <f>IF(B577="","",_xlfn.XLOOKUP(B577,'Orders Ledger'!$A:$A,'Orders Ledger'!$F:$F,""))</f>
        <v/>
      </c>
      <c r="G577" t="str">
        <f>IF(B577="","",_xlfn.XLOOKUP(B577,'Orders Ledger'!$A:$A,'Orders Ledger'!$N:$N,0))</f>
        <v/>
      </c>
    </row>
    <row r="578" spans="2:7" x14ac:dyDescent="0.3">
      <c r="B578" t="str">
        <f t="array" ref="B578">IFERROR(INDEX('Orders Ledger'!$A$2:$A$1501, SMALL(IF(('Orders Ledger'!$J$2:$J$1501="disputed")+('Orders Ledger'!$J$2:$J$1501="PENDING_REVIEW"), ROW('Orders Ledger'!$A$2:$A$1501)-ROW('Orders Ledger'!$A$2)+1), ROW(520:520))), "")</f>
        <v/>
      </c>
      <c r="C578" s="11" t="str">
        <f>IF(B578="","",_xlfn.XLOOKUP(B578,'Orders Ledger'!$A:$A,'Orders Ledger'!$B:$B,""))</f>
        <v/>
      </c>
      <c r="D578" t="str">
        <f>IF(B578="","",_xlfn.XLOOKUP(B578,'Orders Ledger'!$A:$A,'Orders Ledger'!$G:$G,""))</f>
        <v/>
      </c>
      <c r="E578" t="str">
        <f>IF(B578="","",_xlfn.XLOOKUP(B578,'Orders Ledger'!$A:$A,'Orders Ledger'!$H:$H,""))</f>
        <v/>
      </c>
      <c r="F578" t="str">
        <f>IF(B578="","",_xlfn.XLOOKUP(B578,'Orders Ledger'!$A:$A,'Orders Ledger'!$F:$F,""))</f>
        <v/>
      </c>
      <c r="G578" t="str">
        <f>IF(B578="","",_xlfn.XLOOKUP(B578,'Orders Ledger'!$A:$A,'Orders Ledger'!$N:$N,0))</f>
        <v/>
      </c>
    </row>
    <row r="579" spans="2:7" x14ac:dyDescent="0.3">
      <c r="B579" t="str">
        <f t="array" ref="B579">IFERROR(INDEX('Orders Ledger'!$A$2:$A$1501, SMALL(IF(('Orders Ledger'!$J$2:$J$1501="disputed")+('Orders Ledger'!$J$2:$J$1501="PENDING_REVIEW"), ROW('Orders Ledger'!$A$2:$A$1501)-ROW('Orders Ledger'!$A$2)+1), ROW(521:521))), "")</f>
        <v/>
      </c>
      <c r="C579" s="11" t="str">
        <f>IF(B579="","",_xlfn.XLOOKUP(B579,'Orders Ledger'!$A:$A,'Orders Ledger'!$B:$B,""))</f>
        <v/>
      </c>
      <c r="D579" t="str">
        <f>IF(B579="","",_xlfn.XLOOKUP(B579,'Orders Ledger'!$A:$A,'Orders Ledger'!$G:$G,""))</f>
        <v/>
      </c>
      <c r="E579" t="str">
        <f>IF(B579="","",_xlfn.XLOOKUP(B579,'Orders Ledger'!$A:$A,'Orders Ledger'!$H:$H,""))</f>
        <v/>
      </c>
      <c r="F579" t="str">
        <f>IF(B579="","",_xlfn.XLOOKUP(B579,'Orders Ledger'!$A:$A,'Orders Ledger'!$F:$F,""))</f>
        <v/>
      </c>
      <c r="G579" t="str">
        <f>IF(B579="","",_xlfn.XLOOKUP(B579,'Orders Ledger'!$A:$A,'Orders Ledger'!$N:$N,0))</f>
        <v/>
      </c>
    </row>
    <row r="580" spans="2:7" x14ac:dyDescent="0.3">
      <c r="B580" t="str">
        <f t="array" ref="B580">IFERROR(INDEX('Orders Ledger'!$A$2:$A$1501, SMALL(IF(('Orders Ledger'!$J$2:$J$1501="disputed")+('Orders Ledger'!$J$2:$J$1501="PENDING_REVIEW"), ROW('Orders Ledger'!$A$2:$A$1501)-ROW('Orders Ledger'!$A$2)+1), ROW(522:522))), "")</f>
        <v/>
      </c>
      <c r="C580" s="11" t="str">
        <f>IF(B580="","",_xlfn.XLOOKUP(B580,'Orders Ledger'!$A:$A,'Orders Ledger'!$B:$B,""))</f>
        <v/>
      </c>
      <c r="D580" t="str">
        <f>IF(B580="","",_xlfn.XLOOKUP(B580,'Orders Ledger'!$A:$A,'Orders Ledger'!$G:$G,""))</f>
        <v/>
      </c>
      <c r="E580" t="str">
        <f>IF(B580="","",_xlfn.XLOOKUP(B580,'Orders Ledger'!$A:$A,'Orders Ledger'!$H:$H,""))</f>
        <v/>
      </c>
      <c r="F580" t="str">
        <f>IF(B580="","",_xlfn.XLOOKUP(B580,'Orders Ledger'!$A:$A,'Orders Ledger'!$F:$F,""))</f>
        <v/>
      </c>
      <c r="G580" t="str">
        <f>IF(B580="","",_xlfn.XLOOKUP(B580,'Orders Ledger'!$A:$A,'Orders Ledger'!$N:$N,0))</f>
        <v/>
      </c>
    </row>
    <row r="581" spans="2:7" x14ac:dyDescent="0.3">
      <c r="B581" t="str">
        <f t="array" ref="B581">IFERROR(INDEX('Orders Ledger'!$A$2:$A$1501, SMALL(IF(('Orders Ledger'!$J$2:$J$1501="disputed")+('Orders Ledger'!$J$2:$J$1501="PENDING_REVIEW"), ROW('Orders Ledger'!$A$2:$A$1501)-ROW('Orders Ledger'!$A$2)+1), ROW(523:523))), "")</f>
        <v/>
      </c>
      <c r="C581" s="11" t="str">
        <f>IF(B581="","",_xlfn.XLOOKUP(B581,'Orders Ledger'!$A:$A,'Orders Ledger'!$B:$B,""))</f>
        <v/>
      </c>
      <c r="D581" t="str">
        <f>IF(B581="","",_xlfn.XLOOKUP(B581,'Orders Ledger'!$A:$A,'Orders Ledger'!$G:$G,""))</f>
        <v/>
      </c>
      <c r="E581" t="str">
        <f>IF(B581="","",_xlfn.XLOOKUP(B581,'Orders Ledger'!$A:$A,'Orders Ledger'!$H:$H,""))</f>
        <v/>
      </c>
      <c r="F581" t="str">
        <f>IF(B581="","",_xlfn.XLOOKUP(B581,'Orders Ledger'!$A:$A,'Orders Ledger'!$F:$F,""))</f>
        <v/>
      </c>
      <c r="G581" t="str">
        <f>IF(B581="","",_xlfn.XLOOKUP(B581,'Orders Ledger'!$A:$A,'Orders Ledger'!$N:$N,0))</f>
        <v/>
      </c>
    </row>
    <row r="582" spans="2:7" x14ac:dyDescent="0.3">
      <c r="B582" t="str">
        <f t="array" ref="B582">IFERROR(INDEX('Orders Ledger'!$A$2:$A$1501, SMALL(IF(('Orders Ledger'!$J$2:$J$1501="disputed")+('Orders Ledger'!$J$2:$J$1501="PENDING_REVIEW"), ROW('Orders Ledger'!$A$2:$A$1501)-ROW('Orders Ledger'!$A$2)+1), ROW(524:524))), "")</f>
        <v/>
      </c>
      <c r="C582" s="11" t="str">
        <f>IF(B582="","",_xlfn.XLOOKUP(B582,'Orders Ledger'!$A:$A,'Orders Ledger'!$B:$B,""))</f>
        <v/>
      </c>
      <c r="D582" t="str">
        <f>IF(B582="","",_xlfn.XLOOKUP(B582,'Orders Ledger'!$A:$A,'Orders Ledger'!$G:$G,""))</f>
        <v/>
      </c>
      <c r="E582" t="str">
        <f>IF(B582="","",_xlfn.XLOOKUP(B582,'Orders Ledger'!$A:$A,'Orders Ledger'!$H:$H,""))</f>
        <v/>
      </c>
      <c r="F582" t="str">
        <f>IF(B582="","",_xlfn.XLOOKUP(B582,'Orders Ledger'!$A:$A,'Orders Ledger'!$F:$F,""))</f>
        <v/>
      </c>
      <c r="G582" t="str">
        <f>IF(B582="","",_xlfn.XLOOKUP(B582,'Orders Ledger'!$A:$A,'Orders Ledger'!$N:$N,0))</f>
        <v/>
      </c>
    </row>
    <row r="583" spans="2:7" x14ac:dyDescent="0.3">
      <c r="B583" t="str">
        <f t="array" ref="B583">IFERROR(INDEX('Orders Ledger'!$A$2:$A$1501, SMALL(IF(('Orders Ledger'!$J$2:$J$1501="disputed")+('Orders Ledger'!$J$2:$J$1501="PENDING_REVIEW"), ROW('Orders Ledger'!$A$2:$A$1501)-ROW('Orders Ledger'!$A$2)+1), ROW(525:525))), "")</f>
        <v/>
      </c>
      <c r="C583" s="11" t="str">
        <f>IF(B583="","",_xlfn.XLOOKUP(B583,'Orders Ledger'!$A:$A,'Orders Ledger'!$B:$B,""))</f>
        <v/>
      </c>
      <c r="D583" t="str">
        <f>IF(B583="","",_xlfn.XLOOKUP(B583,'Orders Ledger'!$A:$A,'Orders Ledger'!$G:$G,""))</f>
        <v/>
      </c>
      <c r="E583" t="str">
        <f>IF(B583="","",_xlfn.XLOOKUP(B583,'Orders Ledger'!$A:$A,'Orders Ledger'!$H:$H,""))</f>
        <v/>
      </c>
      <c r="F583" t="str">
        <f>IF(B583="","",_xlfn.XLOOKUP(B583,'Orders Ledger'!$A:$A,'Orders Ledger'!$F:$F,""))</f>
        <v/>
      </c>
      <c r="G583" t="str">
        <f>IF(B583="","",_xlfn.XLOOKUP(B583,'Orders Ledger'!$A:$A,'Orders Ledger'!$N:$N,0))</f>
        <v/>
      </c>
    </row>
    <row r="584" spans="2:7" x14ac:dyDescent="0.3">
      <c r="B584" t="str">
        <f t="array" ref="B584">IFERROR(INDEX('Orders Ledger'!$A$2:$A$1501, SMALL(IF(('Orders Ledger'!$J$2:$J$1501="disputed")+('Orders Ledger'!$J$2:$J$1501="PENDING_REVIEW"), ROW('Orders Ledger'!$A$2:$A$1501)-ROW('Orders Ledger'!$A$2)+1), ROW(526:526))), "")</f>
        <v/>
      </c>
      <c r="C584" s="11" t="str">
        <f>IF(B584="","",_xlfn.XLOOKUP(B584,'Orders Ledger'!$A:$A,'Orders Ledger'!$B:$B,""))</f>
        <v/>
      </c>
      <c r="D584" t="str">
        <f>IF(B584="","",_xlfn.XLOOKUP(B584,'Orders Ledger'!$A:$A,'Orders Ledger'!$G:$G,""))</f>
        <v/>
      </c>
      <c r="E584" t="str">
        <f>IF(B584="","",_xlfn.XLOOKUP(B584,'Orders Ledger'!$A:$A,'Orders Ledger'!$H:$H,""))</f>
        <v/>
      </c>
      <c r="F584" t="str">
        <f>IF(B584="","",_xlfn.XLOOKUP(B584,'Orders Ledger'!$A:$A,'Orders Ledger'!$F:$F,""))</f>
        <v/>
      </c>
      <c r="G584" t="str">
        <f>IF(B584="","",_xlfn.XLOOKUP(B584,'Orders Ledger'!$A:$A,'Orders Ledger'!$N:$N,0))</f>
        <v/>
      </c>
    </row>
    <row r="585" spans="2:7" x14ac:dyDescent="0.3">
      <c r="B585" t="str">
        <f t="array" ref="B585">IFERROR(INDEX('Orders Ledger'!$A$2:$A$1501, SMALL(IF(('Orders Ledger'!$J$2:$J$1501="disputed")+('Orders Ledger'!$J$2:$J$1501="PENDING_REVIEW"), ROW('Orders Ledger'!$A$2:$A$1501)-ROW('Orders Ledger'!$A$2)+1), ROW(527:527))), "")</f>
        <v/>
      </c>
      <c r="C585" s="11" t="str">
        <f>IF(B585="","",_xlfn.XLOOKUP(B585,'Orders Ledger'!$A:$A,'Orders Ledger'!$B:$B,""))</f>
        <v/>
      </c>
      <c r="D585" t="str">
        <f>IF(B585="","",_xlfn.XLOOKUP(B585,'Orders Ledger'!$A:$A,'Orders Ledger'!$G:$G,""))</f>
        <v/>
      </c>
      <c r="E585" t="str">
        <f>IF(B585="","",_xlfn.XLOOKUP(B585,'Orders Ledger'!$A:$A,'Orders Ledger'!$H:$H,""))</f>
        <v/>
      </c>
      <c r="F585" t="str">
        <f>IF(B585="","",_xlfn.XLOOKUP(B585,'Orders Ledger'!$A:$A,'Orders Ledger'!$F:$F,""))</f>
        <v/>
      </c>
      <c r="G585" t="str">
        <f>IF(B585="","",_xlfn.XLOOKUP(B585,'Orders Ledger'!$A:$A,'Orders Ledger'!$N:$N,0))</f>
        <v/>
      </c>
    </row>
    <row r="586" spans="2:7" x14ac:dyDescent="0.3">
      <c r="B586" t="str">
        <f t="array" ref="B586">IFERROR(INDEX('Orders Ledger'!$A$2:$A$1501, SMALL(IF(('Orders Ledger'!$J$2:$J$1501="disputed")+('Orders Ledger'!$J$2:$J$1501="PENDING_REVIEW"), ROW('Orders Ledger'!$A$2:$A$1501)-ROW('Orders Ledger'!$A$2)+1), ROW(528:528))), "")</f>
        <v/>
      </c>
      <c r="C586" s="11" t="str">
        <f>IF(B586="","",_xlfn.XLOOKUP(B586,'Orders Ledger'!$A:$A,'Orders Ledger'!$B:$B,""))</f>
        <v/>
      </c>
      <c r="D586" t="str">
        <f>IF(B586="","",_xlfn.XLOOKUP(B586,'Orders Ledger'!$A:$A,'Orders Ledger'!$G:$G,""))</f>
        <v/>
      </c>
      <c r="E586" t="str">
        <f>IF(B586="","",_xlfn.XLOOKUP(B586,'Orders Ledger'!$A:$A,'Orders Ledger'!$H:$H,""))</f>
        <v/>
      </c>
      <c r="F586" t="str">
        <f>IF(B586="","",_xlfn.XLOOKUP(B586,'Orders Ledger'!$A:$A,'Orders Ledger'!$F:$F,""))</f>
        <v/>
      </c>
      <c r="G586" t="str">
        <f>IF(B586="","",_xlfn.XLOOKUP(B586,'Orders Ledger'!$A:$A,'Orders Ledger'!$N:$N,0))</f>
        <v/>
      </c>
    </row>
    <row r="587" spans="2:7" x14ac:dyDescent="0.3">
      <c r="B587" t="str">
        <f t="array" ref="B587">IFERROR(INDEX('Orders Ledger'!$A$2:$A$1501, SMALL(IF(('Orders Ledger'!$J$2:$J$1501="disputed")+('Orders Ledger'!$J$2:$J$1501="PENDING_REVIEW"), ROW('Orders Ledger'!$A$2:$A$1501)-ROW('Orders Ledger'!$A$2)+1), ROW(529:529))), "")</f>
        <v/>
      </c>
      <c r="C587" s="11" t="str">
        <f>IF(B587="","",_xlfn.XLOOKUP(B587,'Orders Ledger'!$A:$A,'Orders Ledger'!$B:$B,""))</f>
        <v/>
      </c>
      <c r="D587" t="str">
        <f>IF(B587="","",_xlfn.XLOOKUP(B587,'Orders Ledger'!$A:$A,'Orders Ledger'!$G:$G,""))</f>
        <v/>
      </c>
      <c r="E587" t="str">
        <f>IF(B587="","",_xlfn.XLOOKUP(B587,'Orders Ledger'!$A:$A,'Orders Ledger'!$H:$H,""))</f>
        <v/>
      </c>
      <c r="F587" t="str">
        <f>IF(B587="","",_xlfn.XLOOKUP(B587,'Orders Ledger'!$A:$A,'Orders Ledger'!$F:$F,""))</f>
        <v/>
      </c>
      <c r="G587" t="str">
        <f>IF(B587="","",_xlfn.XLOOKUP(B587,'Orders Ledger'!$A:$A,'Orders Ledger'!$N:$N,0))</f>
        <v/>
      </c>
    </row>
    <row r="588" spans="2:7" x14ac:dyDescent="0.3">
      <c r="B588" t="str">
        <f t="array" ref="B588">IFERROR(INDEX('Orders Ledger'!$A$2:$A$1501, SMALL(IF(('Orders Ledger'!$J$2:$J$1501="disputed")+('Orders Ledger'!$J$2:$J$1501="PENDING_REVIEW"), ROW('Orders Ledger'!$A$2:$A$1501)-ROW('Orders Ledger'!$A$2)+1), ROW(530:530))), "")</f>
        <v/>
      </c>
      <c r="C588" s="11" t="str">
        <f>IF(B588="","",_xlfn.XLOOKUP(B588,'Orders Ledger'!$A:$A,'Orders Ledger'!$B:$B,""))</f>
        <v/>
      </c>
      <c r="D588" t="str">
        <f>IF(B588="","",_xlfn.XLOOKUP(B588,'Orders Ledger'!$A:$A,'Orders Ledger'!$G:$G,""))</f>
        <v/>
      </c>
      <c r="E588" t="str">
        <f>IF(B588="","",_xlfn.XLOOKUP(B588,'Orders Ledger'!$A:$A,'Orders Ledger'!$H:$H,""))</f>
        <v/>
      </c>
      <c r="F588" t="str">
        <f>IF(B588="","",_xlfn.XLOOKUP(B588,'Orders Ledger'!$A:$A,'Orders Ledger'!$F:$F,""))</f>
        <v/>
      </c>
      <c r="G588" t="str">
        <f>IF(B588="","",_xlfn.XLOOKUP(B588,'Orders Ledger'!$A:$A,'Orders Ledger'!$N:$N,0))</f>
        <v/>
      </c>
    </row>
    <row r="589" spans="2:7" x14ac:dyDescent="0.3">
      <c r="B589" t="str">
        <f t="array" ref="B589">IFERROR(INDEX('Orders Ledger'!$A$2:$A$1501, SMALL(IF(('Orders Ledger'!$J$2:$J$1501="disputed")+('Orders Ledger'!$J$2:$J$1501="PENDING_REVIEW"), ROW('Orders Ledger'!$A$2:$A$1501)-ROW('Orders Ledger'!$A$2)+1), ROW(531:531))), "")</f>
        <v/>
      </c>
      <c r="C589" s="11" t="str">
        <f>IF(B589="","",_xlfn.XLOOKUP(B589,'Orders Ledger'!$A:$A,'Orders Ledger'!$B:$B,""))</f>
        <v/>
      </c>
      <c r="D589" t="str">
        <f>IF(B589="","",_xlfn.XLOOKUP(B589,'Orders Ledger'!$A:$A,'Orders Ledger'!$G:$G,""))</f>
        <v/>
      </c>
      <c r="E589" t="str">
        <f>IF(B589="","",_xlfn.XLOOKUP(B589,'Orders Ledger'!$A:$A,'Orders Ledger'!$H:$H,""))</f>
        <v/>
      </c>
      <c r="F589" t="str">
        <f>IF(B589="","",_xlfn.XLOOKUP(B589,'Orders Ledger'!$A:$A,'Orders Ledger'!$F:$F,""))</f>
        <v/>
      </c>
      <c r="G589" t="str">
        <f>IF(B589="","",_xlfn.XLOOKUP(B589,'Orders Ledger'!$A:$A,'Orders Ledger'!$N:$N,0))</f>
        <v/>
      </c>
    </row>
    <row r="590" spans="2:7" x14ac:dyDescent="0.3">
      <c r="B590" t="str">
        <f t="array" ref="B590">IFERROR(INDEX('Orders Ledger'!$A$2:$A$1501, SMALL(IF(('Orders Ledger'!$J$2:$J$1501="disputed")+('Orders Ledger'!$J$2:$J$1501="PENDING_REVIEW"), ROW('Orders Ledger'!$A$2:$A$1501)-ROW('Orders Ledger'!$A$2)+1), ROW(532:532))), "")</f>
        <v/>
      </c>
      <c r="C590" s="11" t="str">
        <f>IF(B590="","",_xlfn.XLOOKUP(B590,'Orders Ledger'!$A:$A,'Orders Ledger'!$B:$B,""))</f>
        <v/>
      </c>
      <c r="D590" t="str">
        <f>IF(B590="","",_xlfn.XLOOKUP(B590,'Orders Ledger'!$A:$A,'Orders Ledger'!$G:$G,""))</f>
        <v/>
      </c>
      <c r="E590" t="str">
        <f>IF(B590="","",_xlfn.XLOOKUP(B590,'Orders Ledger'!$A:$A,'Orders Ledger'!$H:$H,""))</f>
        <v/>
      </c>
      <c r="F590" t="str">
        <f>IF(B590="","",_xlfn.XLOOKUP(B590,'Orders Ledger'!$A:$A,'Orders Ledger'!$F:$F,""))</f>
        <v/>
      </c>
      <c r="G590" t="str">
        <f>IF(B590="","",_xlfn.XLOOKUP(B590,'Orders Ledger'!$A:$A,'Orders Ledger'!$N:$N,0))</f>
        <v/>
      </c>
    </row>
    <row r="591" spans="2:7" x14ac:dyDescent="0.3">
      <c r="B591" t="str">
        <f t="array" ref="B591">IFERROR(INDEX('Orders Ledger'!$A$2:$A$1501, SMALL(IF(('Orders Ledger'!$J$2:$J$1501="disputed")+('Orders Ledger'!$J$2:$J$1501="PENDING_REVIEW"), ROW('Orders Ledger'!$A$2:$A$1501)-ROW('Orders Ledger'!$A$2)+1), ROW(533:533))), "")</f>
        <v/>
      </c>
      <c r="C591" s="11" t="str">
        <f>IF(B591="","",_xlfn.XLOOKUP(B591,'Orders Ledger'!$A:$A,'Orders Ledger'!$B:$B,""))</f>
        <v/>
      </c>
      <c r="D591" t="str">
        <f>IF(B591="","",_xlfn.XLOOKUP(B591,'Orders Ledger'!$A:$A,'Orders Ledger'!$G:$G,""))</f>
        <v/>
      </c>
      <c r="E591" t="str">
        <f>IF(B591="","",_xlfn.XLOOKUP(B591,'Orders Ledger'!$A:$A,'Orders Ledger'!$H:$H,""))</f>
        <v/>
      </c>
      <c r="F591" t="str">
        <f>IF(B591="","",_xlfn.XLOOKUP(B591,'Orders Ledger'!$A:$A,'Orders Ledger'!$F:$F,""))</f>
        <v/>
      </c>
      <c r="G591" t="str">
        <f>IF(B591="","",_xlfn.XLOOKUP(B591,'Orders Ledger'!$A:$A,'Orders Ledger'!$N:$N,0))</f>
        <v/>
      </c>
    </row>
    <row r="592" spans="2:7" x14ac:dyDescent="0.3">
      <c r="B592" t="str">
        <f t="array" ref="B592">IFERROR(INDEX('Orders Ledger'!$A$2:$A$1501, SMALL(IF(('Orders Ledger'!$J$2:$J$1501="disputed")+('Orders Ledger'!$J$2:$J$1501="PENDING_REVIEW"), ROW('Orders Ledger'!$A$2:$A$1501)-ROW('Orders Ledger'!$A$2)+1), ROW(534:534))), "")</f>
        <v/>
      </c>
      <c r="C592" s="11" t="str">
        <f>IF(B592="","",_xlfn.XLOOKUP(B592,'Orders Ledger'!$A:$A,'Orders Ledger'!$B:$B,""))</f>
        <v/>
      </c>
      <c r="D592" t="str">
        <f>IF(B592="","",_xlfn.XLOOKUP(B592,'Orders Ledger'!$A:$A,'Orders Ledger'!$G:$G,""))</f>
        <v/>
      </c>
      <c r="E592" t="str">
        <f>IF(B592="","",_xlfn.XLOOKUP(B592,'Orders Ledger'!$A:$A,'Orders Ledger'!$H:$H,""))</f>
        <v/>
      </c>
      <c r="F592" t="str">
        <f>IF(B592="","",_xlfn.XLOOKUP(B592,'Orders Ledger'!$A:$A,'Orders Ledger'!$F:$F,""))</f>
        <v/>
      </c>
      <c r="G592" t="str">
        <f>IF(B592="","",_xlfn.XLOOKUP(B592,'Orders Ledger'!$A:$A,'Orders Ledger'!$N:$N,0))</f>
        <v/>
      </c>
    </row>
    <row r="593" spans="2:7" x14ac:dyDescent="0.3">
      <c r="B593" t="str">
        <f t="array" ref="B593">IFERROR(INDEX('Orders Ledger'!$A$2:$A$1501, SMALL(IF(('Orders Ledger'!$J$2:$J$1501="disputed")+('Orders Ledger'!$J$2:$J$1501="PENDING_REVIEW"), ROW('Orders Ledger'!$A$2:$A$1501)-ROW('Orders Ledger'!$A$2)+1), ROW(535:535))), "")</f>
        <v/>
      </c>
      <c r="C593" s="11" t="str">
        <f>IF(B593="","",_xlfn.XLOOKUP(B593,'Orders Ledger'!$A:$A,'Orders Ledger'!$B:$B,""))</f>
        <v/>
      </c>
      <c r="D593" t="str">
        <f>IF(B593="","",_xlfn.XLOOKUP(B593,'Orders Ledger'!$A:$A,'Orders Ledger'!$G:$G,""))</f>
        <v/>
      </c>
      <c r="E593" t="str">
        <f>IF(B593="","",_xlfn.XLOOKUP(B593,'Orders Ledger'!$A:$A,'Orders Ledger'!$H:$H,""))</f>
        <v/>
      </c>
      <c r="F593" t="str">
        <f>IF(B593="","",_xlfn.XLOOKUP(B593,'Orders Ledger'!$A:$A,'Orders Ledger'!$F:$F,""))</f>
        <v/>
      </c>
      <c r="G593" t="str">
        <f>IF(B593="","",_xlfn.XLOOKUP(B593,'Orders Ledger'!$A:$A,'Orders Ledger'!$N:$N,0))</f>
        <v/>
      </c>
    </row>
    <row r="594" spans="2:7" x14ac:dyDescent="0.3">
      <c r="B594" t="str">
        <f t="array" ref="B594">IFERROR(INDEX('Orders Ledger'!$A$2:$A$1501, SMALL(IF(('Orders Ledger'!$J$2:$J$1501="disputed")+('Orders Ledger'!$J$2:$J$1501="PENDING_REVIEW"), ROW('Orders Ledger'!$A$2:$A$1501)-ROW('Orders Ledger'!$A$2)+1), ROW(536:536))), "")</f>
        <v/>
      </c>
      <c r="C594" s="11" t="str">
        <f>IF(B594="","",_xlfn.XLOOKUP(B594,'Orders Ledger'!$A:$A,'Orders Ledger'!$B:$B,""))</f>
        <v/>
      </c>
      <c r="D594" t="str">
        <f>IF(B594="","",_xlfn.XLOOKUP(B594,'Orders Ledger'!$A:$A,'Orders Ledger'!$G:$G,""))</f>
        <v/>
      </c>
      <c r="E594" t="str">
        <f>IF(B594="","",_xlfn.XLOOKUP(B594,'Orders Ledger'!$A:$A,'Orders Ledger'!$H:$H,""))</f>
        <v/>
      </c>
      <c r="F594" t="str">
        <f>IF(B594="","",_xlfn.XLOOKUP(B594,'Orders Ledger'!$A:$A,'Orders Ledger'!$F:$F,""))</f>
        <v/>
      </c>
      <c r="G594" t="str">
        <f>IF(B594="","",_xlfn.XLOOKUP(B594,'Orders Ledger'!$A:$A,'Orders Ledger'!$N:$N,0))</f>
        <v/>
      </c>
    </row>
    <row r="595" spans="2:7" x14ac:dyDescent="0.3">
      <c r="B595" t="str">
        <f t="array" ref="B595">IFERROR(INDEX('Orders Ledger'!$A$2:$A$1501, SMALL(IF(('Orders Ledger'!$J$2:$J$1501="disputed")+('Orders Ledger'!$J$2:$J$1501="PENDING_REVIEW"), ROW('Orders Ledger'!$A$2:$A$1501)-ROW('Orders Ledger'!$A$2)+1), ROW(537:537))), "")</f>
        <v/>
      </c>
      <c r="C595" s="11" t="str">
        <f>IF(B595="","",_xlfn.XLOOKUP(B595,'Orders Ledger'!$A:$A,'Orders Ledger'!$B:$B,""))</f>
        <v/>
      </c>
      <c r="D595" t="str">
        <f>IF(B595="","",_xlfn.XLOOKUP(B595,'Orders Ledger'!$A:$A,'Orders Ledger'!$G:$G,""))</f>
        <v/>
      </c>
      <c r="E595" t="str">
        <f>IF(B595="","",_xlfn.XLOOKUP(B595,'Orders Ledger'!$A:$A,'Orders Ledger'!$H:$H,""))</f>
        <v/>
      </c>
      <c r="F595" t="str">
        <f>IF(B595="","",_xlfn.XLOOKUP(B595,'Orders Ledger'!$A:$A,'Orders Ledger'!$F:$F,""))</f>
        <v/>
      </c>
      <c r="G595" t="str">
        <f>IF(B595="","",_xlfn.XLOOKUP(B595,'Orders Ledger'!$A:$A,'Orders Ledger'!$N:$N,0))</f>
        <v/>
      </c>
    </row>
    <row r="596" spans="2:7" x14ac:dyDescent="0.3">
      <c r="B596" t="str">
        <f t="array" ref="B596">IFERROR(INDEX('Orders Ledger'!$A$2:$A$1501, SMALL(IF(('Orders Ledger'!$J$2:$J$1501="disputed")+('Orders Ledger'!$J$2:$J$1501="PENDING_REVIEW"), ROW('Orders Ledger'!$A$2:$A$1501)-ROW('Orders Ledger'!$A$2)+1), ROW(538:538))), "")</f>
        <v/>
      </c>
      <c r="C596" s="11" t="str">
        <f>IF(B596="","",_xlfn.XLOOKUP(B596,'Orders Ledger'!$A:$A,'Orders Ledger'!$B:$B,""))</f>
        <v/>
      </c>
      <c r="D596" t="str">
        <f>IF(B596="","",_xlfn.XLOOKUP(B596,'Orders Ledger'!$A:$A,'Orders Ledger'!$G:$G,""))</f>
        <v/>
      </c>
      <c r="E596" t="str">
        <f>IF(B596="","",_xlfn.XLOOKUP(B596,'Orders Ledger'!$A:$A,'Orders Ledger'!$H:$H,""))</f>
        <v/>
      </c>
      <c r="F596" t="str">
        <f>IF(B596="","",_xlfn.XLOOKUP(B596,'Orders Ledger'!$A:$A,'Orders Ledger'!$F:$F,""))</f>
        <v/>
      </c>
      <c r="G596" t="str">
        <f>IF(B596="","",_xlfn.XLOOKUP(B596,'Orders Ledger'!$A:$A,'Orders Ledger'!$N:$N,0))</f>
        <v/>
      </c>
    </row>
    <row r="597" spans="2:7" x14ac:dyDescent="0.3">
      <c r="B597" t="str">
        <f t="array" ref="B597">IFERROR(INDEX('Orders Ledger'!$A$2:$A$1501, SMALL(IF(('Orders Ledger'!$J$2:$J$1501="disputed")+('Orders Ledger'!$J$2:$J$1501="PENDING_REVIEW"), ROW('Orders Ledger'!$A$2:$A$1501)-ROW('Orders Ledger'!$A$2)+1), ROW(539:539))), "")</f>
        <v/>
      </c>
      <c r="C597" s="11" t="str">
        <f>IF(B597="","",_xlfn.XLOOKUP(B597,'Orders Ledger'!$A:$A,'Orders Ledger'!$B:$B,""))</f>
        <v/>
      </c>
      <c r="D597" t="str">
        <f>IF(B597="","",_xlfn.XLOOKUP(B597,'Orders Ledger'!$A:$A,'Orders Ledger'!$G:$G,""))</f>
        <v/>
      </c>
      <c r="E597" t="str">
        <f>IF(B597="","",_xlfn.XLOOKUP(B597,'Orders Ledger'!$A:$A,'Orders Ledger'!$H:$H,""))</f>
        <v/>
      </c>
      <c r="F597" t="str">
        <f>IF(B597="","",_xlfn.XLOOKUP(B597,'Orders Ledger'!$A:$A,'Orders Ledger'!$F:$F,""))</f>
        <v/>
      </c>
      <c r="G597" t="str">
        <f>IF(B597="","",_xlfn.XLOOKUP(B597,'Orders Ledger'!$A:$A,'Orders Ledger'!$N:$N,0))</f>
        <v/>
      </c>
    </row>
    <row r="598" spans="2:7" x14ac:dyDescent="0.3">
      <c r="B598" t="str">
        <f t="array" ref="B598">IFERROR(INDEX('Orders Ledger'!$A$2:$A$1501, SMALL(IF(('Orders Ledger'!$J$2:$J$1501="disputed")+('Orders Ledger'!$J$2:$J$1501="PENDING_REVIEW"), ROW('Orders Ledger'!$A$2:$A$1501)-ROW('Orders Ledger'!$A$2)+1), ROW(540:540))), "")</f>
        <v/>
      </c>
      <c r="C598" s="11" t="str">
        <f>IF(B598="","",_xlfn.XLOOKUP(B598,'Orders Ledger'!$A:$A,'Orders Ledger'!$B:$B,""))</f>
        <v/>
      </c>
      <c r="D598" t="str">
        <f>IF(B598="","",_xlfn.XLOOKUP(B598,'Orders Ledger'!$A:$A,'Orders Ledger'!$G:$G,""))</f>
        <v/>
      </c>
      <c r="E598" t="str">
        <f>IF(B598="","",_xlfn.XLOOKUP(B598,'Orders Ledger'!$A:$A,'Orders Ledger'!$H:$H,""))</f>
        <v/>
      </c>
      <c r="F598" t="str">
        <f>IF(B598="","",_xlfn.XLOOKUP(B598,'Orders Ledger'!$A:$A,'Orders Ledger'!$F:$F,""))</f>
        <v/>
      </c>
      <c r="G598" t="str">
        <f>IF(B598="","",_xlfn.XLOOKUP(B598,'Orders Ledger'!$A:$A,'Orders Ledger'!$N:$N,0))</f>
        <v/>
      </c>
    </row>
    <row r="599" spans="2:7" x14ac:dyDescent="0.3">
      <c r="B599" t="str">
        <f t="array" ref="B599">IFERROR(INDEX('Orders Ledger'!$A$2:$A$1501, SMALL(IF(('Orders Ledger'!$J$2:$J$1501="disputed")+('Orders Ledger'!$J$2:$J$1501="PENDING_REVIEW"), ROW('Orders Ledger'!$A$2:$A$1501)-ROW('Orders Ledger'!$A$2)+1), ROW(541:541))), "")</f>
        <v/>
      </c>
      <c r="C599" s="11" t="str">
        <f>IF(B599="","",_xlfn.XLOOKUP(B599,'Orders Ledger'!$A:$A,'Orders Ledger'!$B:$B,""))</f>
        <v/>
      </c>
      <c r="D599" t="str">
        <f>IF(B599="","",_xlfn.XLOOKUP(B599,'Orders Ledger'!$A:$A,'Orders Ledger'!$G:$G,""))</f>
        <v/>
      </c>
      <c r="E599" t="str">
        <f>IF(B599="","",_xlfn.XLOOKUP(B599,'Orders Ledger'!$A:$A,'Orders Ledger'!$H:$H,""))</f>
        <v/>
      </c>
      <c r="F599" t="str">
        <f>IF(B599="","",_xlfn.XLOOKUP(B599,'Orders Ledger'!$A:$A,'Orders Ledger'!$F:$F,""))</f>
        <v/>
      </c>
      <c r="G599" t="str">
        <f>IF(B599="","",_xlfn.XLOOKUP(B599,'Orders Ledger'!$A:$A,'Orders Ledger'!$N:$N,0))</f>
        <v/>
      </c>
    </row>
    <row r="600" spans="2:7" x14ac:dyDescent="0.3">
      <c r="B600" t="str">
        <f t="array" ref="B600">IFERROR(INDEX('Orders Ledger'!$A$2:$A$1501, SMALL(IF(('Orders Ledger'!$J$2:$J$1501="disputed")+('Orders Ledger'!$J$2:$J$1501="PENDING_REVIEW"), ROW('Orders Ledger'!$A$2:$A$1501)-ROW('Orders Ledger'!$A$2)+1), ROW(542:542))), "")</f>
        <v/>
      </c>
      <c r="C600" s="11" t="str">
        <f>IF(B600="","",_xlfn.XLOOKUP(B600,'Orders Ledger'!$A:$A,'Orders Ledger'!$B:$B,""))</f>
        <v/>
      </c>
      <c r="D600" t="str">
        <f>IF(B600="","",_xlfn.XLOOKUP(B600,'Orders Ledger'!$A:$A,'Orders Ledger'!$G:$G,""))</f>
        <v/>
      </c>
      <c r="E600" t="str">
        <f>IF(B600="","",_xlfn.XLOOKUP(B600,'Orders Ledger'!$A:$A,'Orders Ledger'!$H:$H,""))</f>
        <v/>
      </c>
      <c r="F600" t="str">
        <f>IF(B600="","",_xlfn.XLOOKUP(B600,'Orders Ledger'!$A:$A,'Orders Ledger'!$F:$F,""))</f>
        <v/>
      </c>
      <c r="G600" t="str">
        <f>IF(B600="","",_xlfn.XLOOKUP(B600,'Orders Ledger'!$A:$A,'Orders Ledger'!$N:$N,0))</f>
        <v/>
      </c>
    </row>
    <row r="601" spans="2:7" x14ac:dyDescent="0.3">
      <c r="B601" t="str">
        <f t="array" ref="B601">IFERROR(INDEX('Orders Ledger'!$A$2:$A$1501, SMALL(IF(('Orders Ledger'!$J$2:$J$1501="disputed")+('Orders Ledger'!$J$2:$J$1501="PENDING_REVIEW"), ROW('Orders Ledger'!$A$2:$A$1501)-ROW('Orders Ledger'!$A$2)+1), ROW(543:543))), "")</f>
        <v/>
      </c>
      <c r="C601" s="11" t="str">
        <f>IF(B601="","",_xlfn.XLOOKUP(B601,'Orders Ledger'!$A:$A,'Orders Ledger'!$B:$B,""))</f>
        <v/>
      </c>
      <c r="D601" t="str">
        <f>IF(B601="","",_xlfn.XLOOKUP(B601,'Orders Ledger'!$A:$A,'Orders Ledger'!$G:$G,""))</f>
        <v/>
      </c>
      <c r="E601" t="str">
        <f>IF(B601="","",_xlfn.XLOOKUP(B601,'Orders Ledger'!$A:$A,'Orders Ledger'!$H:$H,""))</f>
        <v/>
      </c>
      <c r="F601" t="str">
        <f>IF(B601="","",_xlfn.XLOOKUP(B601,'Orders Ledger'!$A:$A,'Orders Ledger'!$F:$F,""))</f>
        <v/>
      </c>
      <c r="G601" t="str">
        <f>IF(B601="","",_xlfn.XLOOKUP(B601,'Orders Ledger'!$A:$A,'Orders Ledger'!$N:$N,0))</f>
        <v/>
      </c>
    </row>
    <row r="602" spans="2:7" x14ac:dyDescent="0.3">
      <c r="B602" t="str">
        <f t="array" ref="B602">IFERROR(INDEX('Orders Ledger'!$A$2:$A$1501, SMALL(IF(('Orders Ledger'!$J$2:$J$1501="disputed")+('Orders Ledger'!$J$2:$J$1501="PENDING_REVIEW"), ROW('Orders Ledger'!$A$2:$A$1501)-ROW('Orders Ledger'!$A$2)+1), ROW(544:544))), "")</f>
        <v/>
      </c>
      <c r="C602" s="11" t="str">
        <f>IF(B602="","",_xlfn.XLOOKUP(B602,'Orders Ledger'!$A:$A,'Orders Ledger'!$B:$B,""))</f>
        <v/>
      </c>
      <c r="D602" t="str">
        <f>IF(B602="","",_xlfn.XLOOKUP(B602,'Orders Ledger'!$A:$A,'Orders Ledger'!$G:$G,""))</f>
        <v/>
      </c>
      <c r="E602" t="str">
        <f>IF(B602="","",_xlfn.XLOOKUP(B602,'Orders Ledger'!$A:$A,'Orders Ledger'!$H:$H,""))</f>
        <v/>
      </c>
      <c r="F602" t="str">
        <f>IF(B602="","",_xlfn.XLOOKUP(B602,'Orders Ledger'!$A:$A,'Orders Ledger'!$F:$F,""))</f>
        <v/>
      </c>
      <c r="G602" t="str">
        <f>IF(B602="","",_xlfn.XLOOKUP(B602,'Orders Ledger'!$A:$A,'Orders Ledger'!$N:$N,0))</f>
        <v/>
      </c>
    </row>
    <row r="603" spans="2:7" x14ac:dyDescent="0.3">
      <c r="B603" t="str">
        <f t="array" ref="B603">IFERROR(INDEX('Orders Ledger'!$A$2:$A$1501, SMALL(IF(('Orders Ledger'!$J$2:$J$1501="disputed")+('Orders Ledger'!$J$2:$J$1501="PENDING_REVIEW"), ROW('Orders Ledger'!$A$2:$A$1501)-ROW('Orders Ledger'!$A$2)+1), ROW(545:545))), "")</f>
        <v/>
      </c>
      <c r="C603" s="11" t="str">
        <f>IF(B603="","",_xlfn.XLOOKUP(B603,'Orders Ledger'!$A:$A,'Orders Ledger'!$B:$B,""))</f>
        <v/>
      </c>
      <c r="D603" t="str">
        <f>IF(B603="","",_xlfn.XLOOKUP(B603,'Orders Ledger'!$A:$A,'Orders Ledger'!$G:$G,""))</f>
        <v/>
      </c>
      <c r="E603" t="str">
        <f>IF(B603="","",_xlfn.XLOOKUP(B603,'Orders Ledger'!$A:$A,'Orders Ledger'!$H:$H,""))</f>
        <v/>
      </c>
      <c r="F603" t="str">
        <f>IF(B603="","",_xlfn.XLOOKUP(B603,'Orders Ledger'!$A:$A,'Orders Ledger'!$F:$F,""))</f>
        <v/>
      </c>
      <c r="G603" t="str">
        <f>IF(B603="","",_xlfn.XLOOKUP(B603,'Orders Ledger'!$A:$A,'Orders Ledger'!$N:$N,0))</f>
        <v/>
      </c>
    </row>
    <row r="604" spans="2:7" x14ac:dyDescent="0.3">
      <c r="B604" t="str">
        <f t="array" ref="B604">IFERROR(INDEX('Orders Ledger'!$A$2:$A$1501, SMALL(IF(('Orders Ledger'!$J$2:$J$1501="disputed")+('Orders Ledger'!$J$2:$J$1501="PENDING_REVIEW"), ROW('Orders Ledger'!$A$2:$A$1501)-ROW('Orders Ledger'!$A$2)+1), ROW(546:546))), "")</f>
        <v/>
      </c>
      <c r="C604" s="11" t="str">
        <f>IF(B604="","",_xlfn.XLOOKUP(B604,'Orders Ledger'!$A:$A,'Orders Ledger'!$B:$B,""))</f>
        <v/>
      </c>
      <c r="D604" t="str">
        <f>IF(B604="","",_xlfn.XLOOKUP(B604,'Orders Ledger'!$A:$A,'Orders Ledger'!$G:$G,""))</f>
        <v/>
      </c>
      <c r="E604" t="str">
        <f>IF(B604="","",_xlfn.XLOOKUP(B604,'Orders Ledger'!$A:$A,'Orders Ledger'!$H:$H,""))</f>
        <v/>
      </c>
      <c r="F604" t="str">
        <f>IF(B604="","",_xlfn.XLOOKUP(B604,'Orders Ledger'!$A:$A,'Orders Ledger'!$F:$F,""))</f>
        <v/>
      </c>
      <c r="G604" t="str">
        <f>IF(B604="","",_xlfn.XLOOKUP(B604,'Orders Ledger'!$A:$A,'Orders Ledger'!$N:$N,0))</f>
        <v/>
      </c>
    </row>
    <row r="605" spans="2:7" x14ac:dyDescent="0.3">
      <c r="B605" t="str">
        <f t="array" ref="B605">IFERROR(INDEX('Orders Ledger'!$A$2:$A$1501, SMALL(IF(('Orders Ledger'!$J$2:$J$1501="disputed")+('Orders Ledger'!$J$2:$J$1501="PENDING_REVIEW"), ROW('Orders Ledger'!$A$2:$A$1501)-ROW('Orders Ledger'!$A$2)+1), ROW(547:547))), "")</f>
        <v/>
      </c>
      <c r="C605" s="11" t="str">
        <f>IF(B605="","",_xlfn.XLOOKUP(B605,'Orders Ledger'!$A:$A,'Orders Ledger'!$B:$B,""))</f>
        <v/>
      </c>
      <c r="D605" t="str">
        <f>IF(B605="","",_xlfn.XLOOKUP(B605,'Orders Ledger'!$A:$A,'Orders Ledger'!$G:$G,""))</f>
        <v/>
      </c>
      <c r="E605" t="str">
        <f>IF(B605="","",_xlfn.XLOOKUP(B605,'Orders Ledger'!$A:$A,'Orders Ledger'!$H:$H,""))</f>
        <v/>
      </c>
      <c r="F605" t="str">
        <f>IF(B605="","",_xlfn.XLOOKUP(B605,'Orders Ledger'!$A:$A,'Orders Ledger'!$F:$F,""))</f>
        <v/>
      </c>
      <c r="G605" t="str">
        <f>IF(B605="","",_xlfn.XLOOKUP(B605,'Orders Ledger'!$A:$A,'Orders Ledger'!$N:$N,0))</f>
        <v/>
      </c>
    </row>
    <row r="606" spans="2:7" x14ac:dyDescent="0.3">
      <c r="B606" t="str">
        <f t="array" ref="B606">IFERROR(INDEX('Orders Ledger'!$A$2:$A$1501, SMALL(IF(('Orders Ledger'!$J$2:$J$1501="disputed")+('Orders Ledger'!$J$2:$J$1501="PENDING_REVIEW"), ROW('Orders Ledger'!$A$2:$A$1501)-ROW('Orders Ledger'!$A$2)+1), ROW(548:548))), "")</f>
        <v/>
      </c>
      <c r="C606" s="11" t="str">
        <f>IF(B606="","",_xlfn.XLOOKUP(B606,'Orders Ledger'!$A:$A,'Orders Ledger'!$B:$B,""))</f>
        <v/>
      </c>
      <c r="D606" t="str">
        <f>IF(B606="","",_xlfn.XLOOKUP(B606,'Orders Ledger'!$A:$A,'Orders Ledger'!$G:$G,""))</f>
        <v/>
      </c>
      <c r="E606" t="str">
        <f>IF(B606="","",_xlfn.XLOOKUP(B606,'Orders Ledger'!$A:$A,'Orders Ledger'!$H:$H,""))</f>
        <v/>
      </c>
      <c r="F606" t="str">
        <f>IF(B606="","",_xlfn.XLOOKUP(B606,'Orders Ledger'!$A:$A,'Orders Ledger'!$F:$F,""))</f>
        <v/>
      </c>
      <c r="G606" t="str">
        <f>IF(B606="","",_xlfn.XLOOKUP(B606,'Orders Ledger'!$A:$A,'Orders Ledger'!$N:$N,0))</f>
        <v/>
      </c>
    </row>
    <row r="607" spans="2:7" x14ac:dyDescent="0.3">
      <c r="B607" t="str">
        <f t="array" ref="B607">IFERROR(INDEX('Orders Ledger'!$A$2:$A$1501, SMALL(IF(('Orders Ledger'!$J$2:$J$1501="disputed")+('Orders Ledger'!$J$2:$J$1501="PENDING_REVIEW"), ROW('Orders Ledger'!$A$2:$A$1501)-ROW('Orders Ledger'!$A$2)+1), ROW(549:549))), "")</f>
        <v/>
      </c>
      <c r="C607" s="11" t="str">
        <f>IF(B607="","",_xlfn.XLOOKUP(B607,'Orders Ledger'!$A:$A,'Orders Ledger'!$B:$B,""))</f>
        <v/>
      </c>
      <c r="D607" t="str">
        <f>IF(B607="","",_xlfn.XLOOKUP(B607,'Orders Ledger'!$A:$A,'Orders Ledger'!$G:$G,""))</f>
        <v/>
      </c>
      <c r="E607" t="str">
        <f>IF(B607="","",_xlfn.XLOOKUP(B607,'Orders Ledger'!$A:$A,'Orders Ledger'!$H:$H,""))</f>
        <v/>
      </c>
      <c r="F607" t="str">
        <f>IF(B607="","",_xlfn.XLOOKUP(B607,'Orders Ledger'!$A:$A,'Orders Ledger'!$F:$F,""))</f>
        <v/>
      </c>
      <c r="G607" t="str">
        <f>IF(B607="","",_xlfn.XLOOKUP(B607,'Orders Ledger'!$A:$A,'Orders Ledger'!$N:$N,0))</f>
        <v/>
      </c>
    </row>
    <row r="608" spans="2:7" x14ac:dyDescent="0.3">
      <c r="B608" t="str">
        <f t="array" ref="B608">IFERROR(INDEX('Orders Ledger'!$A$2:$A$1501, SMALL(IF(('Orders Ledger'!$J$2:$J$1501="disputed")+('Orders Ledger'!$J$2:$J$1501="PENDING_REVIEW"), ROW('Orders Ledger'!$A$2:$A$1501)-ROW('Orders Ledger'!$A$2)+1), ROW(550:550))), "")</f>
        <v/>
      </c>
      <c r="C608" s="11" t="str">
        <f>IF(B608="","",_xlfn.XLOOKUP(B608,'Orders Ledger'!$A:$A,'Orders Ledger'!$B:$B,""))</f>
        <v/>
      </c>
      <c r="D608" t="str">
        <f>IF(B608="","",_xlfn.XLOOKUP(B608,'Orders Ledger'!$A:$A,'Orders Ledger'!$G:$G,""))</f>
        <v/>
      </c>
      <c r="E608" t="str">
        <f>IF(B608="","",_xlfn.XLOOKUP(B608,'Orders Ledger'!$A:$A,'Orders Ledger'!$H:$H,""))</f>
        <v/>
      </c>
      <c r="F608" t="str">
        <f>IF(B608="","",_xlfn.XLOOKUP(B608,'Orders Ledger'!$A:$A,'Orders Ledger'!$F:$F,""))</f>
        <v/>
      </c>
      <c r="G608" t="str">
        <f>IF(B608="","",_xlfn.XLOOKUP(B608,'Orders Ledger'!$A:$A,'Orders Ledger'!$N:$N,0))</f>
        <v/>
      </c>
    </row>
    <row r="609" spans="2:7" x14ac:dyDescent="0.3">
      <c r="B609" t="str">
        <f t="array" ref="B609">IFERROR(INDEX('Orders Ledger'!$A$2:$A$1501, SMALL(IF(('Orders Ledger'!$J$2:$J$1501="disputed")+('Orders Ledger'!$J$2:$J$1501="PENDING_REVIEW"), ROW('Orders Ledger'!$A$2:$A$1501)-ROW('Orders Ledger'!$A$2)+1), ROW(551:551))), "")</f>
        <v/>
      </c>
      <c r="C609" s="11" t="str">
        <f>IF(B609="","",_xlfn.XLOOKUP(B609,'Orders Ledger'!$A:$A,'Orders Ledger'!$B:$B,""))</f>
        <v/>
      </c>
      <c r="D609" t="str">
        <f>IF(B609="","",_xlfn.XLOOKUP(B609,'Orders Ledger'!$A:$A,'Orders Ledger'!$G:$G,""))</f>
        <v/>
      </c>
      <c r="E609" t="str">
        <f>IF(B609="","",_xlfn.XLOOKUP(B609,'Orders Ledger'!$A:$A,'Orders Ledger'!$H:$H,""))</f>
        <v/>
      </c>
      <c r="F609" t="str">
        <f>IF(B609="","",_xlfn.XLOOKUP(B609,'Orders Ledger'!$A:$A,'Orders Ledger'!$F:$F,""))</f>
        <v/>
      </c>
      <c r="G609" t="str">
        <f>IF(B609="","",_xlfn.XLOOKUP(B609,'Orders Ledger'!$A:$A,'Orders Ledger'!$N:$N,0))</f>
        <v/>
      </c>
    </row>
    <row r="610" spans="2:7" x14ac:dyDescent="0.3">
      <c r="B610" t="str">
        <f t="array" ref="B610">IFERROR(INDEX('Orders Ledger'!$A$2:$A$1501, SMALL(IF(('Orders Ledger'!$J$2:$J$1501="disputed")+('Orders Ledger'!$J$2:$J$1501="PENDING_REVIEW"), ROW('Orders Ledger'!$A$2:$A$1501)-ROW('Orders Ledger'!$A$2)+1), ROW(552:552))), "")</f>
        <v/>
      </c>
      <c r="C610" s="11" t="str">
        <f>IF(B610="","",_xlfn.XLOOKUP(B610,'Orders Ledger'!$A:$A,'Orders Ledger'!$B:$B,""))</f>
        <v/>
      </c>
      <c r="D610" t="str">
        <f>IF(B610="","",_xlfn.XLOOKUP(B610,'Orders Ledger'!$A:$A,'Orders Ledger'!$G:$G,""))</f>
        <v/>
      </c>
      <c r="E610" t="str">
        <f>IF(B610="","",_xlfn.XLOOKUP(B610,'Orders Ledger'!$A:$A,'Orders Ledger'!$H:$H,""))</f>
        <v/>
      </c>
      <c r="F610" t="str">
        <f>IF(B610="","",_xlfn.XLOOKUP(B610,'Orders Ledger'!$A:$A,'Orders Ledger'!$F:$F,""))</f>
        <v/>
      </c>
      <c r="G610" t="str">
        <f>IF(B610="","",_xlfn.XLOOKUP(B610,'Orders Ledger'!$A:$A,'Orders Ledger'!$N:$N,0))</f>
        <v/>
      </c>
    </row>
    <row r="611" spans="2:7" x14ac:dyDescent="0.3">
      <c r="B611" t="str">
        <f t="array" ref="B611">IFERROR(INDEX('Orders Ledger'!$A$2:$A$1501, SMALL(IF(('Orders Ledger'!$J$2:$J$1501="disputed")+('Orders Ledger'!$J$2:$J$1501="PENDING_REVIEW"), ROW('Orders Ledger'!$A$2:$A$1501)-ROW('Orders Ledger'!$A$2)+1), ROW(553:553))), "")</f>
        <v/>
      </c>
      <c r="C611" s="11" t="str">
        <f>IF(B611="","",_xlfn.XLOOKUP(B611,'Orders Ledger'!$A:$A,'Orders Ledger'!$B:$B,""))</f>
        <v/>
      </c>
      <c r="D611" t="str">
        <f>IF(B611="","",_xlfn.XLOOKUP(B611,'Orders Ledger'!$A:$A,'Orders Ledger'!$G:$G,""))</f>
        <v/>
      </c>
      <c r="E611" t="str">
        <f>IF(B611="","",_xlfn.XLOOKUP(B611,'Orders Ledger'!$A:$A,'Orders Ledger'!$H:$H,""))</f>
        <v/>
      </c>
      <c r="F611" t="str">
        <f>IF(B611="","",_xlfn.XLOOKUP(B611,'Orders Ledger'!$A:$A,'Orders Ledger'!$F:$F,""))</f>
        <v/>
      </c>
      <c r="G611" t="str">
        <f>IF(B611="","",_xlfn.XLOOKUP(B611,'Orders Ledger'!$A:$A,'Orders Ledger'!$N:$N,0))</f>
        <v/>
      </c>
    </row>
    <row r="612" spans="2:7" x14ac:dyDescent="0.3">
      <c r="B612" t="str">
        <f t="array" ref="B612">IFERROR(INDEX('Orders Ledger'!$A$2:$A$1501, SMALL(IF(('Orders Ledger'!$J$2:$J$1501="disputed")+('Orders Ledger'!$J$2:$J$1501="PENDING_REVIEW"), ROW('Orders Ledger'!$A$2:$A$1501)-ROW('Orders Ledger'!$A$2)+1), ROW(554:554))), "")</f>
        <v/>
      </c>
      <c r="C612" s="11" t="str">
        <f>IF(B612="","",_xlfn.XLOOKUP(B612,'Orders Ledger'!$A:$A,'Orders Ledger'!$B:$B,""))</f>
        <v/>
      </c>
      <c r="D612" t="str">
        <f>IF(B612="","",_xlfn.XLOOKUP(B612,'Orders Ledger'!$A:$A,'Orders Ledger'!$G:$G,""))</f>
        <v/>
      </c>
      <c r="E612" t="str">
        <f>IF(B612="","",_xlfn.XLOOKUP(B612,'Orders Ledger'!$A:$A,'Orders Ledger'!$H:$H,""))</f>
        <v/>
      </c>
      <c r="F612" t="str">
        <f>IF(B612="","",_xlfn.XLOOKUP(B612,'Orders Ledger'!$A:$A,'Orders Ledger'!$F:$F,""))</f>
        <v/>
      </c>
      <c r="G612" t="str">
        <f>IF(B612="","",_xlfn.XLOOKUP(B612,'Orders Ledger'!$A:$A,'Orders Ledger'!$N:$N,0))</f>
        <v/>
      </c>
    </row>
    <row r="613" spans="2:7" x14ac:dyDescent="0.3">
      <c r="B613" t="str">
        <f t="array" ref="B613">IFERROR(INDEX('Orders Ledger'!$A$2:$A$1501, SMALL(IF(('Orders Ledger'!$J$2:$J$1501="disputed")+('Orders Ledger'!$J$2:$J$1501="PENDING_REVIEW"), ROW('Orders Ledger'!$A$2:$A$1501)-ROW('Orders Ledger'!$A$2)+1), ROW(555:555))), "")</f>
        <v/>
      </c>
      <c r="C613" s="11" t="str">
        <f>IF(B613="","",_xlfn.XLOOKUP(B613,'Orders Ledger'!$A:$A,'Orders Ledger'!$B:$B,""))</f>
        <v/>
      </c>
      <c r="D613" t="str">
        <f>IF(B613="","",_xlfn.XLOOKUP(B613,'Orders Ledger'!$A:$A,'Orders Ledger'!$G:$G,""))</f>
        <v/>
      </c>
      <c r="E613" t="str">
        <f>IF(B613="","",_xlfn.XLOOKUP(B613,'Orders Ledger'!$A:$A,'Orders Ledger'!$H:$H,""))</f>
        <v/>
      </c>
      <c r="F613" t="str">
        <f>IF(B613="","",_xlfn.XLOOKUP(B613,'Orders Ledger'!$A:$A,'Orders Ledger'!$F:$F,""))</f>
        <v/>
      </c>
      <c r="G613" t="str">
        <f>IF(B613="","",_xlfn.XLOOKUP(B613,'Orders Ledger'!$A:$A,'Orders Ledger'!$N:$N,0))</f>
        <v/>
      </c>
    </row>
    <row r="614" spans="2:7" x14ac:dyDescent="0.3">
      <c r="B614" t="str">
        <f t="array" ref="B614">IFERROR(INDEX('Orders Ledger'!$A$2:$A$1501, SMALL(IF(('Orders Ledger'!$J$2:$J$1501="disputed")+('Orders Ledger'!$J$2:$J$1501="PENDING_REVIEW"), ROW('Orders Ledger'!$A$2:$A$1501)-ROW('Orders Ledger'!$A$2)+1), ROW(556:556))), "")</f>
        <v/>
      </c>
      <c r="C614" s="11" t="str">
        <f>IF(B614="","",_xlfn.XLOOKUP(B614,'Orders Ledger'!$A:$A,'Orders Ledger'!$B:$B,""))</f>
        <v/>
      </c>
      <c r="D614" t="str">
        <f>IF(B614="","",_xlfn.XLOOKUP(B614,'Orders Ledger'!$A:$A,'Orders Ledger'!$G:$G,""))</f>
        <v/>
      </c>
      <c r="E614" t="str">
        <f>IF(B614="","",_xlfn.XLOOKUP(B614,'Orders Ledger'!$A:$A,'Orders Ledger'!$H:$H,""))</f>
        <v/>
      </c>
      <c r="F614" t="str">
        <f>IF(B614="","",_xlfn.XLOOKUP(B614,'Orders Ledger'!$A:$A,'Orders Ledger'!$F:$F,""))</f>
        <v/>
      </c>
      <c r="G614" t="str">
        <f>IF(B614="","",_xlfn.XLOOKUP(B614,'Orders Ledger'!$A:$A,'Orders Ledger'!$N:$N,0))</f>
        <v/>
      </c>
    </row>
    <row r="615" spans="2:7" x14ac:dyDescent="0.3">
      <c r="B615" t="str">
        <f t="array" ref="B615">IFERROR(INDEX('Orders Ledger'!$A$2:$A$1501, SMALL(IF(('Orders Ledger'!$J$2:$J$1501="disputed")+('Orders Ledger'!$J$2:$J$1501="PENDING_REVIEW"), ROW('Orders Ledger'!$A$2:$A$1501)-ROW('Orders Ledger'!$A$2)+1), ROW(557:557))), "")</f>
        <v/>
      </c>
      <c r="C615" s="11" t="str">
        <f>IF(B615="","",_xlfn.XLOOKUP(B615,'Orders Ledger'!$A:$A,'Orders Ledger'!$B:$B,""))</f>
        <v/>
      </c>
      <c r="D615" t="str">
        <f>IF(B615="","",_xlfn.XLOOKUP(B615,'Orders Ledger'!$A:$A,'Orders Ledger'!$G:$G,""))</f>
        <v/>
      </c>
      <c r="E615" t="str">
        <f>IF(B615="","",_xlfn.XLOOKUP(B615,'Orders Ledger'!$A:$A,'Orders Ledger'!$H:$H,""))</f>
        <v/>
      </c>
      <c r="F615" t="str">
        <f>IF(B615="","",_xlfn.XLOOKUP(B615,'Orders Ledger'!$A:$A,'Orders Ledger'!$F:$F,""))</f>
        <v/>
      </c>
      <c r="G615" t="str">
        <f>IF(B615="","",_xlfn.XLOOKUP(B615,'Orders Ledger'!$A:$A,'Orders Ledger'!$N:$N,0))</f>
        <v/>
      </c>
    </row>
    <row r="616" spans="2:7" x14ac:dyDescent="0.3">
      <c r="B616" t="str">
        <f t="array" ref="B616">IFERROR(INDEX('Orders Ledger'!$A$2:$A$1501, SMALL(IF(('Orders Ledger'!$J$2:$J$1501="disputed")+('Orders Ledger'!$J$2:$J$1501="PENDING_REVIEW"), ROW('Orders Ledger'!$A$2:$A$1501)-ROW('Orders Ledger'!$A$2)+1), ROW(558:558))), "")</f>
        <v/>
      </c>
      <c r="C616" s="11" t="str">
        <f>IF(B616="","",_xlfn.XLOOKUP(B616,'Orders Ledger'!$A:$A,'Orders Ledger'!$B:$B,""))</f>
        <v/>
      </c>
      <c r="D616" t="str">
        <f>IF(B616="","",_xlfn.XLOOKUP(B616,'Orders Ledger'!$A:$A,'Orders Ledger'!$G:$G,""))</f>
        <v/>
      </c>
      <c r="E616" t="str">
        <f>IF(B616="","",_xlfn.XLOOKUP(B616,'Orders Ledger'!$A:$A,'Orders Ledger'!$H:$H,""))</f>
        <v/>
      </c>
      <c r="F616" t="str">
        <f>IF(B616="","",_xlfn.XLOOKUP(B616,'Orders Ledger'!$A:$A,'Orders Ledger'!$F:$F,""))</f>
        <v/>
      </c>
      <c r="G616" t="str">
        <f>IF(B616="","",_xlfn.XLOOKUP(B616,'Orders Ledger'!$A:$A,'Orders Ledger'!$N:$N,0))</f>
        <v/>
      </c>
    </row>
    <row r="617" spans="2:7" x14ac:dyDescent="0.3">
      <c r="B617" t="str">
        <f t="array" ref="B617">IFERROR(INDEX('Orders Ledger'!$A$2:$A$1501, SMALL(IF(('Orders Ledger'!$J$2:$J$1501="disputed")+('Orders Ledger'!$J$2:$J$1501="PENDING_REVIEW"), ROW('Orders Ledger'!$A$2:$A$1501)-ROW('Orders Ledger'!$A$2)+1), ROW(559:559))), "")</f>
        <v/>
      </c>
      <c r="C617" s="11" t="str">
        <f>IF(B617="","",_xlfn.XLOOKUP(B617,'Orders Ledger'!$A:$A,'Orders Ledger'!$B:$B,""))</f>
        <v/>
      </c>
      <c r="D617" t="str">
        <f>IF(B617="","",_xlfn.XLOOKUP(B617,'Orders Ledger'!$A:$A,'Orders Ledger'!$G:$G,""))</f>
        <v/>
      </c>
      <c r="E617" t="str">
        <f>IF(B617="","",_xlfn.XLOOKUP(B617,'Orders Ledger'!$A:$A,'Orders Ledger'!$H:$H,""))</f>
        <v/>
      </c>
      <c r="F617" t="str">
        <f>IF(B617="","",_xlfn.XLOOKUP(B617,'Orders Ledger'!$A:$A,'Orders Ledger'!$F:$F,""))</f>
        <v/>
      </c>
      <c r="G617" t="str">
        <f>IF(B617="","",_xlfn.XLOOKUP(B617,'Orders Ledger'!$A:$A,'Orders Ledger'!$N:$N,0))</f>
        <v/>
      </c>
    </row>
    <row r="618" spans="2:7" x14ac:dyDescent="0.3">
      <c r="B618" t="str">
        <f t="array" ref="B618">IFERROR(INDEX('Orders Ledger'!$A$2:$A$1501, SMALL(IF(('Orders Ledger'!$J$2:$J$1501="disputed")+('Orders Ledger'!$J$2:$J$1501="PENDING_REVIEW"), ROW('Orders Ledger'!$A$2:$A$1501)-ROW('Orders Ledger'!$A$2)+1), ROW(560:560))), "")</f>
        <v/>
      </c>
      <c r="C618" s="11" t="str">
        <f>IF(B618="","",_xlfn.XLOOKUP(B618,'Orders Ledger'!$A:$A,'Orders Ledger'!$B:$B,""))</f>
        <v/>
      </c>
      <c r="D618" t="str">
        <f>IF(B618="","",_xlfn.XLOOKUP(B618,'Orders Ledger'!$A:$A,'Orders Ledger'!$G:$G,""))</f>
        <v/>
      </c>
      <c r="E618" t="str">
        <f>IF(B618="","",_xlfn.XLOOKUP(B618,'Orders Ledger'!$A:$A,'Orders Ledger'!$H:$H,""))</f>
        <v/>
      </c>
      <c r="F618" t="str">
        <f>IF(B618="","",_xlfn.XLOOKUP(B618,'Orders Ledger'!$A:$A,'Orders Ledger'!$F:$F,""))</f>
        <v/>
      </c>
      <c r="G618" t="str">
        <f>IF(B618="","",_xlfn.XLOOKUP(B618,'Orders Ledger'!$A:$A,'Orders Ledger'!$N:$N,0))</f>
        <v/>
      </c>
    </row>
    <row r="619" spans="2:7" x14ac:dyDescent="0.3">
      <c r="B619" t="str">
        <f t="array" ref="B619">IFERROR(INDEX('Orders Ledger'!$A$2:$A$1501, SMALL(IF(('Orders Ledger'!$J$2:$J$1501="disputed")+('Orders Ledger'!$J$2:$J$1501="PENDING_REVIEW"), ROW('Orders Ledger'!$A$2:$A$1501)-ROW('Orders Ledger'!$A$2)+1), ROW(561:561))), "")</f>
        <v/>
      </c>
      <c r="C619" s="11" t="str">
        <f>IF(B619="","",_xlfn.XLOOKUP(B619,'Orders Ledger'!$A:$A,'Orders Ledger'!$B:$B,""))</f>
        <v/>
      </c>
      <c r="D619" t="str">
        <f>IF(B619="","",_xlfn.XLOOKUP(B619,'Orders Ledger'!$A:$A,'Orders Ledger'!$G:$G,""))</f>
        <v/>
      </c>
      <c r="E619" t="str">
        <f>IF(B619="","",_xlfn.XLOOKUP(B619,'Orders Ledger'!$A:$A,'Orders Ledger'!$H:$H,""))</f>
        <v/>
      </c>
      <c r="F619" t="str">
        <f>IF(B619="","",_xlfn.XLOOKUP(B619,'Orders Ledger'!$A:$A,'Orders Ledger'!$F:$F,""))</f>
        <v/>
      </c>
      <c r="G619" t="str">
        <f>IF(B619="","",_xlfn.XLOOKUP(B619,'Orders Ledger'!$A:$A,'Orders Ledger'!$N:$N,0))</f>
        <v/>
      </c>
    </row>
    <row r="620" spans="2:7" x14ac:dyDescent="0.3">
      <c r="B620" t="str">
        <f t="array" ref="B620">IFERROR(INDEX('Orders Ledger'!$A$2:$A$1501, SMALL(IF(('Orders Ledger'!$J$2:$J$1501="disputed")+('Orders Ledger'!$J$2:$J$1501="PENDING_REVIEW"), ROW('Orders Ledger'!$A$2:$A$1501)-ROW('Orders Ledger'!$A$2)+1), ROW(562:562))), "")</f>
        <v/>
      </c>
      <c r="C620" s="11" t="str">
        <f>IF(B620="","",_xlfn.XLOOKUP(B620,'Orders Ledger'!$A:$A,'Orders Ledger'!$B:$B,""))</f>
        <v/>
      </c>
      <c r="D620" t="str">
        <f>IF(B620="","",_xlfn.XLOOKUP(B620,'Orders Ledger'!$A:$A,'Orders Ledger'!$G:$G,""))</f>
        <v/>
      </c>
      <c r="E620" t="str">
        <f>IF(B620="","",_xlfn.XLOOKUP(B620,'Orders Ledger'!$A:$A,'Orders Ledger'!$H:$H,""))</f>
        <v/>
      </c>
      <c r="F620" t="str">
        <f>IF(B620="","",_xlfn.XLOOKUP(B620,'Orders Ledger'!$A:$A,'Orders Ledger'!$F:$F,""))</f>
        <v/>
      </c>
      <c r="G620" t="str">
        <f>IF(B620="","",_xlfn.XLOOKUP(B620,'Orders Ledger'!$A:$A,'Orders Ledger'!$N:$N,0))</f>
        <v/>
      </c>
    </row>
    <row r="621" spans="2:7" x14ac:dyDescent="0.3">
      <c r="B621" t="str">
        <f t="array" ref="B621">IFERROR(INDEX('Orders Ledger'!$A$2:$A$1501, SMALL(IF(('Orders Ledger'!$J$2:$J$1501="disputed")+('Orders Ledger'!$J$2:$J$1501="PENDING_REVIEW"), ROW('Orders Ledger'!$A$2:$A$1501)-ROW('Orders Ledger'!$A$2)+1), ROW(563:563))), "")</f>
        <v/>
      </c>
      <c r="C621" s="11" t="str">
        <f>IF(B621="","",_xlfn.XLOOKUP(B621,'Orders Ledger'!$A:$A,'Orders Ledger'!$B:$B,""))</f>
        <v/>
      </c>
      <c r="D621" t="str">
        <f>IF(B621="","",_xlfn.XLOOKUP(B621,'Orders Ledger'!$A:$A,'Orders Ledger'!$G:$G,""))</f>
        <v/>
      </c>
      <c r="E621" t="str">
        <f>IF(B621="","",_xlfn.XLOOKUP(B621,'Orders Ledger'!$A:$A,'Orders Ledger'!$H:$H,""))</f>
        <v/>
      </c>
      <c r="F621" t="str">
        <f>IF(B621="","",_xlfn.XLOOKUP(B621,'Orders Ledger'!$A:$A,'Orders Ledger'!$F:$F,""))</f>
        <v/>
      </c>
      <c r="G621" t="str">
        <f>IF(B621="","",_xlfn.XLOOKUP(B621,'Orders Ledger'!$A:$A,'Orders Ledger'!$N:$N,0))</f>
        <v/>
      </c>
    </row>
    <row r="622" spans="2:7" x14ac:dyDescent="0.3">
      <c r="B622" t="str">
        <f t="array" ref="B622">IFERROR(INDEX('Orders Ledger'!$A$2:$A$1501, SMALL(IF(('Orders Ledger'!$J$2:$J$1501="disputed")+('Orders Ledger'!$J$2:$J$1501="PENDING_REVIEW"), ROW('Orders Ledger'!$A$2:$A$1501)-ROW('Orders Ledger'!$A$2)+1), ROW(564:564))), "")</f>
        <v/>
      </c>
      <c r="C622" s="11" t="str">
        <f>IF(B622="","",_xlfn.XLOOKUP(B622,'Orders Ledger'!$A:$A,'Orders Ledger'!$B:$B,""))</f>
        <v/>
      </c>
      <c r="D622" t="str">
        <f>IF(B622="","",_xlfn.XLOOKUP(B622,'Orders Ledger'!$A:$A,'Orders Ledger'!$G:$G,""))</f>
        <v/>
      </c>
      <c r="E622" t="str">
        <f>IF(B622="","",_xlfn.XLOOKUP(B622,'Orders Ledger'!$A:$A,'Orders Ledger'!$H:$H,""))</f>
        <v/>
      </c>
      <c r="F622" t="str">
        <f>IF(B622="","",_xlfn.XLOOKUP(B622,'Orders Ledger'!$A:$A,'Orders Ledger'!$F:$F,""))</f>
        <v/>
      </c>
      <c r="G622" t="str">
        <f>IF(B622="","",_xlfn.XLOOKUP(B622,'Orders Ledger'!$A:$A,'Orders Ledger'!$N:$N,0))</f>
        <v/>
      </c>
    </row>
    <row r="623" spans="2:7" x14ac:dyDescent="0.3">
      <c r="B623" t="str">
        <f t="array" ref="B623">IFERROR(INDEX('Orders Ledger'!$A$2:$A$1501, SMALL(IF(('Orders Ledger'!$J$2:$J$1501="disputed")+('Orders Ledger'!$J$2:$J$1501="PENDING_REVIEW"), ROW('Orders Ledger'!$A$2:$A$1501)-ROW('Orders Ledger'!$A$2)+1), ROW(565:565))), "")</f>
        <v/>
      </c>
      <c r="C623" s="11" t="str">
        <f>IF(B623="","",_xlfn.XLOOKUP(B623,'Orders Ledger'!$A:$A,'Orders Ledger'!$B:$B,""))</f>
        <v/>
      </c>
      <c r="D623" t="str">
        <f>IF(B623="","",_xlfn.XLOOKUP(B623,'Orders Ledger'!$A:$A,'Orders Ledger'!$G:$G,""))</f>
        <v/>
      </c>
      <c r="E623" t="str">
        <f>IF(B623="","",_xlfn.XLOOKUP(B623,'Orders Ledger'!$A:$A,'Orders Ledger'!$H:$H,""))</f>
        <v/>
      </c>
      <c r="F623" t="str">
        <f>IF(B623="","",_xlfn.XLOOKUP(B623,'Orders Ledger'!$A:$A,'Orders Ledger'!$F:$F,""))</f>
        <v/>
      </c>
      <c r="G623" t="str">
        <f>IF(B623="","",_xlfn.XLOOKUP(B623,'Orders Ledger'!$A:$A,'Orders Ledger'!$N:$N,0))</f>
        <v/>
      </c>
    </row>
    <row r="624" spans="2:7" x14ac:dyDescent="0.3">
      <c r="B624" t="str">
        <f t="array" ref="B624">IFERROR(INDEX('Orders Ledger'!$A$2:$A$1501, SMALL(IF(('Orders Ledger'!$J$2:$J$1501="disputed")+('Orders Ledger'!$J$2:$J$1501="PENDING_REVIEW"), ROW('Orders Ledger'!$A$2:$A$1501)-ROW('Orders Ledger'!$A$2)+1), ROW(566:566))), "")</f>
        <v/>
      </c>
      <c r="C624" s="11" t="str">
        <f>IF(B624="","",_xlfn.XLOOKUP(B624,'Orders Ledger'!$A:$A,'Orders Ledger'!$B:$B,""))</f>
        <v/>
      </c>
      <c r="D624" t="str">
        <f>IF(B624="","",_xlfn.XLOOKUP(B624,'Orders Ledger'!$A:$A,'Orders Ledger'!$G:$G,""))</f>
        <v/>
      </c>
      <c r="E624" t="str">
        <f>IF(B624="","",_xlfn.XLOOKUP(B624,'Orders Ledger'!$A:$A,'Orders Ledger'!$H:$H,""))</f>
        <v/>
      </c>
      <c r="F624" t="str">
        <f>IF(B624="","",_xlfn.XLOOKUP(B624,'Orders Ledger'!$A:$A,'Orders Ledger'!$F:$F,""))</f>
        <v/>
      </c>
      <c r="G624" t="str">
        <f>IF(B624="","",_xlfn.XLOOKUP(B624,'Orders Ledger'!$A:$A,'Orders Ledger'!$N:$N,0))</f>
        <v/>
      </c>
    </row>
    <row r="625" spans="2:7" x14ac:dyDescent="0.3">
      <c r="B625" t="str">
        <f t="array" ref="B625">IFERROR(INDEX('Orders Ledger'!$A$2:$A$1501, SMALL(IF(('Orders Ledger'!$J$2:$J$1501="disputed")+('Orders Ledger'!$J$2:$J$1501="PENDING_REVIEW"), ROW('Orders Ledger'!$A$2:$A$1501)-ROW('Orders Ledger'!$A$2)+1), ROW(567:567))), "")</f>
        <v/>
      </c>
      <c r="C625" s="11" t="str">
        <f>IF(B625="","",_xlfn.XLOOKUP(B625,'Orders Ledger'!$A:$A,'Orders Ledger'!$B:$B,""))</f>
        <v/>
      </c>
      <c r="D625" t="str">
        <f>IF(B625="","",_xlfn.XLOOKUP(B625,'Orders Ledger'!$A:$A,'Orders Ledger'!$G:$G,""))</f>
        <v/>
      </c>
      <c r="E625" t="str">
        <f>IF(B625="","",_xlfn.XLOOKUP(B625,'Orders Ledger'!$A:$A,'Orders Ledger'!$H:$H,""))</f>
        <v/>
      </c>
      <c r="F625" t="str">
        <f>IF(B625="","",_xlfn.XLOOKUP(B625,'Orders Ledger'!$A:$A,'Orders Ledger'!$F:$F,""))</f>
        <v/>
      </c>
      <c r="G625" t="str">
        <f>IF(B625="","",_xlfn.XLOOKUP(B625,'Orders Ledger'!$A:$A,'Orders Ledger'!$N:$N,0))</f>
        <v/>
      </c>
    </row>
    <row r="626" spans="2:7" x14ac:dyDescent="0.3">
      <c r="B626" t="str">
        <f t="array" ref="B626">IFERROR(INDEX('Orders Ledger'!$A$2:$A$1501, SMALL(IF(('Orders Ledger'!$J$2:$J$1501="disputed")+('Orders Ledger'!$J$2:$J$1501="PENDING_REVIEW"), ROW('Orders Ledger'!$A$2:$A$1501)-ROW('Orders Ledger'!$A$2)+1), ROW(568:568))), "")</f>
        <v/>
      </c>
      <c r="C626" s="11" t="str">
        <f>IF(B626="","",_xlfn.XLOOKUP(B626,'Orders Ledger'!$A:$A,'Orders Ledger'!$B:$B,""))</f>
        <v/>
      </c>
      <c r="D626" t="str">
        <f>IF(B626="","",_xlfn.XLOOKUP(B626,'Orders Ledger'!$A:$A,'Orders Ledger'!$G:$G,""))</f>
        <v/>
      </c>
      <c r="E626" t="str">
        <f>IF(B626="","",_xlfn.XLOOKUP(B626,'Orders Ledger'!$A:$A,'Orders Ledger'!$H:$H,""))</f>
        <v/>
      </c>
      <c r="F626" t="str">
        <f>IF(B626="","",_xlfn.XLOOKUP(B626,'Orders Ledger'!$A:$A,'Orders Ledger'!$F:$F,""))</f>
        <v/>
      </c>
      <c r="G626" t="str">
        <f>IF(B626="","",_xlfn.XLOOKUP(B626,'Orders Ledger'!$A:$A,'Orders Ledger'!$N:$N,0))</f>
        <v/>
      </c>
    </row>
    <row r="627" spans="2:7" x14ac:dyDescent="0.3">
      <c r="B627" t="str">
        <f t="array" ref="B627">IFERROR(INDEX('Orders Ledger'!$A$2:$A$1501, SMALL(IF(('Orders Ledger'!$J$2:$J$1501="disputed")+('Orders Ledger'!$J$2:$J$1501="PENDING_REVIEW"), ROW('Orders Ledger'!$A$2:$A$1501)-ROW('Orders Ledger'!$A$2)+1), ROW(569:569))), "")</f>
        <v/>
      </c>
      <c r="C627" s="11" t="str">
        <f>IF(B627="","",_xlfn.XLOOKUP(B627,'Orders Ledger'!$A:$A,'Orders Ledger'!$B:$B,""))</f>
        <v/>
      </c>
      <c r="D627" t="str">
        <f>IF(B627="","",_xlfn.XLOOKUP(B627,'Orders Ledger'!$A:$A,'Orders Ledger'!$G:$G,""))</f>
        <v/>
      </c>
      <c r="E627" t="str">
        <f>IF(B627="","",_xlfn.XLOOKUP(B627,'Orders Ledger'!$A:$A,'Orders Ledger'!$H:$H,""))</f>
        <v/>
      </c>
      <c r="F627" t="str">
        <f>IF(B627="","",_xlfn.XLOOKUP(B627,'Orders Ledger'!$A:$A,'Orders Ledger'!$F:$F,""))</f>
        <v/>
      </c>
      <c r="G627" t="str">
        <f>IF(B627="","",_xlfn.XLOOKUP(B627,'Orders Ledger'!$A:$A,'Orders Ledger'!$N:$N,0))</f>
        <v/>
      </c>
    </row>
    <row r="628" spans="2:7" x14ac:dyDescent="0.3">
      <c r="B628" t="str">
        <f t="array" ref="B628">IFERROR(INDEX('Orders Ledger'!$A$2:$A$1501, SMALL(IF(('Orders Ledger'!$J$2:$J$1501="disputed")+('Orders Ledger'!$J$2:$J$1501="PENDING_REVIEW"), ROW('Orders Ledger'!$A$2:$A$1501)-ROW('Orders Ledger'!$A$2)+1), ROW(570:570))), "")</f>
        <v/>
      </c>
      <c r="C628" s="11" t="str">
        <f>IF(B628="","",_xlfn.XLOOKUP(B628,'Orders Ledger'!$A:$A,'Orders Ledger'!$B:$B,""))</f>
        <v/>
      </c>
      <c r="D628" t="str">
        <f>IF(B628="","",_xlfn.XLOOKUP(B628,'Orders Ledger'!$A:$A,'Orders Ledger'!$G:$G,""))</f>
        <v/>
      </c>
      <c r="E628" t="str">
        <f>IF(B628="","",_xlfn.XLOOKUP(B628,'Orders Ledger'!$A:$A,'Orders Ledger'!$H:$H,""))</f>
        <v/>
      </c>
      <c r="F628" t="str">
        <f>IF(B628="","",_xlfn.XLOOKUP(B628,'Orders Ledger'!$A:$A,'Orders Ledger'!$F:$F,""))</f>
        <v/>
      </c>
      <c r="G628" t="str">
        <f>IF(B628="","",_xlfn.XLOOKUP(B628,'Orders Ledger'!$A:$A,'Orders Ledger'!$N:$N,0))</f>
        <v/>
      </c>
    </row>
    <row r="629" spans="2:7" x14ac:dyDescent="0.3">
      <c r="B629" t="str">
        <f t="array" ref="B629">IFERROR(INDEX('Orders Ledger'!$A$2:$A$1501, SMALL(IF(('Orders Ledger'!$J$2:$J$1501="disputed")+('Orders Ledger'!$J$2:$J$1501="PENDING_REVIEW"), ROW('Orders Ledger'!$A$2:$A$1501)-ROW('Orders Ledger'!$A$2)+1), ROW(571:571))), "")</f>
        <v/>
      </c>
      <c r="C629" s="11" t="str">
        <f>IF(B629="","",_xlfn.XLOOKUP(B629,'Orders Ledger'!$A:$A,'Orders Ledger'!$B:$B,""))</f>
        <v/>
      </c>
      <c r="D629" t="str">
        <f>IF(B629="","",_xlfn.XLOOKUP(B629,'Orders Ledger'!$A:$A,'Orders Ledger'!$G:$G,""))</f>
        <v/>
      </c>
      <c r="E629" t="str">
        <f>IF(B629="","",_xlfn.XLOOKUP(B629,'Orders Ledger'!$A:$A,'Orders Ledger'!$H:$H,""))</f>
        <v/>
      </c>
      <c r="F629" t="str">
        <f>IF(B629="","",_xlfn.XLOOKUP(B629,'Orders Ledger'!$A:$A,'Orders Ledger'!$F:$F,""))</f>
        <v/>
      </c>
      <c r="G629" t="str">
        <f>IF(B629="","",_xlfn.XLOOKUP(B629,'Orders Ledger'!$A:$A,'Orders Ledger'!$N:$N,0))</f>
        <v/>
      </c>
    </row>
    <row r="630" spans="2:7" x14ac:dyDescent="0.3">
      <c r="B630" t="str">
        <f t="array" ref="B630">IFERROR(INDEX('Orders Ledger'!$A$2:$A$1501, SMALL(IF(('Orders Ledger'!$J$2:$J$1501="disputed")+('Orders Ledger'!$J$2:$J$1501="PENDING_REVIEW"), ROW('Orders Ledger'!$A$2:$A$1501)-ROW('Orders Ledger'!$A$2)+1), ROW(572:572))), "")</f>
        <v/>
      </c>
      <c r="C630" s="11" t="str">
        <f>IF(B630="","",_xlfn.XLOOKUP(B630,'Orders Ledger'!$A:$A,'Orders Ledger'!$B:$B,""))</f>
        <v/>
      </c>
      <c r="D630" t="str">
        <f>IF(B630="","",_xlfn.XLOOKUP(B630,'Orders Ledger'!$A:$A,'Orders Ledger'!$G:$G,""))</f>
        <v/>
      </c>
      <c r="E630" t="str">
        <f>IF(B630="","",_xlfn.XLOOKUP(B630,'Orders Ledger'!$A:$A,'Orders Ledger'!$H:$H,""))</f>
        <v/>
      </c>
      <c r="F630" t="str">
        <f>IF(B630="","",_xlfn.XLOOKUP(B630,'Orders Ledger'!$A:$A,'Orders Ledger'!$F:$F,""))</f>
        <v/>
      </c>
      <c r="G630" t="str">
        <f>IF(B630="","",_xlfn.XLOOKUP(B630,'Orders Ledger'!$A:$A,'Orders Ledger'!$N:$N,0))</f>
        <v/>
      </c>
    </row>
    <row r="631" spans="2:7" x14ac:dyDescent="0.3">
      <c r="B631" t="str">
        <f t="array" ref="B631">IFERROR(INDEX('Orders Ledger'!$A$2:$A$1501, SMALL(IF(('Orders Ledger'!$J$2:$J$1501="disputed")+('Orders Ledger'!$J$2:$J$1501="PENDING_REVIEW"), ROW('Orders Ledger'!$A$2:$A$1501)-ROW('Orders Ledger'!$A$2)+1), ROW(573:573))), "")</f>
        <v/>
      </c>
      <c r="C631" s="11" t="str">
        <f>IF(B631="","",_xlfn.XLOOKUP(B631,'Orders Ledger'!$A:$A,'Orders Ledger'!$B:$B,""))</f>
        <v/>
      </c>
      <c r="D631" t="str">
        <f>IF(B631="","",_xlfn.XLOOKUP(B631,'Orders Ledger'!$A:$A,'Orders Ledger'!$G:$G,""))</f>
        <v/>
      </c>
      <c r="E631" t="str">
        <f>IF(B631="","",_xlfn.XLOOKUP(B631,'Orders Ledger'!$A:$A,'Orders Ledger'!$H:$H,""))</f>
        <v/>
      </c>
      <c r="F631" t="str">
        <f>IF(B631="","",_xlfn.XLOOKUP(B631,'Orders Ledger'!$A:$A,'Orders Ledger'!$F:$F,""))</f>
        <v/>
      </c>
      <c r="G631" t="str">
        <f>IF(B631="","",_xlfn.XLOOKUP(B631,'Orders Ledger'!$A:$A,'Orders Ledger'!$N:$N,0))</f>
        <v/>
      </c>
    </row>
    <row r="632" spans="2:7" x14ac:dyDescent="0.3">
      <c r="B632" t="str">
        <f t="array" ref="B632">IFERROR(INDEX('Orders Ledger'!$A$2:$A$1501, SMALL(IF(('Orders Ledger'!$J$2:$J$1501="disputed")+('Orders Ledger'!$J$2:$J$1501="PENDING_REVIEW"), ROW('Orders Ledger'!$A$2:$A$1501)-ROW('Orders Ledger'!$A$2)+1), ROW(574:574))), "")</f>
        <v/>
      </c>
      <c r="C632" s="11" t="str">
        <f>IF(B632="","",_xlfn.XLOOKUP(B632,'Orders Ledger'!$A:$A,'Orders Ledger'!$B:$B,""))</f>
        <v/>
      </c>
      <c r="D632" t="str">
        <f>IF(B632="","",_xlfn.XLOOKUP(B632,'Orders Ledger'!$A:$A,'Orders Ledger'!$G:$G,""))</f>
        <v/>
      </c>
      <c r="E632" t="str">
        <f>IF(B632="","",_xlfn.XLOOKUP(B632,'Orders Ledger'!$A:$A,'Orders Ledger'!$H:$H,""))</f>
        <v/>
      </c>
      <c r="F632" t="str">
        <f>IF(B632="","",_xlfn.XLOOKUP(B632,'Orders Ledger'!$A:$A,'Orders Ledger'!$F:$F,""))</f>
        <v/>
      </c>
      <c r="G632" t="str">
        <f>IF(B632="","",_xlfn.XLOOKUP(B632,'Orders Ledger'!$A:$A,'Orders Ledger'!$N:$N,0))</f>
        <v/>
      </c>
    </row>
    <row r="633" spans="2:7" x14ac:dyDescent="0.3">
      <c r="B633" t="str">
        <f t="array" ref="B633">IFERROR(INDEX('Orders Ledger'!$A$2:$A$1501, SMALL(IF(('Orders Ledger'!$J$2:$J$1501="disputed")+('Orders Ledger'!$J$2:$J$1501="PENDING_REVIEW"), ROW('Orders Ledger'!$A$2:$A$1501)-ROW('Orders Ledger'!$A$2)+1), ROW(575:575))), "")</f>
        <v/>
      </c>
      <c r="C633" s="11" t="str">
        <f>IF(B633="","",_xlfn.XLOOKUP(B633,'Orders Ledger'!$A:$A,'Orders Ledger'!$B:$B,""))</f>
        <v/>
      </c>
      <c r="D633" t="str">
        <f>IF(B633="","",_xlfn.XLOOKUP(B633,'Orders Ledger'!$A:$A,'Orders Ledger'!$G:$G,""))</f>
        <v/>
      </c>
      <c r="E633" t="str">
        <f>IF(B633="","",_xlfn.XLOOKUP(B633,'Orders Ledger'!$A:$A,'Orders Ledger'!$H:$H,""))</f>
        <v/>
      </c>
      <c r="F633" t="str">
        <f>IF(B633="","",_xlfn.XLOOKUP(B633,'Orders Ledger'!$A:$A,'Orders Ledger'!$F:$F,""))</f>
        <v/>
      </c>
      <c r="G633" t="str">
        <f>IF(B633="","",_xlfn.XLOOKUP(B633,'Orders Ledger'!$A:$A,'Orders Ledger'!$N:$N,0))</f>
        <v/>
      </c>
    </row>
    <row r="634" spans="2:7" x14ac:dyDescent="0.3">
      <c r="B634" t="str">
        <f t="array" ref="B634">IFERROR(INDEX('Orders Ledger'!$A$2:$A$1501, SMALL(IF(('Orders Ledger'!$J$2:$J$1501="disputed")+('Orders Ledger'!$J$2:$J$1501="PENDING_REVIEW"), ROW('Orders Ledger'!$A$2:$A$1501)-ROW('Orders Ledger'!$A$2)+1), ROW(576:576))), "")</f>
        <v/>
      </c>
      <c r="C634" s="11" t="str">
        <f>IF(B634="","",_xlfn.XLOOKUP(B634,'Orders Ledger'!$A:$A,'Orders Ledger'!$B:$B,""))</f>
        <v/>
      </c>
      <c r="D634" t="str">
        <f>IF(B634="","",_xlfn.XLOOKUP(B634,'Orders Ledger'!$A:$A,'Orders Ledger'!$G:$G,""))</f>
        <v/>
      </c>
      <c r="E634" t="str">
        <f>IF(B634="","",_xlfn.XLOOKUP(B634,'Orders Ledger'!$A:$A,'Orders Ledger'!$H:$H,""))</f>
        <v/>
      </c>
      <c r="F634" t="str">
        <f>IF(B634="","",_xlfn.XLOOKUP(B634,'Orders Ledger'!$A:$A,'Orders Ledger'!$F:$F,""))</f>
        <v/>
      </c>
      <c r="G634" t="str">
        <f>IF(B634="","",_xlfn.XLOOKUP(B634,'Orders Ledger'!$A:$A,'Orders Ledger'!$N:$N,0))</f>
        <v/>
      </c>
    </row>
    <row r="635" spans="2:7" x14ac:dyDescent="0.3">
      <c r="B635" t="str">
        <f t="array" ref="B635">IFERROR(INDEX('Orders Ledger'!$A$2:$A$1501, SMALL(IF(('Orders Ledger'!$J$2:$J$1501="disputed")+('Orders Ledger'!$J$2:$J$1501="PENDING_REVIEW"), ROW('Orders Ledger'!$A$2:$A$1501)-ROW('Orders Ledger'!$A$2)+1), ROW(577:577))), "")</f>
        <v/>
      </c>
      <c r="C635" s="11" t="str">
        <f>IF(B635="","",_xlfn.XLOOKUP(B635,'Orders Ledger'!$A:$A,'Orders Ledger'!$B:$B,""))</f>
        <v/>
      </c>
      <c r="D635" t="str">
        <f>IF(B635="","",_xlfn.XLOOKUP(B635,'Orders Ledger'!$A:$A,'Orders Ledger'!$G:$G,""))</f>
        <v/>
      </c>
      <c r="E635" t="str">
        <f>IF(B635="","",_xlfn.XLOOKUP(B635,'Orders Ledger'!$A:$A,'Orders Ledger'!$H:$H,""))</f>
        <v/>
      </c>
      <c r="F635" t="str">
        <f>IF(B635="","",_xlfn.XLOOKUP(B635,'Orders Ledger'!$A:$A,'Orders Ledger'!$F:$F,""))</f>
        <v/>
      </c>
      <c r="G635" t="str">
        <f>IF(B635="","",_xlfn.XLOOKUP(B635,'Orders Ledger'!$A:$A,'Orders Ledger'!$N:$N,0))</f>
        <v/>
      </c>
    </row>
    <row r="636" spans="2:7" x14ac:dyDescent="0.3">
      <c r="B636" t="str">
        <f t="array" ref="B636">IFERROR(INDEX('Orders Ledger'!$A$2:$A$1501, SMALL(IF(('Orders Ledger'!$J$2:$J$1501="disputed")+('Orders Ledger'!$J$2:$J$1501="PENDING_REVIEW"), ROW('Orders Ledger'!$A$2:$A$1501)-ROW('Orders Ledger'!$A$2)+1), ROW(578:578))), "")</f>
        <v/>
      </c>
      <c r="C636" s="11" t="str">
        <f>IF(B636="","",_xlfn.XLOOKUP(B636,'Orders Ledger'!$A:$A,'Orders Ledger'!$B:$B,""))</f>
        <v/>
      </c>
      <c r="D636" t="str">
        <f>IF(B636="","",_xlfn.XLOOKUP(B636,'Orders Ledger'!$A:$A,'Orders Ledger'!$G:$G,""))</f>
        <v/>
      </c>
      <c r="E636" t="str">
        <f>IF(B636="","",_xlfn.XLOOKUP(B636,'Orders Ledger'!$A:$A,'Orders Ledger'!$H:$H,""))</f>
        <v/>
      </c>
      <c r="F636" t="str">
        <f>IF(B636="","",_xlfn.XLOOKUP(B636,'Orders Ledger'!$A:$A,'Orders Ledger'!$F:$F,""))</f>
        <v/>
      </c>
      <c r="G636" t="str">
        <f>IF(B636="","",_xlfn.XLOOKUP(B636,'Orders Ledger'!$A:$A,'Orders Ledger'!$N:$N,0))</f>
        <v/>
      </c>
    </row>
    <row r="637" spans="2:7" x14ac:dyDescent="0.3">
      <c r="B637" t="str">
        <f t="array" ref="B637">IFERROR(INDEX('Orders Ledger'!$A$2:$A$1501, SMALL(IF(('Orders Ledger'!$J$2:$J$1501="disputed")+('Orders Ledger'!$J$2:$J$1501="PENDING_REVIEW"), ROW('Orders Ledger'!$A$2:$A$1501)-ROW('Orders Ledger'!$A$2)+1), ROW(579:579))), "")</f>
        <v/>
      </c>
      <c r="C637" s="11" t="str">
        <f>IF(B637="","",_xlfn.XLOOKUP(B637,'Orders Ledger'!$A:$A,'Orders Ledger'!$B:$B,""))</f>
        <v/>
      </c>
      <c r="D637" t="str">
        <f>IF(B637="","",_xlfn.XLOOKUP(B637,'Orders Ledger'!$A:$A,'Orders Ledger'!$G:$G,""))</f>
        <v/>
      </c>
      <c r="E637" t="str">
        <f>IF(B637="","",_xlfn.XLOOKUP(B637,'Orders Ledger'!$A:$A,'Orders Ledger'!$H:$H,""))</f>
        <v/>
      </c>
      <c r="F637" t="str">
        <f>IF(B637="","",_xlfn.XLOOKUP(B637,'Orders Ledger'!$A:$A,'Orders Ledger'!$F:$F,""))</f>
        <v/>
      </c>
      <c r="G637" t="str">
        <f>IF(B637="","",_xlfn.XLOOKUP(B637,'Orders Ledger'!$A:$A,'Orders Ledger'!$N:$N,0))</f>
        <v/>
      </c>
    </row>
    <row r="638" spans="2:7" x14ac:dyDescent="0.3">
      <c r="B638" t="str">
        <f t="array" ref="B638">IFERROR(INDEX('Orders Ledger'!$A$2:$A$1501, SMALL(IF(('Orders Ledger'!$J$2:$J$1501="disputed")+('Orders Ledger'!$J$2:$J$1501="PENDING_REVIEW"), ROW('Orders Ledger'!$A$2:$A$1501)-ROW('Orders Ledger'!$A$2)+1), ROW(580:580))), "")</f>
        <v/>
      </c>
      <c r="C638" s="11" t="str">
        <f>IF(B638="","",_xlfn.XLOOKUP(B638,'Orders Ledger'!$A:$A,'Orders Ledger'!$B:$B,""))</f>
        <v/>
      </c>
      <c r="D638" t="str">
        <f>IF(B638="","",_xlfn.XLOOKUP(B638,'Orders Ledger'!$A:$A,'Orders Ledger'!$G:$G,""))</f>
        <v/>
      </c>
      <c r="E638" t="str">
        <f>IF(B638="","",_xlfn.XLOOKUP(B638,'Orders Ledger'!$A:$A,'Orders Ledger'!$H:$H,""))</f>
        <v/>
      </c>
      <c r="F638" t="str">
        <f>IF(B638="","",_xlfn.XLOOKUP(B638,'Orders Ledger'!$A:$A,'Orders Ledger'!$F:$F,""))</f>
        <v/>
      </c>
      <c r="G638" t="str">
        <f>IF(B638="","",_xlfn.XLOOKUP(B638,'Orders Ledger'!$A:$A,'Orders Ledger'!$N:$N,0))</f>
        <v/>
      </c>
    </row>
    <row r="639" spans="2:7" x14ac:dyDescent="0.3">
      <c r="B639" t="str">
        <f t="array" ref="B639">IFERROR(INDEX('Orders Ledger'!$A$2:$A$1501, SMALL(IF(('Orders Ledger'!$J$2:$J$1501="disputed")+('Orders Ledger'!$J$2:$J$1501="PENDING_REVIEW"), ROW('Orders Ledger'!$A$2:$A$1501)-ROW('Orders Ledger'!$A$2)+1), ROW(581:581))), "")</f>
        <v/>
      </c>
      <c r="C639" s="11" t="str">
        <f>IF(B639="","",_xlfn.XLOOKUP(B639,'Orders Ledger'!$A:$A,'Orders Ledger'!$B:$B,""))</f>
        <v/>
      </c>
      <c r="D639" t="str">
        <f>IF(B639="","",_xlfn.XLOOKUP(B639,'Orders Ledger'!$A:$A,'Orders Ledger'!$G:$G,""))</f>
        <v/>
      </c>
      <c r="E639" t="str">
        <f>IF(B639="","",_xlfn.XLOOKUP(B639,'Orders Ledger'!$A:$A,'Orders Ledger'!$H:$H,""))</f>
        <v/>
      </c>
      <c r="F639" t="str">
        <f>IF(B639="","",_xlfn.XLOOKUP(B639,'Orders Ledger'!$A:$A,'Orders Ledger'!$F:$F,""))</f>
        <v/>
      </c>
      <c r="G639" t="str">
        <f>IF(B639="","",_xlfn.XLOOKUP(B639,'Orders Ledger'!$A:$A,'Orders Ledger'!$N:$N,0))</f>
        <v/>
      </c>
    </row>
    <row r="640" spans="2:7" x14ac:dyDescent="0.3">
      <c r="B640" t="str">
        <f t="array" ref="B640">IFERROR(INDEX('Orders Ledger'!$A$2:$A$1501, SMALL(IF(('Orders Ledger'!$J$2:$J$1501="disputed")+('Orders Ledger'!$J$2:$J$1501="PENDING_REVIEW"), ROW('Orders Ledger'!$A$2:$A$1501)-ROW('Orders Ledger'!$A$2)+1), ROW(582:582))), "")</f>
        <v/>
      </c>
      <c r="C640" s="11" t="str">
        <f>IF(B640="","",_xlfn.XLOOKUP(B640,'Orders Ledger'!$A:$A,'Orders Ledger'!$B:$B,""))</f>
        <v/>
      </c>
      <c r="D640" t="str">
        <f>IF(B640="","",_xlfn.XLOOKUP(B640,'Orders Ledger'!$A:$A,'Orders Ledger'!$G:$G,""))</f>
        <v/>
      </c>
      <c r="E640" t="str">
        <f>IF(B640="","",_xlfn.XLOOKUP(B640,'Orders Ledger'!$A:$A,'Orders Ledger'!$H:$H,""))</f>
        <v/>
      </c>
      <c r="F640" t="str">
        <f>IF(B640="","",_xlfn.XLOOKUP(B640,'Orders Ledger'!$A:$A,'Orders Ledger'!$F:$F,""))</f>
        <v/>
      </c>
      <c r="G640" t="str">
        <f>IF(B640="","",_xlfn.XLOOKUP(B640,'Orders Ledger'!$A:$A,'Orders Ledger'!$N:$N,0))</f>
        <v/>
      </c>
    </row>
    <row r="641" spans="2:7" x14ac:dyDescent="0.3">
      <c r="B641" t="str">
        <f t="array" ref="B641">IFERROR(INDEX('Orders Ledger'!$A$2:$A$1501, SMALL(IF(('Orders Ledger'!$J$2:$J$1501="disputed")+('Orders Ledger'!$J$2:$J$1501="PENDING_REVIEW"), ROW('Orders Ledger'!$A$2:$A$1501)-ROW('Orders Ledger'!$A$2)+1), ROW(583:583))), "")</f>
        <v/>
      </c>
      <c r="C641" s="11" t="str">
        <f>IF(B641="","",_xlfn.XLOOKUP(B641,'Orders Ledger'!$A:$A,'Orders Ledger'!$B:$B,""))</f>
        <v/>
      </c>
      <c r="D641" t="str">
        <f>IF(B641="","",_xlfn.XLOOKUP(B641,'Orders Ledger'!$A:$A,'Orders Ledger'!$G:$G,""))</f>
        <v/>
      </c>
      <c r="E641" t="str">
        <f>IF(B641="","",_xlfn.XLOOKUP(B641,'Orders Ledger'!$A:$A,'Orders Ledger'!$H:$H,""))</f>
        <v/>
      </c>
      <c r="F641" t="str">
        <f>IF(B641="","",_xlfn.XLOOKUP(B641,'Orders Ledger'!$A:$A,'Orders Ledger'!$F:$F,""))</f>
        <v/>
      </c>
      <c r="G641" t="str">
        <f>IF(B641="","",_xlfn.XLOOKUP(B641,'Orders Ledger'!$A:$A,'Orders Ledger'!$N:$N,0))</f>
        <v/>
      </c>
    </row>
    <row r="642" spans="2:7" x14ac:dyDescent="0.3">
      <c r="B642" t="str">
        <f t="array" ref="B642">IFERROR(INDEX('Orders Ledger'!$A$2:$A$1501, SMALL(IF(('Orders Ledger'!$J$2:$J$1501="disputed")+('Orders Ledger'!$J$2:$J$1501="PENDING_REVIEW"), ROW('Orders Ledger'!$A$2:$A$1501)-ROW('Orders Ledger'!$A$2)+1), ROW(584:584))), "")</f>
        <v/>
      </c>
      <c r="C642" s="11" t="str">
        <f>IF(B642="","",_xlfn.XLOOKUP(B642,'Orders Ledger'!$A:$A,'Orders Ledger'!$B:$B,""))</f>
        <v/>
      </c>
      <c r="D642" t="str">
        <f>IF(B642="","",_xlfn.XLOOKUP(B642,'Orders Ledger'!$A:$A,'Orders Ledger'!$G:$G,""))</f>
        <v/>
      </c>
      <c r="E642" t="str">
        <f>IF(B642="","",_xlfn.XLOOKUP(B642,'Orders Ledger'!$A:$A,'Orders Ledger'!$H:$H,""))</f>
        <v/>
      </c>
      <c r="F642" t="str">
        <f>IF(B642="","",_xlfn.XLOOKUP(B642,'Orders Ledger'!$A:$A,'Orders Ledger'!$F:$F,""))</f>
        <v/>
      </c>
      <c r="G642" t="str">
        <f>IF(B642="","",_xlfn.XLOOKUP(B642,'Orders Ledger'!$A:$A,'Orders Ledger'!$N:$N,0))</f>
        <v/>
      </c>
    </row>
    <row r="643" spans="2:7" x14ac:dyDescent="0.3">
      <c r="B643" t="str">
        <f t="array" ref="B643">IFERROR(INDEX('Orders Ledger'!$A$2:$A$1501, SMALL(IF(('Orders Ledger'!$J$2:$J$1501="disputed")+('Orders Ledger'!$J$2:$J$1501="PENDING_REVIEW"), ROW('Orders Ledger'!$A$2:$A$1501)-ROW('Orders Ledger'!$A$2)+1), ROW(585:585))), "")</f>
        <v/>
      </c>
      <c r="C643" s="11" t="str">
        <f>IF(B643="","",_xlfn.XLOOKUP(B643,'Orders Ledger'!$A:$A,'Orders Ledger'!$B:$B,""))</f>
        <v/>
      </c>
      <c r="D643" t="str">
        <f>IF(B643="","",_xlfn.XLOOKUP(B643,'Orders Ledger'!$A:$A,'Orders Ledger'!$G:$G,""))</f>
        <v/>
      </c>
      <c r="E643" t="str">
        <f>IF(B643="","",_xlfn.XLOOKUP(B643,'Orders Ledger'!$A:$A,'Orders Ledger'!$H:$H,""))</f>
        <v/>
      </c>
      <c r="F643" t="str">
        <f>IF(B643="","",_xlfn.XLOOKUP(B643,'Orders Ledger'!$A:$A,'Orders Ledger'!$F:$F,""))</f>
        <v/>
      </c>
      <c r="G643" t="str">
        <f>IF(B643="","",_xlfn.XLOOKUP(B643,'Orders Ledger'!$A:$A,'Orders Ledger'!$N:$N,0))</f>
        <v/>
      </c>
    </row>
    <row r="644" spans="2:7" x14ac:dyDescent="0.3">
      <c r="B644" t="str">
        <f t="array" ref="B644">IFERROR(INDEX('Orders Ledger'!$A$2:$A$1501, SMALL(IF(('Orders Ledger'!$J$2:$J$1501="disputed")+('Orders Ledger'!$J$2:$J$1501="PENDING_REVIEW"), ROW('Orders Ledger'!$A$2:$A$1501)-ROW('Orders Ledger'!$A$2)+1), ROW(586:586))), "")</f>
        <v/>
      </c>
      <c r="C644" s="11" t="str">
        <f>IF(B644="","",_xlfn.XLOOKUP(B644,'Orders Ledger'!$A:$A,'Orders Ledger'!$B:$B,""))</f>
        <v/>
      </c>
      <c r="D644" t="str">
        <f>IF(B644="","",_xlfn.XLOOKUP(B644,'Orders Ledger'!$A:$A,'Orders Ledger'!$G:$G,""))</f>
        <v/>
      </c>
      <c r="E644" t="str">
        <f>IF(B644="","",_xlfn.XLOOKUP(B644,'Orders Ledger'!$A:$A,'Orders Ledger'!$H:$H,""))</f>
        <v/>
      </c>
      <c r="F644" t="str">
        <f>IF(B644="","",_xlfn.XLOOKUP(B644,'Orders Ledger'!$A:$A,'Orders Ledger'!$F:$F,""))</f>
        <v/>
      </c>
      <c r="G644" t="str">
        <f>IF(B644="","",_xlfn.XLOOKUP(B644,'Orders Ledger'!$A:$A,'Orders Ledger'!$N:$N,0))</f>
        <v/>
      </c>
    </row>
    <row r="645" spans="2:7" x14ac:dyDescent="0.3">
      <c r="B645" t="str">
        <f t="array" ref="B645">IFERROR(INDEX('Orders Ledger'!$A$2:$A$1501, SMALL(IF(('Orders Ledger'!$J$2:$J$1501="disputed")+('Orders Ledger'!$J$2:$J$1501="PENDING_REVIEW"), ROW('Orders Ledger'!$A$2:$A$1501)-ROW('Orders Ledger'!$A$2)+1), ROW(587:587))), "")</f>
        <v/>
      </c>
      <c r="C645" s="11" t="str">
        <f>IF(B645="","",_xlfn.XLOOKUP(B645,'Orders Ledger'!$A:$A,'Orders Ledger'!$B:$B,""))</f>
        <v/>
      </c>
      <c r="D645" t="str">
        <f>IF(B645="","",_xlfn.XLOOKUP(B645,'Orders Ledger'!$A:$A,'Orders Ledger'!$G:$G,""))</f>
        <v/>
      </c>
      <c r="E645" t="str">
        <f>IF(B645="","",_xlfn.XLOOKUP(B645,'Orders Ledger'!$A:$A,'Orders Ledger'!$H:$H,""))</f>
        <v/>
      </c>
      <c r="F645" t="str">
        <f>IF(B645="","",_xlfn.XLOOKUP(B645,'Orders Ledger'!$A:$A,'Orders Ledger'!$F:$F,""))</f>
        <v/>
      </c>
      <c r="G645" t="str">
        <f>IF(B645="","",_xlfn.XLOOKUP(B645,'Orders Ledger'!$A:$A,'Orders Ledger'!$N:$N,0))</f>
        <v/>
      </c>
    </row>
    <row r="646" spans="2:7" x14ac:dyDescent="0.3">
      <c r="B646" t="str">
        <f t="array" ref="B646">IFERROR(INDEX('Orders Ledger'!$A$2:$A$1501, SMALL(IF(('Orders Ledger'!$J$2:$J$1501="disputed")+('Orders Ledger'!$J$2:$J$1501="PENDING_REVIEW"), ROW('Orders Ledger'!$A$2:$A$1501)-ROW('Orders Ledger'!$A$2)+1), ROW(588:588))), "")</f>
        <v/>
      </c>
      <c r="C646" s="11" t="str">
        <f>IF(B646="","",_xlfn.XLOOKUP(B646,'Orders Ledger'!$A:$A,'Orders Ledger'!$B:$B,""))</f>
        <v/>
      </c>
      <c r="D646" t="str">
        <f>IF(B646="","",_xlfn.XLOOKUP(B646,'Orders Ledger'!$A:$A,'Orders Ledger'!$G:$G,""))</f>
        <v/>
      </c>
      <c r="E646" t="str">
        <f>IF(B646="","",_xlfn.XLOOKUP(B646,'Orders Ledger'!$A:$A,'Orders Ledger'!$H:$H,""))</f>
        <v/>
      </c>
      <c r="F646" t="str">
        <f>IF(B646="","",_xlfn.XLOOKUP(B646,'Orders Ledger'!$A:$A,'Orders Ledger'!$F:$F,""))</f>
        <v/>
      </c>
      <c r="G646" t="str">
        <f>IF(B646="","",_xlfn.XLOOKUP(B646,'Orders Ledger'!$A:$A,'Orders Ledger'!$N:$N,0))</f>
        <v/>
      </c>
    </row>
    <row r="647" spans="2:7" x14ac:dyDescent="0.3">
      <c r="B647" t="str">
        <f t="array" ref="B647">IFERROR(INDEX('Orders Ledger'!$A$2:$A$1501, SMALL(IF(('Orders Ledger'!$J$2:$J$1501="disputed")+('Orders Ledger'!$J$2:$J$1501="PENDING_REVIEW"), ROW('Orders Ledger'!$A$2:$A$1501)-ROW('Orders Ledger'!$A$2)+1), ROW(589:589))), "")</f>
        <v/>
      </c>
      <c r="C647" s="11" t="str">
        <f>IF(B647="","",_xlfn.XLOOKUP(B647,'Orders Ledger'!$A:$A,'Orders Ledger'!$B:$B,""))</f>
        <v/>
      </c>
      <c r="D647" t="str">
        <f>IF(B647="","",_xlfn.XLOOKUP(B647,'Orders Ledger'!$A:$A,'Orders Ledger'!$G:$G,""))</f>
        <v/>
      </c>
      <c r="E647" t="str">
        <f>IF(B647="","",_xlfn.XLOOKUP(B647,'Orders Ledger'!$A:$A,'Orders Ledger'!$H:$H,""))</f>
        <v/>
      </c>
      <c r="F647" t="str">
        <f>IF(B647="","",_xlfn.XLOOKUP(B647,'Orders Ledger'!$A:$A,'Orders Ledger'!$F:$F,""))</f>
        <v/>
      </c>
      <c r="G647" t="str">
        <f>IF(B647="","",_xlfn.XLOOKUP(B647,'Orders Ledger'!$A:$A,'Orders Ledger'!$N:$N,0))</f>
        <v/>
      </c>
    </row>
    <row r="648" spans="2:7" x14ac:dyDescent="0.3">
      <c r="B648" t="str">
        <f t="array" ref="B648">IFERROR(INDEX('Orders Ledger'!$A$2:$A$1501, SMALL(IF(('Orders Ledger'!$J$2:$J$1501="disputed")+('Orders Ledger'!$J$2:$J$1501="PENDING_REVIEW"), ROW('Orders Ledger'!$A$2:$A$1501)-ROW('Orders Ledger'!$A$2)+1), ROW(590:590))), "")</f>
        <v/>
      </c>
      <c r="C648" s="11" t="str">
        <f>IF(B648="","",_xlfn.XLOOKUP(B648,'Orders Ledger'!$A:$A,'Orders Ledger'!$B:$B,""))</f>
        <v/>
      </c>
      <c r="D648" t="str">
        <f>IF(B648="","",_xlfn.XLOOKUP(B648,'Orders Ledger'!$A:$A,'Orders Ledger'!$G:$G,""))</f>
        <v/>
      </c>
      <c r="E648" t="str">
        <f>IF(B648="","",_xlfn.XLOOKUP(B648,'Orders Ledger'!$A:$A,'Orders Ledger'!$H:$H,""))</f>
        <v/>
      </c>
      <c r="F648" t="str">
        <f>IF(B648="","",_xlfn.XLOOKUP(B648,'Orders Ledger'!$A:$A,'Orders Ledger'!$F:$F,""))</f>
        <v/>
      </c>
      <c r="G648" t="str">
        <f>IF(B648="","",_xlfn.XLOOKUP(B648,'Orders Ledger'!$A:$A,'Orders Ledger'!$N:$N,0))</f>
        <v/>
      </c>
    </row>
    <row r="649" spans="2:7" x14ac:dyDescent="0.3">
      <c r="B649" t="str">
        <f t="array" ref="B649">IFERROR(INDEX('Orders Ledger'!$A$2:$A$1501, SMALL(IF(('Orders Ledger'!$J$2:$J$1501="disputed")+('Orders Ledger'!$J$2:$J$1501="PENDING_REVIEW"), ROW('Orders Ledger'!$A$2:$A$1501)-ROW('Orders Ledger'!$A$2)+1), ROW(591:591))), "")</f>
        <v/>
      </c>
      <c r="C649" s="11" t="str">
        <f>IF(B649="","",_xlfn.XLOOKUP(B649,'Orders Ledger'!$A:$A,'Orders Ledger'!$B:$B,""))</f>
        <v/>
      </c>
      <c r="D649" t="str">
        <f>IF(B649="","",_xlfn.XLOOKUP(B649,'Orders Ledger'!$A:$A,'Orders Ledger'!$G:$G,""))</f>
        <v/>
      </c>
      <c r="E649" t="str">
        <f>IF(B649="","",_xlfn.XLOOKUP(B649,'Orders Ledger'!$A:$A,'Orders Ledger'!$H:$H,""))</f>
        <v/>
      </c>
      <c r="F649" t="str">
        <f>IF(B649="","",_xlfn.XLOOKUP(B649,'Orders Ledger'!$A:$A,'Orders Ledger'!$F:$F,""))</f>
        <v/>
      </c>
      <c r="G649" t="str">
        <f>IF(B649="","",_xlfn.XLOOKUP(B649,'Orders Ledger'!$A:$A,'Orders Ledger'!$N:$N,0))</f>
        <v/>
      </c>
    </row>
    <row r="650" spans="2:7" x14ac:dyDescent="0.3">
      <c r="B650" t="str">
        <f t="array" ref="B650">IFERROR(INDEX('Orders Ledger'!$A$2:$A$1501, SMALL(IF(('Orders Ledger'!$J$2:$J$1501="disputed")+('Orders Ledger'!$J$2:$J$1501="PENDING_REVIEW"), ROW('Orders Ledger'!$A$2:$A$1501)-ROW('Orders Ledger'!$A$2)+1), ROW(592:592))), "")</f>
        <v/>
      </c>
      <c r="C650" s="11" t="str">
        <f>IF(B650="","",_xlfn.XLOOKUP(B650,'Orders Ledger'!$A:$A,'Orders Ledger'!$B:$B,""))</f>
        <v/>
      </c>
      <c r="D650" t="str">
        <f>IF(B650="","",_xlfn.XLOOKUP(B650,'Orders Ledger'!$A:$A,'Orders Ledger'!$G:$G,""))</f>
        <v/>
      </c>
      <c r="E650" t="str">
        <f>IF(B650="","",_xlfn.XLOOKUP(B650,'Orders Ledger'!$A:$A,'Orders Ledger'!$H:$H,""))</f>
        <v/>
      </c>
      <c r="F650" t="str">
        <f>IF(B650="","",_xlfn.XLOOKUP(B650,'Orders Ledger'!$A:$A,'Orders Ledger'!$F:$F,""))</f>
        <v/>
      </c>
      <c r="G650" t="str">
        <f>IF(B650="","",_xlfn.XLOOKUP(B650,'Orders Ledger'!$A:$A,'Orders Ledger'!$N:$N,0))</f>
        <v/>
      </c>
    </row>
    <row r="651" spans="2:7" x14ac:dyDescent="0.3">
      <c r="B651" t="str">
        <f t="array" ref="B651">IFERROR(INDEX('Orders Ledger'!$A$2:$A$1501, SMALL(IF(('Orders Ledger'!$J$2:$J$1501="disputed")+('Orders Ledger'!$J$2:$J$1501="PENDING_REVIEW"), ROW('Orders Ledger'!$A$2:$A$1501)-ROW('Orders Ledger'!$A$2)+1), ROW(593:593))), "")</f>
        <v/>
      </c>
      <c r="C651" s="11" t="str">
        <f>IF(B651="","",_xlfn.XLOOKUP(B651,'Orders Ledger'!$A:$A,'Orders Ledger'!$B:$B,""))</f>
        <v/>
      </c>
      <c r="D651" t="str">
        <f>IF(B651="","",_xlfn.XLOOKUP(B651,'Orders Ledger'!$A:$A,'Orders Ledger'!$G:$G,""))</f>
        <v/>
      </c>
      <c r="E651" t="str">
        <f>IF(B651="","",_xlfn.XLOOKUP(B651,'Orders Ledger'!$A:$A,'Orders Ledger'!$H:$H,""))</f>
        <v/>
      </c>
      <c r="F651" t="str">
        <f>IF(B651="","",_xlfn.XLOOKUP(B651,'Orders Ledger'!$A:$A,'Orders Ledger'!$F:$F,""))</f>
        <v/>
      </c>
      <c r="G651" t="str">
        <f>IF(B651="","",_xlfn.XLOOKUP(B651,'Orders Ledger'!$A:$A,'Orders Ledger'!$N:$N,0))</f>
        <v/>
      </c>
    </row>
    <row r="652" spans="2:7" x14ac:dyDescent="0.3">
      <c r="B652" t="str">
        <f t="array" ref="B652">IFERROR(INDEX('Orders Ledger'!$A$2:$A$1501, SMALL(IF(('Orders Ledger'!$J$2:$J$1501="disputed")+('Orders Ledger'!$J$2:$J$1501="PENDING_REVIEW"), ROW('Orders Ledger'!$A$2:$A$1501)-ROW('Orders Ledger'!$A$2)+1), ROW(594:594))), "")</f>
        <v/>
      </c>
      <c r="C652" s="11" t="str">
        <f>IF(B652="","",_xlfn.XLOOKUP(B652,'Orders Ledger'!$A:$A,'Orders Ledger'!$B:$B,""))</f>
        <v/>
      </c>
      <c r="D652" t="str">
        <f>IF(B652="","",_xlfn.XLOOKUP(B652,'Orders Ledger'!$A:$A,'Orders Ledger'!$G:$G,""))</f>
        <v/>
      </c>
      <c r="E652" t="str">
        <f>IF(B652="","",_xlfn.XLOOKUP(B652,'Orders Ledger'!$A:$A,'Orders Ledger'!$H:$H,""))</f>
        <v/>
      </c>
      <c r="F652" t="str">
        <f>IF(B652="","",_xlfn.XLOOKUP(B652,'Orders Ledger'!$A:$A,'Orders Ledger'!$F:$F,""))</f>
        <v/>
      </c>
      <c r="G652" t="str">
        <f>IF(B652="","",_xlfn.XLOOKUP(B652,'Orders Ledger'!$A:$A,'Orders Ledger'!$N:$N,0))</f>
        <v/>
      </c>
    </row>
    <row r="653" spans="2:7" x14ac:dyDescent="0.3">
      <c r="B653" t="str">
        <f t="array" ref="B653">IFERROR(INDEX('Orders Ledger'!$A$2:$A$1501, SMALL(IF(('Orders Ledger'!$J$2:$J$1501="disputed")+('Orders Ledger'!$J$2:$J$1501="PENDING_REVIEW"), ROW('Orders Ledger'!$A$2:$A$1501)-ROW('Orders Ledger'!$A$2)+1), ROW(595:595))), "")</f>
        <v/>
      </c>
      <c r="C653" s="11" t="str">
        <f>IF(B653="","",_xlfn.XLOOKUP(B653,'Orders Ledger'!$A:$A,'Orders Ledger'!$B:$B,""))</f>
        <v/>
      </c>
      <c r="D653" t="str">
        <f>IF(B653="","",_xlfn.XLOOKUP(B653,'Orders Ledger'!$A:$A,'Orders Ledger'!$G:$G,""))</f>
        <v/>
      </c>
      <c r="E653" t="str">
        <f>IF(B653="","",_xlfn.XLOOKUP(B653,'Orders Ledger'!$A:$A,'Orders Ledger'!$H:$H,""))</f>
        <v/>
      </c>
      <c r="F653" t="str">
        <f>IF(B653="","",_xlfn.XLOOKUP(B653,'Orders Ledger'!$A:$A,'Orders Ledger'!$F:$F,""))</f>
        <v/>
      </c>
      <c r="G653" t="str">
        <f>IF(B653="","",_xlfn.XLOOKUP(B653,'Orders Ledger'!$A:$A,'Orders Ledger'!$N:$N,0))</f>
        <v/>
      </c>
    </row>
    <row r="654" spans="2:7" x14ac:dyDescent="0.3">
      <c r="B654" t="str">
        <f t="array" ref="B654">IFERROR(INDEX('Orders Ledger'!$A$2:$A$1501, SMALL(IF(('Orders Ledger'!$J$2:$J$1501="disputed")+('Orders Ledger'!$J$2:$J$1501="PENDING_REVIEW"), ROW('Orders Ledger'!$A$2:$A$1501)-ROW('Orders Ledger'!$A$2)+1), ROW(596:596))), "")</f>
        <v/>
      </c>
      <c r="C654" s="11" t="str">
        <f>IF(B654="","",_xlfn.XLOOKUP(B654,'Orders Ledger'!$A:$A,'Orders Ledger'!$B:$B,""))</f>
        <v/>
      </c>
      <c r="D654" t="str">
        <f>IF(B654="","",_xlfn.XLOOKUP(B654,'Orders Ledger'!$A:$A,'Orders Ledger'!$G:$G,""))</f>
        <v/>
      </c>
      <c r="E654" t="str">
        <f>IF(B654="","",_xlfn.XLOOKUP(B654,'Orders Ledger'!$A:$A,'Orders Ledger'!$H:$H,""))</f>
        <v/>
      </c>
      <c r="F654" t="str">
        <f>IF(B654="","",_xlfn.XLOOKUP(B654,'Orders Ledger'!$A:$A,'Orders Ledger'!$F:$F,""))</f>
        <v/>
      </c>
      <c r="G654" t="str">
        <f>IF(B654="","",_xlfn.XLOOKUP(B654,'Orders Ledger'!$A:$A,'Orders Ledger'!$N:$N,0))</f>
        <v/>
      </c>
    </row>
    <row r="655" spans="2:7" x14ac:dyDescent="0.3">
      <c r="B655" t="str">
        <f t="array" ref="B655">IFERROR(INDEX('Orders Ledger'!$A$2:$A$1501, SMALL(IF(('Orders Ledger'!$J$2:$J$1501="disputed")+('Orders Ledger'!$J$2:$J$1501="PENDING_REVIEW"), ROW('Orders Ledger'!$A$2:$A$1501)-ROW('Orders Ledger'!$A$2)+1), ROW(597:597))), "")</f>
        <v/>
      </c>
      <c r="C655" s="11" t="str">
        <f>IF(B655="","",_xlfn.XLOOKUP(B655,'Orders Ledger'!$A:$A,'Orders Ledger'!$B:$B,""))</f>
        <v/>
      </c>
      <c r="D655" t="str">
        <f>IF(B655="","",_xlfn.XLOOKUP(B655,'Orders Ledger'!$A:$A,'Orders Ledger'!$G:$G,""))</f>
        <v/>
      </c>
      <c r="E655" t="str">
        <f>IF(B655="","",_xlfn.XLOOKUP(B655,'Orders Ledger'!$A:$A,'Orders Ledger'!$H:$H,""))</f>
        <v/>
      </c>
      <c r="F655" t="str">
        <f>IF(B655="","",_xlfn.XLOOKUP(B655,'Orders Ledger'!$A:$A,'Orders Ledger'!$F:$F,""))</f>
        <v/>
      </c>
      <c r="G655" t="str">
        <f>IF(B655="","",_xlfn.XLOOKUP(B655,'Orders Ledger'!$A:$A,'Orders Ledger'!$N:$N,0))</f>
        <v/>
      </c>
    </row>
    <row r="656" spans="2:7" x14ac:dyDescent="0.3">
      <c r="B656" t="str">
        <f t="array" ref="B656">IFERROR(INDEX('Orders Ledger'!$A$2:$A$1501, SMALL(IF(('Orders Ledger'!$J$2:$J$1501="disputed")+('Orders Ledger'!$J$2:$J$1501="PENDING_REVIEW"), ROW('Orders Ledger'!$A$2:$A$1501)-ROW('Orders Ledger'!$A$2)+1), ROW(598:598))), "")</f>
        <v/>
      </c>
      <c r="C656" s="11" t="str">
        <f>IF(B656="","",_xlfn.XLOOKUP(B656,'Orders Ledger'!$A:$A,'Orders Ledger'!$B:$B,""))</f>
        <v/>
      </c>
      <c r="D656" t="str">
        <f>IF(B656="","",_xlfn.XLOOKUP(B656,'Orders Ledger'!$A:$A,'Orders Ledger'!$G:$G,""))</f>
        <v/>
      </c>
      <c r="E656" t="str">
        <f>IF(B656="","",_xlfn.XLOOKUP(B656,'Orders Ledger'!$A:$A,'Orders Ledger'!$H:$H,""))</f>
        <v/>
      </c>
      <c r="F656" t="str">
        <f>IF(B656="","",_xlfn.XLOOKUP(B656,'Orders Ledger'!$A:$A,'Orders Ledger'!$F:$F,""))</f>
        <v/>
      </c>
      <c r="G656" t="str">
        <f>IF(B656="","",_xlfn.XLOOKUP(B656,'Orders Ledger'!$A:$A,'Orders Ledger'!$N:$N,0))</f>
        <v/>
      </c>
    </row>
    <row r="657" spans="2:7" x14ac:dyDescent="0.3">
      <c r="B657" t="str">
        <f t="array" ref="B657">IFERROR(INDEX('Orders Ledger'!$A$2:$A$1501, SMALL(IF(('Orders Ledger'!$J$2:$J$1501="disputed")+('Orders Ledger'!$J$2:$J$1501="PENDING_REVIEW"), ROW('Orders Ledger'!$A$2:$A$1501)-ROW('Orders Ledger'!$A$2)+1), ROW(599:599))), "")</f>
        <v/>
      </c>
      <c r="C657" s="11" t="str">
        <f>IF(B657="","",_xlfn.XLOOKUP(B657,'Orders Ledger'!$A:$A,'Orders Ledger'!$B:$B,""))</f>
        <v/>
      </c>
      <c r="D657" t="str">
        <f>IF(B657="","",_xlfn.XLOOKUP(B657,'Orders Ledger'!$A:$A,'Orders Ledger'!$G:$G,""))</f>
        <v/>
      </c>
      <c r="E657" t="str">
        <f>IF(B657="","",_xlfn.XLOOKUP(B657,'Orders Ledger'!$A:$A,'Orders Ledger'!$H:$H,""))</f>
        <v/>
      </c>
      <c r="F657" t="str">
        <f>IF(B657="","",_xlfn.XLOOKUP(B657,'Orders Ledger'!$A:$A,'Orders Ledger'!$F:$F,""))</f>
        <v/>
      </c>
      <c r="G657" t="str">
        <f>IF(B657="","",_xlfn.XLOOKUP(B657,'Orders Ledger'!$A:$A,'Orders Ledger'!$N:$N,0))</f>
        <v/>
      </c>
    </row>
    <row r="658" spans="2:7" x14ac:dyDescent="0.3">
      <c r="B658" t="str">
        <f t="array" ref="B658">IFERROR(INDEX('Orders Ledger'!$A$2:$A$1501, SMALL(IF(('Orders Ledger'!$J$2:$J$1501="disputed")+('Orders Ledger'!$J$2:$J$1501="PENDING_REVIEW"), ROW('Orders Ledger'!$A$2:$A$1501)-ROW('Orders Ledger'!$A$2)+1), ROW(600:600))), "")</f>
        <v/>
      </c>
      <c r="C658" s="11" t="str">
        <f>IF(B658="","",_xlfn.XLOOKUP(B658,'Orders Ledger'!$A:$A,'Orders Ledger'!$B:$B,""))</f>
        <v/>
      </c>
      <c r="D658" t="str">
        <f>IF(B658="","",_xlfn.XLOOKUP(B658,'Orders Ledger'!$A:$A,'Orders Ledger'!$G:$G,""))</f>
        <v/>
      </c>
      <c r="E658" t="str">
        <f>IF(B658="","",_xlfn.XLOOKUP(B658,'Orders Ledger'!$A:$A,'Orders Ledger'!$H:$H,""))</f>
        <v/>
      </c>
      <c r="F658" t="str">
        <f>IF(B658="","",_xlfn.XLOOKUP(B658,'Orders Ledger'!$A:$A,'Orders Ledger'!$F:$F,""))</f>
        <v/>
      </c>
      <c r="G658" t="str">
        <f>IF(B658="","",_xlfn.XLOOKUP(B658,'Orders Ledger'!$A:$A,'Orders Ledger'!$N:$N,0))</f>
        <v/>
      </c>
    </row>
    <row r="659" spans="2:7" x14ac:dyDescent="0.3">
      <c r="B659" t="str">
        <f t="array" ref="B659">IFERROR(INDEX('Orders Ledger'!$A$2:$A$1501, SMALL(IF(('Orders Ledger'!$J$2:$J$1501="disputed")+('Orders Ledger'!$J$2:$J$1501="PENDING_REVIEW"), ROW('Orders Ledger'!$A$2:$A$1501)-ROW('Orders Ledger'!$A$2)+1), ROW(601:601))), "")</f>
        <v/>
      </c>
      <c r="C659" s="11" t="str">
        <f>IF(B659="","",_xlfn.XLOOKUP(B659,'Orders Ledger'!$A:$A,'Orders Ledger'!$B:$B,""))</f>
        <v/>
      </c>
      <c r="D659" t="str">
        <f>IF(B659="","",_xlfn.XLOOKUP(B659,'Orders Ledger'!$A:$A,'Orders Ledger'!$G:$G,""))</f>
        <v/>
      </c>
      <c r="E659" t="str">
        <f>IF(B659="","",_xlfn.XLOOKUP(B659,'Orders Ledger'!$A:$A,'Orders Ledger'!$H:$H,""))</f>
        <v/>
      </c>
      <c r="F659" t="str">
        <f>IF(B659="","",_xlfn.XLOOKUP(B659,'Orders Ledger'!$A:$A,'Orders Ledger'!$F:$F,""))</f>
        <v/>
      </c>
      <c r="G659" t="str">
        <f>IF(B659="","",_xlfn.XLOOKUP(B659,'Orders Ledger'!$A:$A,'Orders Ledger'!$N:$N,0))</f>
        <v/>
      </c>
    </row>
    <row r="660" spans="2:7" x14ac:dyDescent="0.3">
      <c r="B660" t="str">
        <f t="array" ref="B660">IFERROR(INDEX('Orders Ledger'!$A$2:$A$1501, SMALL(IF(('Orders Ledger'!$J$2:$J$1501="disputed")+('Orders Ledger'!$J$2:$J$1501="PENDING_REVIEW"), ROW('Orders Ledger'!$A$2:$A$1501)-ROW('Orders Ledger'!$A$2)+1), ROW(602:602))), "")</f>
        <v/>
      </c>
      <c r="C660" s="11" t="str">
        <f>IF(B660="","",_xlfn.XLOOKUP(B660,'Orders Ledger'!$A:$A,'Orders Ledger'!$B:$B,""))</f>
        <v/>
      </c>
      <c r="D660" t="str">
        <f>IF(B660="","",_xlfn.XLOOKUP(B660,'Orders Ledger'!$A:$A,'Orders Ledger'!$G:$G,""))</f>
        <v/>
      </c>
      <c r="E660" t="str">
        <f>IF(B660="","",_xlfn.XLOOKUP(B660,'Orders Ledger'!$A:$A,'Orders Ledger'!$H:$H,""))</f>
        <v/>
      </c>
      <c r="F660" t="str">
        <f>IF(B660="","",_xlfn.XLOOKUP(B660,'Orders Ledger'!$A:$A,'Orders Ledger'!$F:$F,""))</f>
        <v/>
      </c>
      <c r="G660" t="str">
        <f>IF(B660="","",_xlfn.XLOOKUP(B660,'Orders Ledger'!$A:$A,'Orders Ledger'!$N:$N,0))</f>
        <v/>
      </c>
    </row>
    <row r="661" spans="2:7" x14ac:dyDescent="0.3">
      <c r="B661" t="str">
        <f t="array" ref="B661">IFERROR(INDEX('Orders Ledger'!$A$2:$A$1501, SMALL(IF(('Orders Ledger'!$J$2:$J$1501="disputed")+('Orders Ledger'!$J$2:$J$1501="PENDING_REVIEW"), ROW('Orders Ledger'!$A$2:$A$1501)-ROW('Orders Ledger'!$A$2)+1), ROW(603:603))), "")</f>
        <v/>
      </c>
      <c r="C661" s="11" t="str">
        <f>IF(B661="","",_xlfn.XLOOKUP(B661,'Orders Ledger'!$A:$A,'Orders Ledger'!$B:$B,""))</f>
        <v/>
      </c>
      <c r="D661" t="str">
        <f>IF(B661="","",_xlfn.XLOOKUP(B661,'Orders Ledger'!$A:$A,'Orders Ledger'!$G:$G,""))</f>
        <v/>
      </c>
      <c r="E661" t="str">
        <f>IF(B661="","",_xlfn.XLOOKUP(B661,'Orders Ledger'!$A:$A,'Orders Ledger'!$H:$H,""))</f>
        <v/>
      </c>
      <c r="F661" t="str">
        <f>IF(B661="","",_xlfn.XLOOKUP(B661,'Orders Ledger'!$A:$A,'Orders Ledger'!$F:$F,""))</f>
        <v/>
      </c>
      <c r="G661" t="str">
        <f>IF(B661="","",_xlfn.XLOOKUP(B661,'Orders Ledger'!$A:$A,'Orders Ledger'!$N:$N,0))</f>
        <v/>
      </c>
    </row>
    <row r="662" spans="2:7" x14ac:dyDescent="0.3">
      <c r="B662" t="str">
        <f t="array" ref="B662">IFERROR(INDEX('Orders Ledger'!$A$2:$A$1501, SMALL(IF(('Orders Ledger'!$J$2:$J$1501="disputed")+('Orders Ledger'!$J$2:$J$1501="PENDING_REVIEW"), ROW('Orders Ledger'!$A$2:$A$1501)-ROW('Orders Ledger'!$A$2)+1), ROW(604:604))), "")</f>
        <v/>
      </c>
      <c r="C662" s="11" t="str">
        <f>IF(B662="","",_xlfn.XLOOKUP(B662,'Orders Ledger'!$A:$A,'Orders Ledger'!$B:$B,""))</f>
        <v/>
      </c>
      <c r="D662" t="str">
        <f>IF(B662="","",_xlfn.XLOOKUP(B662,'Orders Ledger'!$A:$A,'Orders Ledger'!$G:$G,""))</f>
        <v/>
      </c>
      <c r="E662" t="str">
        <f>IF(B662="","",_xlfn.XLOOKUP(B662,'Orders Ledger'!$A:$A,'Orders Ledger'!$H:$H,""))</f>
        <v/>
      </c>
      <c r="F662" t="str">
        <f>IF(B662="","",_xlfn.XLOOKUP(B662,'Orders Ledger'!$A:$A,'Orders Ledger'!$F:$F,""))</f>
        <v/>
      </c>
      <c r="G662" t="str">
        <f>IF(B662="","",_xlfn.XLOOKUP(B662,'Orders Ledger'!$A:$A,'Orders Ledger'!$N:$N,0))</f>
        <v/>
      </c>
    </row>
    <row r="663" spans="2:7" x14ac:dyDescent="0.3">
      <c r="B663" t="str">
        <f t="array" ref="B663">IFERROR(INDEX('Orders Ledger'!$A$2:$A$1501, SMALL(IF(('Orders Ledger'!$J$2:$J$1501="disputed")+('Orders Ledger'!$J$2:$J$1501="PENDING_REVIEW"), ROW('Orders Ledger'!$A$2:$A$1501)-ROW('Orders Ledger'!$A$2)+1), ROW(605:605))), "")</f>
        <v/>
      </c>
      <c r="C663" s="11" t="str">
        <f>IF(B663="","",_xlfn.XLOOKUP(B663,'Orders Ledger'!$A:$A,'Orders Ledger'!$B:$B,""))</f>
        <v/>
      </c>
      <c r="D663" t="str">
        <f>IF(B663="","",_xlfn.XLOOKUP(B663,'Orders Ledger'!$A:$A,'Orders Ledger'!$G:$G,""))</f>
        <v/>
      </c>
      <c r="E663" t="str">
        <f>IF(B663="","",_xlfn.XLOOKUP(B663,'Orders Ledger'!$A:$A,'Orders Ledger'!$H:$H,""))</f>
        <v/>
      </c>
      <c r="F663" t="str">
        <f>IF(B663="","",_xlfn.XLOOKUP(B663,'Orders Ledger'!$A:$A,'Orders Ledger'!$F:$F,""))</f>
        <v/>
      </c>
      <c r="G663" t="str">
        <f>IF(B663="","",_xlfn.XLOOKUP(B663,'Orders Ledger'!$A:$A,'Orders Ledger'!$N:$N,0))</f>
        <v/>
      </c>
    </row>
    <row r="664" spans="2:7" x14ac:dyDescent="0.3">
      <c r="B664" t="str">
        <f t="array" ref="B664">IFERROR(INDEX('Orders Ledger'!$A$2:$A$1501, SMALL(IF(('Orders Ledger'!$J$2:$J$1501="disputed")+('Orders Ledger'!$J$2:$J$1501="PENDING_REVIEW"), ROW('Orders Ledger'!$A$2:$A$1501)-ROW('Orders Ledger'!$A$2)+1), ROW(606:606))), "")</f>
        <v/>
      </c>
      <c r="C664" s="11" t="str">
        <f>IF(B664="","",_xlfn.XLOOKUP(B664,'Orders Ledger'!$A:$A,'Orders Ledger'!$B:$B,""))</f>
        <v/>
      </c>
      <c r="D664" t="str">
        <f>IF(B664="","",_xlfn.XLOOKUP(B664,'Orders Ledger'!$A:$A,'Orders Ledger'!$G:$G,""))</f>
        <v/>
      </c>
      <c r="E664" t="str">
        <f>IF(B664="","",_xlfn.XLOOKUP(B664,'Orders Ledger'!$A:$A,'Orders Ledger'!$H:$H,""))</f>
        <v/>
      </c>
      <c r="F664" t="str">
        <f>IF(B664="","",_xlfn.XLOOKUP(B664,'Orders Ledger'!$A:$A,'Orders Ledger'!$F:$F,""))</f>
        <v/>
      </c>
      <c r="G664" t="str">
        <f>IF(B664="","",_xlfn.XLOOKUP(B664,'Orders Ledger'!$A:$A,'Orders Ledger'!$N:$N,0))</f>
        <v/>
      </c>
    </row>
    <row r="665" spans="2:7" x14ac:dyDescent="0.3">
      <c r="B665" t="str">
        <f t="array" ref="B665">IFERROR(INDEX('Orders Ledger'!$A$2:$A$1501, SMALL(IF(('Orders Ledger'!$J$2:$J$1501="disputed")+('Orders Ledger'!$J$2:$J$1501="PENDING_REVIEW"), ROW('Orders Ledger'!$A$2:$A$1501)-ROW('Orders Ledger'!$A$2)+1), ROW(607:607))), "")</f>
        <v/>
      </c>
      <c r="C665" s="11" t="str">
        <f>IF(B665="","",_xlfn.XLOOKUP(B665,'Orders Ledger'!$A:$A,'Orders Ledger'!$B:$B,""))</f>
        <v/>
      </c>
      <c r="D665" t="str">
        <f>IF(B665="","",_xlfn.XLOOKUP(B665,'Orders Ledger'!$A:$A,'Orders Ledger'!$G:$G,""))</f>
        <v/>
      </c>
      <c r="E665" t="str">
        <f>IF(B665="","",_xlfn.XLOOKUP(B665,'Orders Ledger'!$A:$A,'Orders Ledger'!$H:$H,""))</f>
        <v/>
      </c>
      <c r="F665" t="str">
        <f>IF(B665="","",_xlfn.XLOOKUP(B665,'Orders Ledger'!$A:$A,'Orders Ledger'!$F:$F,""))</f>
        <v/>
      </c>
      <c r="G665" t="str">
        <f>IF(B665="","",_xlfn.XLOOKUP(B665,'Orders Ledger'!$A:$A,'Orders Ledger'!$N:$N,0))</f>
        <v/>
      </c>
    </row>
    <row r="666" spans="2:7" x14ac:dyDescent="0.3">
      <c r="B666" t="str">
        <f t="array" ref="B666">IFERROR(INDEX('Orders Ledger'!$A$2:$A$1501, SMALL(IF(('Orders Ledger'!$J$2:$J$1501="disputed")+('Orders Ledger'!$J$2:$J$1501="PENDING_REVIEW"), ROW('Orders Ledger'!$A$2:$A$1501)-ROW('Orders Ledger'!$A$2)+1), ROW(608:608))), "")</f>
        <v/>
      </c>
      <c r="C666" s="11" t="str">
        <f>IF(B666="","",_xlfn.XLOOKUP(B666,'Orders Ledger'!$A:$A,'Orders Ledger'!$B:$B,""))</f>
        <v/>
      </c>
      <c r="D666" t="str">
        <f>IF(B666="","",_xlfn.XLOOKUP(B666,'Orders Ledger'!$A:$A,'Orders Ledger'!$G:$G,""))</f>
        <v/>
      </c>
      <c r="E666" t="str">
        <f>IF(B666="","",_xlfn.XLOOKUP(B666,'Orders Ledger'!$A:$A,'Orders Ledger'!$H:$H,""))</f>
        <v/>
      </c>
      <c r="F666" t="str">
        <f>IF(B666="","",_xlfn.XLOOKUP(B666,'Orders Ledger'!$A:$A,'Orders Ledger'!$F:$F,""))</f>
        <v/>
      </c>
      <c r="G666" t="str">
        <f>IF(B666="","",_xlfn.XLOOKUP(B666,'Orders Ledger'!$A:$A,'Orders Ledger'!$N:$N,0))</f>
        <v/>
      </c>
    </row>
    <row r="667" spans="2:7" x14ac:dyDescent="0.3">
      <c r="B667" t="str">
        <f t="array" ref="B667">IFERROR(INDEX('Orders Ledger'!$A$2:$A$1501, SMALL(IF(('Orders Ledger'!$J$2:$J$1501="disputed")+('Orders Ledger'!$J$2:$J$1501="PENDING_REVIEW"), ROW('Orders Ledger'!$A$2:$A$1501)-ROW('Orders Ledger'!$A$2)+1), ROW(609:609))), "")</f>
        <v/>
      </c>
      <c r="C667" s="11" t="str">
        <f>IF(B667="","",_xlfn.XLOOKUP(B667,'Orders Ledger'!$A:$A,'Orders Ledger'!$B:$B,""))</f>
        <v/>
      </c>
      <c r="D667" t="str">
        <f>IF(B667="","",_xlfn.XLOOKUP(B667,'Orders Ledger'!$A:$A,'Orders Ledger'!$G:$G,""))</f>
        <v/>
      </c>
      <c r="E667" t="str">
        <f>IF(B667="","",_xlfn.XLOOKUP(B667,'Orders Ledger'!$A:$A,'Orders Ledger'!$H:$H,""))</f>
        <v/>
      </c>
      <c r="F667" t="str">
        <f>IF(B667="","",_xlfn.XLOOKUP(B667,'Orders Ledger'!$A:$A,'Orders Ledger'!$F:$F,""))</f>
        <v/>
      </c>
      <c r="G667" t="str">
        <f>IF(B667="","",_xlfn.XLOOKUP(B667,'Orders Ledger'!$A:$A,'Orders Ledger'!$N:$N,0))</f>
        <v/>
      </c>
    </row>
    <row r="668" spans="2:7" x14ac:dyDescent="0.3">
      <c r="B668" t="str">
        <f t="array" ref="B668">IFERROR(INDEX('Orders Ledger'!$A$2:$A$1501, SMALL(IF(('Orders Ledger'!$J$2:$J$1501="disputed")+('Orders Ledger'!$J$2:$J$1501="PENDING_REVIEW"), ROW('Orders Ledger'!$A$2:$A$1501)-ROW('Orders Ledger'!$A$2)+1), ROW(610:610))), "")</f>
        <v/>
      </c>
      <c r="C668" s="11" t="str">
        <f>IF(B668="","",_xlfn.XLOOKUP(B668,'Orders Ledger'!$A:$A,'Orders Ledger'!$B:$B,""))</f>
        <v/>
      </c>
      <c r="D668" t="str">
        <f>IF(B668="","",_xlfn.XLOOKUP(B668,'Orders Ledger'!$A:$A,'Orders Ledger'!$G:$G,""))</f>
        <v/>
      </c>
      <c r="E668" t="str">
        <f>IF(B668="","",_xlfn.XLOOKUP(B668,'Orders Ledger'!$A:$A,'Orders Ledger'!$H:$H,""))</f>
        <v/>
      </c>
      <c r="F668" t="str">
        <f>IF(B668="","",_xlfn.XLOOKUP(B668,'Orders Ledger'!$A:$A,'Orders Ledger'!$F:$F,""))</f>
        <v/>
      </c>
      <c r="G668" t="str">
        <f>IF(B668="","",_xlfn.XLOOKUP(B668,'Orders Ledger'!$A:$A,'Orders Ledger'!$N:$N,0))</f>
        <v/>
      </c>
    </row>
    <row r="669" spans="2:7" x14ac:dyDescent="0.3">
      <c r="B669" t="str">
        <f t="array" ref="B669">IFERROR(INDEX('Orders Ledger'!$A$2:$A$1501, SMALL(IF(('Orders Ledger'!$J$2:$J$1501="disputed")+('Orders Ledger'!$J$2:$J$1501="PENDING_REVIEW"), ROW('Orders Ledger'!$A$2:$A$1501)-ROW('Orders Ledger'!$A$2)+1), ROW(611:611))), "")</f>
        <v/>
      </c>
      <c r="C669" s="11" t="str">
        <f>IF(B669="","",_xlfn.XLOOKUP(B669,'Orders Ledger'!$A:$A,'Orders Ledger'!$B:$B,""))</f>
        <v/>
      </c>
      <c r="D669" t="str">
        <f>IF(B669="","",_xlfn.XLOOKUP(B669,'Orders Ledger'!$A:$A,'Orders Ledger'!$G:$G,""))</f>
        <v/>
      </c>
      <c r="E669" t="str">
        <f>IF(B669="","",_xlfn.XLOOKUP(B669,'Orders Ledger'!$A:$A,'Orders Ledger'!$H:$H,""))</f>
        <v/>
      </c>
      <c r="F669" t="str">
        <f>IF(B669="","",_xlfn.XLOOKUP(B669,'Orders Ledger'!$A:$A,'Orders Ledger'!$F:$F,""))</f>
        <v/>
      </c>
      <c r="G669" t="str">
        <f>IF(B669="","",_xlfn.XLOOKUP(B669,'Orders Ledger'!$A:$A,'Orders Ledger'!$N:$N,0))</f>
        <v/>
      </c>
    </row>
    <row r="670" spans="2:7" x14ac:dyDescent="0.3">
      <c r="B670" t="str">
        <f t="array" ref="B670">IFERROR(INDEX('Orders Ledger'!$A$2:$A$1501, SMALL(IF(('Orders Ledger'!$J$2:$J$1501="disputed")+('Orders Ledger'!$J$2:$J$1501="PENDING_REVIEW"), ROW('Orders Ledger'!$A$2:$A$1501)-ROW('Orders Ledger'!$A$2)+1), ROW(612:612))), "")</f>
        <v/>
      </c>
      <c r="C670" s="11" t="str">
        <f>IF(B670="","",_xlfn.XLOOKUP(B670,'Orders Ledger'!$A:$A,'Orders Ledger'!$B:$B,""))</f>
        <v/>
      </c>
      <c r="D670" t="str">
        <f>IF(B670="","",_xlfn.XLOOKUP(B670,'Orders Ledger'!$A:$A,'Orders Ledger'!$G:$G,""))</f>
        <v/>
      </c>
      <c r="E670" t="str">
        <f>IF(B670="","",_xlfn.XLOOKUP(B670,'Orders Ledger'!$A:$A,'Orders Ledger'!$H:$H,""))</f>
        <v/>
      </c>
      <c r="F670" t="str">
        <f>IF(B670="","",_xlfn.XLOOKUP(B670,'Orders Ledger'!$A:$A,'Orders Ledger'!$F:$F,""))</f>
        <v/>
      </c>
      <c r="G670" t="str">
        <f>IF(B670="","",_xlfn.XLOOKUP(B670,'Orders Ledger'!$A:$A,'Orders Ledger'!$N:$N,0))</f>
        <v/>
      </c>
    </row>
    <row r="671" spans="2:7" x14ac:dyDescent="0.3">
      <c r="B671" t="str">
        <f t="array" ref="B671">IFERROR(INDEX('Orders Ledger'!$A$2:$A$1501, SMALL(IF(('Orders Ledger'!$J$2:$J$1501="disputed")+('Orders Ledger'!$J$2:$J$1501="PENDING_REVIEW"), ROW('Orders Ledger'!$A$2:$A$1501)-ROW('Orders Ledger'!$A$2)+1), ROW(613:613))), "")</f>
        <v/>
      </c>
      <c r="C671" s="11" t="str">
        <f>IF(B671="","",_xlfn.XLOOKUP(B671,'Orders Ledger'!$A:$A,'Orders Ledger'!$B:$B,""))</f>
        <v/>
      </c>
      <c r="D671" t="str">
        <f>IF(B671="","",_xlfn.XLOOKUP(B671,'Orders Ledger'!$A:$A,'Orders Ledger'!$G:$G,""))</f>
        <v/>
      </c>
      <c r="E671" t="str">
        <f>IF(B671="","",_xlfn.XLOOKUP(B671,'Orders Ledger'!$A:$A,'Orders Ledger'!$H:$H,""))</f>
        <v/>
      </c>
      <c r="F671" t="str">
        <f>IF(B671="","",_xlfn.XLOOKUP(B671,'Orders Ledger'!$A:$A,'Orders Ledger'!$F:$F,""))</f>
        <v/>
      </c>
      <c r="G671" t="str">
        <f>IF(B671="","",_xlfn.XLOOKUP(B671,'Orders Ledger'!$A:$A,'Orders Ledger'!$N:$N,0))</f>
        <v/>
      </c>
    </row>
    <row r="672" spans="2:7" x14ac:dyDescent="0.3">
      <c r="B672" t="str">
        <f t="array" ref="B672">IFERROR(INDEX('Orders Ledger'!$A$2:$A$1501, SMALL(IF(('Orders Ledger'!$J$2:$J$1501="disputed")+('Orders Ledger'!$J$2:$J$1501="PENDING_REVIEW"), ROW('Orders Ledger'!$A$2:$A$1501)-ROW('Orders Ledger'!$A$2)+1), ROW(614:614))), "")</f>
        <v/>
      </c>
      <c r="C672" s="11" t="str">
        <f>IF(B672="","",_xlfn.XLOOKUP(B672,'Orders Ledger'!$A:$A,'Orders Ledger'!$B:$B,""))</f>
        <v/>
      </c>
      <c r="D672" t="str">
        <f>IF(B672="","",_xlfn.XLOOKUP(B672,'Orders Ledger'!$A:$A,'Orders Ledger'!$G:$G,""))</f>
        <v/>
      </c>
      <c r="E672" t="str">
        <f>IF(B672="","",_xlfn.XLOOKUP(B672,'Orders Ledger'!$A:$A,'Orders Ledger'!$H:$H,""))</f>
        <v/>
      </c>
      <c r="F672" t="str">
        <f>IF(B672="","",_xlfn.XLOOKUP(B672,'Orders Ledger'!$A:$A,'Orders Ledger'!$F:$F,""))</f>
        <v/>
      </c>
      <c r="G672" t="str">
        <f>IF(B672="","",_xlfn.XLOOKUP(B672,'Orders Ledger'!$A:$A,'Orders Ledger'!$N:$N,0))</f>
        <v/>
      </c>
    </row>
    <row r="673" spans="2:7" x14ac:dyDescent="0.3">
      <c r="B673" t="str">
        <f t="array" ref="B673">IFERROR(INDEX('Orders Ledger'!$A$2:$A$1501, SMALL(IF(('Orders Ledger'!$J$2:$J$1501="disputed")+('Orders Ledger'!$J$2:$J$1501="PENDING_REVIEW"), ROW('Orders Ledger'!$A$2:$A$1501)-ROW('Orders Ledger'!$A$2)+1), ROW(615:615))), "")</f>
        <v/>
      </c>
      <c r="C673" s="11" t="str">
        <f>IF(B673="","",_xlfn.XLOOKUP(B673,'Orders Ledger'!$A:$A,'Orders Ledger'!$B:$B,""))</f>
        <v/>
      </c>
      <c r="D673" t="str">
        <f>IF(B673="","",_xlfn.XLOOKUP(B673,'Orders Ledger'!$A:$A,'Orders Ledger'!$G:$G,""))</f>
        <v/>
      </c>
      <c r="E673" t="str">
        <f>IF(B673="","",_xlfn.XLOOKUP(B673,'Orders Ledger'!$A:$A,'Orders Ledger'!$H:$H,""))</f>
        <v/>
      </c>
      <c r="F673" t="str">
        <f>IF(B673="","",_xlfn.XLOOKUP(B673,'Orders Ledger'!$A:$A,'Orders Ledger'!$F:$F,""))</f>
        <v/>
      </c>
      <c r="G673" t="str">
        <f>IF(B673="","",_xlfn.XLOOKUP(B673,'Orders Ledger'!$A:$A,'Orders Ledger'!$N:$N,0))</f>
        <v/>
      </c>
    </row>
    <row r="674" spans="2:7" x14ac:dyDescent="0.3">
      <c r="B674" t="str">
        <f t="array" ref="B674">IFERROR(INDEX('Orders Ledger'!$A$2:$A$1501, SMALL(IF(('Orders Ledger'!$J$2:$J$1501="disputed")+('Orders Ledger'!$J$2:$J$1501="PENDING_REVIEW"), ROW('Orders Ledger'!$A$2:$A$1501)-ROW('Orders Ledger'!$A$2)+1), ROW(616:616))), "")</f>
        <v/>
      </c>
      <c r="C674" s="11" t="str">
        <f>IF(B674="","",_xlfn.XLOOKUP(B674,'Orders Ledger'!$A:$A,'Orders Ledger'!$B:$B,""))</f>
        <v/>
      </c>
      <c r="D674" t="str">
        <f>IF(B674="","",_xlfn.XLOOKUP(B674,'Orders Ledger'!$A:$A,'Orders Ledger'!$G:$G,""))</f>
        <v/>
      </c>
      <c r="E674" t="str">
        <f>IF(B674="","",_xlfn.XLOOKUP(B674,'Orders Ledger'!$A:$A,'Orders Ledger'!$H:$H,""))</f>
        <v/>
      </c>
      <c r="F674" t="str">
        <f>IF(B674="","",_xlfn.XLOOKUP(B674,'Orders Ledger'!$A:$A,'Orders Ledger'!$F:$F,""))</f>
        <v/>
      </c>
      <c r="G674" t="str">
        <f>IF(B674="","",_xlfn.XLOOKUP(B674,'Orders Ledger'!$A:$A,'Orders Ledger'!$N:$N,0))</f>
        <v/>
      </c>
    </row>
    <row r="675" spans="2:7" x14ac:dyDescent="0.3">
      <c r="B675" t="str">
        <f t="array" ref="B675">IFERROR(INDEX('Orders Ledger'!$A$2:$A$1501, SMALL(IF(('Orders Ledger'!$J$2:$J$1501="disputed")+('Orders Ledger'!$J$2:$J$1501="PENDING_REVIEW"), ROW('Orders Ledger'!$A$2:$A$1501)-ROW('Orders Ledger'!$A$2)+1), ROW(617:617))), "")</f>
        <v/>
      </c>
      <c r="C675" s="11" t="str">
        <f>IF(B675="","",_xlfn.XLOOKUP(B675,'Orders Ledger'!$A:$A,'Orders Ledger'!$B:$B,""))</f>
        <v/>
      </c>
      <c r="D675" t="str">
        <f>IF(B675="","",_xlfn.XLOOKUP(B675,'Orders Ledger'!$A:$A,'Orders Ledger'!$G:$G,""))</f>
        <v/>
      </c>
      <c r="E675" t="str">
        <f>IF(B675="","",_xlfn.XLOOKUP(B675,'Orders Ledger'!$A:$A,'Orders Ledger'!$H:$H,""))</f>
        <v/>
      </c>
      <c r="F675" t="str">
        <f>IF(B675="","",_xlfn.XLOOKUP(B675,'Orders Ledger'!$A:$A,'Orders Ledger'!$F:$F,""))</f>
        <v/>
      </c>
      <c r="G675" t="str">
        <f>IF(B675="","",_xlfn.XLOOKUP(B675,'Orders Ledger'!$A:$A,'Orders Ledger'!$N:$N,0))</f>
        <v/>
      </c>
    </row>
    <row r="676" spans="2:7" x14ac:dyDescent="0.3">
      <c r="B676" t="str">
        <f t="array" ref="B676">IFERROR(INDEX('Orders Ledger'!$A$2:$A$1501, SMALL(IF(('Orders Ledger'!$J$2:$J$1501="disputed")+('Orders Ledger'!$J$2:$J$1501="PENDING_REVIEW"), ROW('Orders Ledger'!$A$2:$A$1501)-ROW('Orders Ledger'!$A$2)+1), ROW(618:618))), "")</f>
        <v/>
      </c>
      <c r="C676" s="11" t="str">
        <f>IF(B676="","",_xlfn.XLOOKUP(B676,'Orders Ledger'!$A:$A,'Orders Ledger'!$B:$B,""))</f>
        <v/>
      </c>
      <c r="D676" t="str">
        <f>IF(B676="","",_xlfn.XLOOKUP(B676,'Orders Ledger'!$A:$A,'Orders Ledger'!$G:$G,""))</f>
        <v/>
      </c>
      <c r="E676" t="str">
        <f>IF(B676="","",_xlfn.XLOOKUP(B676,'Orders Ledger'!$A:$A,'Orders Ledger'!$H:$H,""))</f>
        <v/>
      </c>
      <c r="F676" t="str">
        <f>IF(B676="","",_xlfn.XLOOKUP(B676,'Orders Ledger'!$A:$A,'Orders Ledger'!$F:$F,""))</f>
        <v/>
      </c>
      <c r="G676" t="str">
        <f>IF(B676="","",_xlfn.XLOOKUP(B676,'Orders Ledger'!$A:$A,'Orders Ledger'!$N:$N,0))</f>
        <v/>
      </c>
    </row>
    <row r="677" spans="2:7" x14ac:dyDescent="0.3">
      <c r="B677" t="str">
        <f t="array" ref="B677">IFERROR(INDEX('Orders Ledger'!$A$2:$A$1501, SMALL(IF(('Orders Ledger'!$J$2:$J$1501="disputed")+('Orders Ledger'!$J$2:$J$1501="PENDING_REVIEW"), ROW('Orders Ledger'!$A$2:$A$1501)-ROW('Orders Ledger'!$A$2)+1), ROW(619:619))), "")</f>
        <v/>
      </c>
      <c r="C677" s="11" t="str">
        <f>IF(B677="","",_xlfn.XLOOKUP(B677,'Orders Ledger'!$A:$A,'Orders Ledger'!$B:$B,""))</f>
        <v/>
      </c>
      <c r="D677" t="str">
        <f>IF(B677="","",_xlfn.XLOOKUP(B677,'Orders Ledger'!$A:$A,'Orders Ledger'!$G:$G,""))</f>
        <v/>
      </c>
      <c r="E677" t="str">
        <f>IF(B677="","",_xlfn.XLOOKUP(B677,'Orders Ledger'!$A:$A,'Orders Ledger'!$H:$H,""))</f>
        <v/>
      </c>
      <c r="F677" t="str">
        <f>IF(B677="","",_xlfn.XLOOKUP(B677,'Orders Ledger'!$A:$A,'Orders Ledger'!$F:$F,""))</f>
        <v/>
      </c>
      <c r="G677" t="str">
        <f>IF(B677="","",_xlfn.XLOOKUP(B677,'Orders Ledger'!$A:$A,'Orders Ledger'!$N:$N,0))</f>
        <v/>
      </c>
    </row>
    <row r="678" spans="2:7" x14ac:dyDescent="0.3">
      <c r="B678" t="str">
        <f t="array" ref="B678">IFERROR(INDEX('Orders Ledger'!$A$2:$A$1501, SMALL(IF(('Orders Ledger'!$J$2:$J$1501="disputed")+('Orders Ledger'!$J$2:$J$1501="PENDING_REVIEW"), ROW('Orders Ledger'!$A$2:$A$1501)-ROW('Orders Ledger'!$A$2)+1), ROW(620:620))), "")</f>
        <v/>
      </c>
      <c r="C678" s="11" t="str">
        <f>IF(B678="","",_xlfn.XLOOKUP(B678,'Orders Ledger'!$A:$A,'Orders Ledger'!$B:$B,""))</f>
        <v/>
      </c>
      <c r="D678" t="str">
        <f>IF(B678="","",_xlfn.XLOOKUP(B678,'Orders Ledger'!$A:$A,'Orders Ledger'!$G:$G,""))</f>
        <v/>
      </c>
      <c r="E678" t="str">
        <f>IF(B678="","",_xlfn.XLOOKUP(B678,'Orders Ledger'!$A:$A,'Orders Ledger'!$H:$H,""))</f>
        <v/>
      </c>
      <c r="F678" t="str">
        <f>IF(B678="","",_xlfn.XLOOKUP(B678,'Orders Ledger'!$A:$A,'Orders Ledger'!$F:$F,""))</f>
        <v/>
      </c>
      <c r="G678" t="str">
        <f>IF(B678="","",_xlfn.XLOOKUP(B678,'Orders Ledger'!$A:$A,'Orders Ledger'!$N:$N,0))</f>
        <v/>
      </c>
    </row>
    <row r="679" spans="2:7" x14ac:dyDescent="0.3">
      <c r="B679" t="str">
        <f t="array" ref="B679">IFERROR(INDEX('Orders Ledger'!$A$2:$A$1501, SMALL(IF(('Orders Ledger'!$J$2:$J$1501="disputed")+('Orders Ledger'!$J$2:$J$1501="PENDING_REVIEW"), ROW('Orders Ledger'!$A$2:$A$1501)-ROW('Orders Ledger'!$A$2)+1), ROW(621:621))), "")</f>
        <v/>
      </c>
      <c r="C679" s="11" t="str">
        <f>IF(B679="","",_xlfn.XLOOKUP(B679,'Orders Ledger'!$A:$A,'Orders Ledger'!$B:$B,""))</f>
        <v/>
      </c>
      <c r="D679" t="str">
        <f>IF(B679="","",_xlfn.XLOOKUP(B679,'Orders Ledger'!$A:$A,'Orders Ledger'!$G:$G,""))</f>
        <v/>
      </c>
      <c r="E679" t="str">
        <f>IF(B679="","",_xlfn.XLOOKUP(B679,'Orders Ledger'!$A:$A,'Orders Ledger'!$H:$H,""))</f>
        <v/>
      </c>
      <c r="F679" t="str">
        <f>IF(B679="","",_xlfn.XLOOKUP(B679,'Orders Ledger'!$A:$A,'Orders Ledger'!$F:$F,""))</f>
        <v/>
      </c>
      <c r="G679" t="str">
        <f>IF(B679="","",_xlfn.XLOOKUP(B679,'Orders Ledger'!$A:$A,'Orders Ledger'!$N:$N,0))</f>
        <v/>
      </c>
    </row>
    <row r="680" spans="2:7" x14ac:dyDescent="0.3">
      <c r="B680" t="str">
        <f t="array" ref="B680">IFERROR(INDEX('Orders Ledger'!$A$2:$A$1501, SMALL(IF(('Orders Ledger'!$J$2:$J$1501="disputed")+('Orders Ledger'!$J$2:$J$1501="PENDING_REVIEW"), ROW('Orders Ledger'!$A$2:$A$1501)-ROW('Orders Ledger'!$A$2)+1), ROW(622:622))), "")</f>
        <v/>
      </c>
      <c r="C680" s="11" t="str">
        <f>IF(B680="","",_xlfn.XLOOKUP(B680,'Orders Ledger'!$A:$A,'Orders Ledger'!$B:$B,""))</f>
        <v/>
      </c>
      <c r="D680" t="str">
        <f>IF(B680="","",_xlfn.XLOOKUP(B680,'Orders Ledger'!$A:$A,'Orders Ledger'!$G:$G,""))</f>
        <v/>
      </c>
      <c r="E680" t="str">
        <f>IF(B680="","",_xlfn.XLOOKUP(B680,'Orders Ledger'!$A:$A,'Orders Ledger'!$H:$H,""))</f>
        <v/>
      </c>
      <c r="F680" t="str">
        <f>IF(B680="","",_xlfn.XLOOKUP(B680,'Orders Ledger'!$A:$A,'Orders Ledger'!$F:$F,""))</f>
        <v/>
      </c>
      <c r="G680" t="str">
        <f>IF(B680="","",_xlfn.XLOOKUP(B680,'Orders Ledger'!$A:$A,'Orders Ledger'!$N:$N,0))</f>
        <v/>
      </c>
    </row>
    <row r="681" spans="2:7" x14ac:dyDescent="0.3">
      <c r="B681" t="str">
        <f t="array" ref="B681">IFERROR(INDEX('Orders Ledger'!$A$2:$A$1501, SMALL(IF(('Orders Ledger'!$J$2:$J$1501="disputed")+('Orders Ledger'!$J$2:$J$1501="PENDING_REVIEW"), ROW('Orders Ledger'!$A$2:$A$1501)-ROW('Orders Ledger'!$A$2)+1), ROW(623:623))), "")</f>
        <v/>
      </c>
      <c r="C681" s="11" t="str">
        <f>IF(B681="","",_xlfn.XLOOKUP(B681,'Orders Ledger'!$A:$A,'Orders Ledger'!$B:$B,""))</f>
        <v/>
      </c>
      <c r="D681" t="str">
        <f>IF(B681="","",_xlfn.XLOOKUP(B681,'Orders Ledger'!$A:$A,'Orders Ledger'!$G:$G,""))</f>
        <v/>
      </c>
      <c r="E681" t="str">
        <f>IF(B681="","",_xlfn.XLOOKUP(B681,'Orders Ledger'!$A:$A,'Orders Ledger'!$H:$H,""))</f>
        <v/>
      </c>
      <c r="F681" t="str">
        <f>IF(B681="","",_xlfn.XLOOKUP(B681,'Orders Ledger'!$A:$A,'Orders Ledger'!$F:$F,""))</f>
        <v/>
      </c>
      <c r="G681" t="str">
        <f>IF(B681="","",_xlfn.XLOOKUP(B681,'Orders Ledger'!$A:$A,'Orders Ledger'!$N:$N,0))</f>
        <v/>
      </c>
    </row>
    <row r="682" spans="2:7" x14ac:dyDescent="0.3">
      <c r="B682" t="str">
        <f t="array" ref="B682">IFERROR(INDEX('Orders Ledger'!$A$2:$A$1501, SMALL(IF(('Orders Ledger'!$J$2:$J$1501="disputed")+('Orders Ledger'!$J$2:$J$1501="PENDING_REVIEW"), ROW('Orders Ledger'!$A$2:$A$1501)-ROW('Orders Ledger'!$A$2)+1), ROW(624:624))), "")</f>
        <v/>
      </c>
      <c r="C682" s="11" t="str">
        <f>IF(B682="","",_xlfn.XLOOKUP(B682,'Orders Ledger'!$A:$A,'Orders Ledger'!$B:$B,""))</f>
        <v/>
      </c>
      <c r="D682" t="str">
        <f>IF(B682="","",_xlfn.XLOOKUP(B682,'Orders Ledger'!$A:$A,'Orders Ledger'!$G:$G,""))</f>
        <v/>
      </c>
      <c r="E682" t="str">
        <f>IF(B682="","",_xlfn.XLOOKUP(B682,'Orders Ledger'!$A:$A,'Orders Ledger'!$H:$H,""))</f>
        <v/>
      </c>
      <c r="F682" t="str">
        <f>IF(B682="","",_xlfn.XLOOKUP(B682,'Orders Ledger'!$A:$A,'Orders Ledger'!$F:$F,""))</f>
        <v/>
      </c>
      <c r="G682" t="str">
        <f>IF(B682="","",_xlfn.XLOOKUP(B682,'Orders Ledger'!$A:$A,'Orders Ledger'!$N:$N,0))</f>
        <v/>
      </c>
    </row>
    <row r="683" spans="2:7" x14ac:dyDescent="0.3">
      <c r="B683" t="str">
        <f t="array" ref="B683">IFERROR(INDEX('Orders Ledger'!$A$2:$A$1501, SMALL(IF(('Orders Ledger'!$J$2:$J$1501="disputed")+('Orders Ledger'!$J$2:$J$1501="PENDING_REVIEW"), ROW('Orders Ledger'!$A$2:$A$1501)-ROW('Orders Ledger'!$A$2)+1), ROW(625:625))), "")</f>
        <v/>
      </c>
      <c r="C683" s="11" t="str">
        <f>IF(B683="","",_xlfn.XLOOKUP(B683,'Orders Ledger'!$A:$A,'Orders Ledger'!$B:$B,""))</f>
        <v/>
      </c>
      <c r="D683" t="str">
        <f>IF(B683="","",_xlfn.XLOOKUP(B683,'Orders Ledger'!$A:$A,'Orders Ledger'!$G:$G,""))</f>
        <v/>
      </c>
      <c r="E683" t="str">
        <f>IF(B683="","",_xlfn.XLOOKUP(B683,'Orders Ledger'!$A:$A,'Orders Ledger'!$H:$H,""))</f>
        <v/>
      </c>
      <c r="F683" t="str">
        <f>IF(B683="","",_xlfn.XLOOKUP(B683,'Orders Ledger'!$A:$A,'Orders Ledger'!$F:$F,""))</f>
        <v/>
      </c>
      <c r="G683" t="str">
        <f>IF(B683="","",_xlfn.XLOOKUP(B683,'Orders Ledger'!$A:$A,'Orders Ledger'!$N:$N,0))</f>
        <v/>
      </c>
    </row>
    <row r="684" spans="2:7" x14ac:dyDescent="0.3">
      <c r="B684" t="str">
        <f t="array" ref="B684">IFERROR(INDEX('Orders Ledger'!$A$2:$A$1501, SMALL(IF(('Orders Ledger'!$J$2:$J$1501="disputed")+('Orders Ledger'!$J$2:$J$1501="PENDING_REVIEW"), ROW('Orders Ledger'!$A$2:$A$1501)-ROW('Orders Ledger'!$A$2)+1), ROW(626:626))), "")</f>
        <v/>
      </c>
      <c r="C684" s="11" t="str">
        <f>IF(B684="","",_xlfn.XLOOKUP(B684,'Orders Ledger'!$A:$A,'Orders Ledger'!$B:$B,""))</f>
        <v/>
      </c>
      <c r="D684" t="str">
        <f>IF(B684="","",_xlfn.XLOOKUP(B684,'Orders Ledger'!$A:$A,'Orders Ledger'!$G:$G,""))</f>
        <v/>
      </c>
      <c r="E684" t="str">
        <f>IF(B684="","",_xlfn.XLOOKUP(B684,'Orders Ledger'!$A:$A,'Orders Ledger'!$H:$H,""))</f>
        <v/>
      </c>
      <c r="F684" t="str">
        <f>IF(B684="","",_xlfn.XLOOKUP(B684,'Orders Ledger'!$A:$A,'Orders Ledger'!$F:$F,""))</f>
        <v/>
      </c>
      <c r="G684" t="str">
        <f>IF(B684="","",_xlfn.XLOOKUP(B684,'Orders Ledger'!$A:$A,'Orders Ledger'!$N:$N,0))</f>
        <v/>
      </c>
    </row>
    <row r="685" spans="2:7" x14ac:dyDescent="0.3">
      <c r="B685" t="str">
        <f t="array" ref="B685">IFERROR(INDEX('Orders Ledger'!$A$2:$A$1501, SMALL(IF(('Orders Ledger'!$J$2:$J$1501="disputed")+('Orders Ledger'!$J$2:$J$1501="PENDING_REVIEW"), ROW('Orders Ledger'!$A$2:$A$1501)-ROW('Orders Ledger'!$A$2)+1), ROW(627:627))), "")</f>
        <v/>
      </c>
      <c r="C685" s="11" t="str">
        <f>IF(B685="","",_xlfn.XLOOKUP(B685,'Orders Ledger'!$A:$A,'Orders Ledger'!$B:$B,""))</f>
        <v/>
      </c>
      <c r="D685" t="str">
        <f>IF(B685="","",_xlfn.XLOOKUP(B685,'Orders Ledger'!$A:$A,'Orders Ledger'!$G:$G,""))</f>
        <v/>
      </c>
      <c r="E685" t="str">
        <f>IF(B685="","",_xlfn.XLOOKUP(B685,'Orders Ledger'!$A:$A,'Orders Ledger'!$H:$H,""))</f>
        <v/>
      </c>
      <c r="F685" t="str">
        <f>IF(B685="","",_xlfn.XLOOKUP(B685,'Orders Ledger'!$A:$A,'Orders Ledger'!$F:$F,""))</f>
        <v/>
      </c>
      <c r="G685" t="str">
        <f>IF(B685="","",_xlfn.XLOOKUP(B685,'Orders Ledger'!$A:$A,'Orders Ledger'!$N:$N,0))</f>
        <v/>
      </c>
    </row>
    <row r="686" spans="2:7" x14ac:dyDescent="0.3">
      <c r="B686" t="str">
        <f t="array" ref="B686">IFERROR(INDEX('Orders Ledger'!$A$2:$A$1501, SMALL(IF(('Orders Ledger'!$J$2:$J$1501="disputed")+('Orders Ledger'!$J$2:$J$1501="PENDING_REVIEW"), ROW('Orders Ledger'!$A$2:$A$1501)-ROW('Orders Ledger'!$A$2)+1), ROW(628:628))), "")</f>
        <v/>
      </c>
      <c r="C686" s="11" t="str">
        <f>IF(B686="","",_xlfn.XLOOKUP(B686,'Orders Ledger'!$A:$A,'Orders Ledger'!$B:$B,""))</f>
        <v/>
      </c>
      <c r="D686" t="str">
        <f>IF(B686="","",_xlfn.XLOOKUP(B686,'Orders Ledger'!$A:$A,'Orders Ledger'!$G:$G,""))</f>
        <v/>
      </c>
      <c r="E686" t="str">
        <f>IF(B686="","",_xlfn.XLOOKUP(B686,'Orders Ledger'!$A:$A,'Orders Ledger'!$H:$H,""))</f>
        <v/>
      </c>
      <c r="F686" t="str">
        <f>IF(B686="","",_xlfn.XLOOKUP(B686,'Orders Ledger'!$A:$A,'Orders Ledger'!$F:$F,""))</f>
        <v/>
      </c>
      <c r="G686" t="str">
        <f>IF(B686="","",_xlfn.XLOOKUP(B686,'Orders Ledger'!$A:$A,'Orders Ledger'!$N:$N,0))</f>
        <v/>
      </c>
    </row>
    <row r="687" spans="2:7" x14ac:dyDescent="0.3">
      <c r="B687" t="str">
        <f t="array" ref="B687">IFERROR(INDEX('Orders Ledger'!$A$2:$A$1501, SMALL(IF(('Orders Ledger'!$J$2:$J$1501="disputed")+('Orders Ledger'!$J$2:$J$1501="PENDING_REVIEW"), ROW('Orders Ledger'!$A$2:$A$1501)-ROW('Orders Ledger'!$A$2)+1), ROW(629:629))), "")</f>
        <v/>
      </c>
      <c r="C687" s="11" t="str">
        <f>IF(B687="","",_xlfn.XLOOKUP(B687,'Orders Ledger'!$A:$A,'Orders Ledger'!$B:$B,""))</f>
        <v/>
      </c>
      <c r="D687" t="str">
        <f>IF(B687="","",_xlfn.XLOOKUP(B687,'Orders Ledger'!$A:$A,'Orders Ledger'!$G:$G,""))</f>
        <v/>
      </c>
      <c r="E687" t="str">
        <f>IF(B687="","",_xlfn.XLOOKUP(B687,'Orders Ledger'!$A:$A,'Orders Ledger'!$H:$H,""))</f>
        <v/>
      </c>
      <c r="F687" t="str">
        <f>IF(B687="","",_xlfn.XLOOKUP(B687,'Orders Ledger'!$A:$A,'Orders Ledger'!$F:$F,""))</f>
        <v/>
      </c>
      <c r="G687" t="str">
        <f>IF(B687="","",_xlfn.XLOOKUP(B687,'Orders Ledger'!$A:$A,'Orders Ledger'!$N:$N,0))</f>
        <v/>
      </c>
    </row>
    <row r="688" spans="2:7" x14ac:dyDescent="0.3">
      <c r="B688" t="str">
        <f t="array" ref="B688">IFERROR(INDEX('Orders Ledger'!$A$2:$A$1501, SMALL(IF(('Orders Ledger'!$J$2:$J$1501="disputed")+('Orders Ledger'!$J$2:$J$1501="PENDING_REVIEW"), ROW('Orders Ledger'!$A$2:$A$1501)-ROW('Orders Ledger'!$A$2)+1), ROW(630:630))), "")</f>
        <v/>
      </c>
      <c r="C688" s="11" t="str">
        <f>IF(B688="","",_xlfn.XLOOKUP(B688,'Orders Ledger'!$A:$A,'Orders Ledger'!$B:$B,""))</f>
        <v/>
      </c>
      <c r="D688" t="str">
        <f>IF(B688="","",_xlfn.XLOOKUP(B688,'Orders Ledger'!$A:$A,'Orders Ledger'!$G:$G,""))</f>
        <v/>
      </c>
      <c r="E688" t="str">
        <f>IF(B688="","",_xlfn.XLOOKUP(B688,'Orders Ledger'!$A:$A,'Orders Ledger'!$H:$H,""))</f>
        <v/>
      </c>
      <c r="F688" t="str">
        <f>IF(B688="","",_xlfn.XLOOKUP(B688,'Orders Ledger'!$A:$A,'Orders Ledger'!$F:$F,""))</f>
        <v/>
      </c>
      <c r="G688" t="str">
        <f>IF(B688="","",_xlfn.XLOOKUP(B688,'Orders Ledger'!$A:$A,'Orders Ledger'!$N:$N,0))</f>
        <v/>
      </c>
    </row>
    <row r="689" spans="2:7" x14ac:dyDescent="0.3">
      <c r="B689" t="str">
        <f t="array" ref="B689">IFERROR(INDEX('Orders Ledger'!$A$2:$A$1501, SMALL(IF(('Orders Ledger'!$J$2:$J$1501="disputed")+('Orders Ledger'!$J$2:$J$1501="PENDING_REVIEW"), ROW('Orders Ledger'!$A$2:$A$1501)-ROW('Orders Ledger'!$A$2)+1), ROW(631:631))), "")</f>
        <v/>
      </c>
      <c r="C689" s="11" t="str">
        <f>IF(B689="","",_xlfn.XLOOKUP(B689,'Orders Ledger'!$A:$A,'Orders Ledger'!$B:$B,""))</f>
        <v/>
      </c>
      <c r="D689" t="str">
        <f>IF(B689="","",_xlfn.XLOOKUP(B689,'Orders Ledger'!$A:$A,'Orders Ledger'!$G:$G,""))</f>
        <v/>
      </c>
      <c r="E689" t="str">
        <f>IF(B689="","",_xlfn.XLOOKUP(B689,'Orders Ledger'!$A:$A,'Orders Ledger'!$H:$H,""))</f>
        <v/>
      </c>
      <c r="F689" t="str">
        <f>IF(B689="","",_xlfn.XLOOKUP(B689,'Orders Ledger'!$A:$A,'Orders Ledger'!$F:$F,""))</f>
        <v/>
      </c>
      <c r="G689" t="str">
        <f>IF(B689="","",_xlfn.XLOOKUP(B689,'Orders Ledger'!$A:$A,'Orders Ledger'!$N:$N,0))</f>
        <v/>
      </c>
    </row>
    <row r="690" spans="2:7" x14ac:dyDescent="0.3">
      <c r="B690" t="str">
        <f t="array" ref="B690">IFERROR(INDEX('Orders Ledger'!$A$2:$A$1501, SMALL(IF(('Orders Ledger'!$J$2:$J$1501="disputed")+('Orders Ledger'!$J$2:$J$1501="PENDING_REVIEW"), ROW('Orders Ledger'!$A$2:$A$1501)-ROW('Orders Ledger'!$A$2)+1), ROW(632:632))), "")</f>
        <v/>
      </c>
      <c r="C690" s="11" t="str">
        <f>IF(B690="","",_xlfn.XLOOKUP(B690,'Orders Ledger'!$A:$A,'Orders Ledger'!$B:$B,""))</f>
        <v/>
      </c>
      <c r="D690" t="str">
        <f>IF(B690="","",_xlfn.XLOOKUP(B690,'Orders Ledger'!$A:$A,'Orders Ledger'!$G:$G,""))</f>
        <v/>
      </c>
      <c r="E690" t="str">
        <f>IF(B690="","",_xlfn.XLOOKUP(B690,'Orders Ledger'!$A:$A,'Orders Ledger'!$H:$H,""))</f>
        <v/>
      </c>
      <c r="F690" t="str">
        <f>IF(B690="","",_xlfn.XLOOKUP(B690,'Orders Ledger'!$A:$A,'Orders Ledger'!$F:$F,""))</f>
        <v/>
      </c>
      <c r="G690" t="str">
        <f>IF(B690="","",_xlfn.XLOOKUP(B690,'Orders Ledger'!$A:$A,'Orders Ledger'!$N:$N,0))</f>
        <v/>
      </c>
    </row>
    <row r="691" spans="2:7" x14ac:dyDescent="0.3">
      <c r="B691" t="str">
        <f t="array" ref="B691">IFERROR(INDEX('Orders Ledger'!$A$2:$A$1501, SMALL(IF(('Orders Ledger'!$J$2:$J$1501="disputed")+('Orders Ledger'!$J$2:$J$1501="PENDING_REVIEW"), ROW('Orders Ledger'!$A$2:$A$1501)-ROW('Orders Ledger'!$A$2)+1), ROW(633:633))), "")</f>
        <v/>
      </c>
      <c r="C691" s="11" t="str">
        <f>IF(B691="","",_xlfn.XLOOKUP(B691,'Orders Ledger'!$A:$A,'Orders Ledger'!$B:$B,""))</f>
        <v/>
      </c>
      <c r="D691" t="str">
        <f>IF(B691="","",_xlfn.XLOOKUP(B691,'Orders Ledger'!$A:$A,'Orders Ledger'!$G:$G,""))</f>
        <v/>
      </c>
      <c r="E691" t="str">
        <f>IF(B691="","",_xlfn.XLOOKUP(B691,'Orders Ledger'!$A:$A,'Orders Ledger'!$H:$H,""))</f>
        <v/>
      </c>
      <c r="F691" t="str">
        <f>IF(B691="","",_xlfn.XLOOKUP(B691,'Orders Ledger'!$A:$A,'Orders Ledger'!$F:$F,""))</f>
        <v/>
      </c>
      <c r="G691" t="str">
        <f>IF(B691="","",_xlfn.XLOOKUP(B691,'Orders Ledger'!$A:$A,'Orders Ledger'!$N:$N,0))</f>
        <v/>
      </c>
    </row>
    <row r="692" spans="2:7" x14ac:dyDescent="0.3">
      <c r="B692" t="str">
        <f t="array" ref="B692">IFERROR(INDEX('Orders Ledger'!$A$2:$A$1501, SMALL(IF(('Orders Ledger'!$J$2:$J$1501="disputed")+('Orders Ledger'!$J$2:$J$1501="PENDING_REVIEW"), ROW('Orders Ledger'!$A$2:$A$1501)-ROW('Orders Ledger'!$A$2)+1), ROW(634:634))), "")</f>
        <v/>
      </c>
      <c r="C692" s="11" t="str">
        <f>IF(B692="","",_xlfn.XLOOKUP(B692,'Orders Ledger'!$A:$A,'Orders Ledger'!$B:$B,""))</f>
        <v/>
      </c>
      <c r="D692" t="str">
        <f>IF(B692="","",_xlfn.XLOOKUP(B692,'Orders Ledger'!$A:$A,'Orders Ledger'!$G:$G,""))</f>
        <v/>
      </c>
      <c r="E692" t="str">
        <f>IF(B692="","",_xlfn.XLOOKUP(B692,'Orders Ledger'!$A:$A,'Orders Ledger'!$H:$H,""))</f>
        <v/>
      </c>
      <c r="F692" t="str">
        <f>IF(B692="","",_xlfn.XLOOKUP(B692,'Orders Ledger'!$A:$A,'Orders Ledger'!$F:$F,""))</f>
        <v/>
      </c>
      <c r="G692" t="str">
        <f>IF(B692="","",_xlfn.XLOOKUP(B692,'Orders Ledger'!$A:$A,'Orders Ledger'!$N:$N,0))</f>
        <v/>
      </c>
    </row>
    <row r="693" spans="2:7" x14ac:dyDescent="0.3">
      <c r="B693" t="str">
        <f t="array" ref="B693">IFERROR(INDEX('Orders Ledger'!$A$2:$A$1501, SMALL(IF(('Orders Ledger'!$J$2:$J$1501="disputed")+('Orders Ledger'!$J$2:$J$1501="PENDING_REVIEW"), ROW('Orders Ledger'!$A$2:$A$1501)-ROW('Orders Ledger'!$A$2)+1), ROW(635:635))), "")</f>
        <v/>
      </c>
      <c r="C693" s="11" t="str">
        <f>IF(B693="","",_xlfn.XLOOKUP(B693,'Orders Ledger'!$A:$A,'Orders Ledger'!$B:$B,""))</f>
        <v/>
      </c>
      <c r="D693" t="str">
        <f>IF(B693="","",_xlfn.XLOOKUP(B693,'Orders Ledger'!$A:$A,'Orders Ledger'!$G:$G,""))</f>
        <v/>
      </c>
      <c r="E693" t="str">
        <f>IF(B693="","",_xlfn.XLOOKUP(B693,'Orders Ledger'!$A:$A,'Orders Ledger'!$H:$H,""))</f>
        <v/>
      </c>
      <c r="F693" t="str">
        <f>IF(B693="","",_xlfn.XLOOKUP(B693,'Orders Ledger'!$A:$A,'Orders Ledger'!$F:$F,""))</f>
        <v/>
      </c>
      <c r="G693" t="str">
        <f>IF(B693="","",_xlfn.XLOOKUP(B693,'Orders Ledger'!$A:$A,'Orders Ledger'!$N:$N,0))</f>
        <v/>
      </c>
    </row>
    <row r="694" spans="2:7" x14ac:dyDescent="0.3">
      <c r="B694" t="str">
        <f t="array" ref="B694">IFERROR(INDEX('Orders Ledger'!$A$2:$A$1501, SMALL(IF(('Orders Ledger'!$J$2:$J$1501="disputed")+('Orders Ledger'!$J$2:$J$1501="PENDING_REVIEW"), ROW('Orders Ledger'!$A$2:$A$1501)-ROW('Orders Ledger'!$A$2)+1), ROW(636:636))), "")</f>
        <v/>
      </c>
      <c r="C694" s="11" t="str">
        <f>IF(B694="","",_xlfn.XLOOKUP(B694,'Orders Ledger'!$A:$A,'Orders Ledger'!$B:$B,""))</f>
        <v/>
      </c>
      <c r="D694" t="str">
        <f>IF(B694="","",_xlfn.XLOOKUP(B694,'Orders Ledger'!$A:$A,'Orders Ledger'!$G:$G,""))</f>
        <v/>
      </c>
      <c r="E694" t="str">
        <f>IF(B694="","",_xlfn.XLOOKUP(B694,'Orders Ledger'!$A:$A,'Orders Ledger'!$H:$H,""))</f>
        <v/>
      </c>
      <c r="F694" t="str">
        <f>IF(B694="","",_xlfn.XLOOKUP(B694,'Orders Ledger'!$A:$A,'Orders Ledger'!$F:$F,""))</f>
        <v/>
      </c>
      <c r="G694" t="str">
        <f>IF(B694="","",_xlfn.XLOOKUP(B694,'Orders Ledger'!$A:$A,'Orders Ledger'!$N:$N,0))</f>
        <v/>
      </c>
    </row>
    <row r="695" spans="2:7" x14ac:dyDescent="0.3">
      <c r="B695" t="str">
        <f t="array" ref="B695">IFERROR(INDEX('Orders Ledger'!$A$2:$A$1501, SMALL(IF(('Orders Ledger'!$J$2:$J$1501="disputed")+('Orders Ledger'!$J$2:$J$1501="PENDING_REVIEW"), ROW('Orders Ledger'!$A$2:$A$1501)-ROW('Orders Ledger'!$A$2)+1), ROW(637:637))), "")</f>
        <v/>
      </c>
      <c r="C695" s="11" t="str">
        <f>IF(B695="","",_xlfn.XLOOKUP(B695,'Orders Ledger'!$A:$A,'Orders Ledger'!$B:$B,""))</f>
        <v/>
      </c>
      <c r="D695" t="str">
        <f>IF(B695="","",_xlfn.XLOOKUP(B695,'Orders Ledger'!$A:$A,'Orders Ledger'!$G:$G,""))</f>
        <v/>
      </c>
      <c r="E695" t="str">
        <f>IF(B695="","",_xlfn.XLOOKUP(B695,'Orders Ledger'!$A:$A,'Orders Ledger'!$H:$H,""))</f>
        <v/>
      </c>
      <c r="F695" t="str">
        <f>IF(B695="","",_xlfn.XLOOKUP(B695,'Orders Ledger'!$A:$A,'Orders Ledger'!$F:$F,""))</f>
        <v/>
      </c>
      <c r="G695" t="str">
        <f>IF(B695="","",_xlfn.XLOOKUP(B695,'Orders Ledger'!$A:$A,'Orders Ledger'!$N:$N,0))</f>
        <v/>
      </c>
    </row>
    <row r="696" spans="2:7" x14ac:dyDescent="0.3">
      <c r="B696" t="str">
        <f t="array" ref="B696">IFERROR(INDEX('Orders Ledger'!$A$2:$A$1501, SMALL(IF(('Orders Ledger'!$J$2:$J$1501="disputed")+('Orders Ledger'!$J$2:$J$1501="PENDING_REVIEW"), ROW('Orders Ledger'!$A$2:$A$1501)-ROW('Orders Ledger'!$A$2)+1), ROW(638:638))), "")</f>
        <v/>
      </c>
      <c r="C696" s="11" t="str">
        <f>IF(B696="","",_xlfn.XLOOKUP(B696,'Orders Ledger'!$A:$A,'Orders Ledger'!$B:$B,""))</f>
        <v/>
      </c>
      <c r="D696" t="str">
        <f>IF(B696="","",_xlfn.XLOOKUP(B696,'Orders Ledger'!$A:$A,'Orders Ledger'!$G:$G,""))</f>
        <v/>
      </c>
      <c r="E696" t="str">
        <f>IF(B696="","",_xlfn.XLOOKUP(B696,'Orders Ledger'!$A:$A,'Orders Ledger'!$H:$H,""))</f>
        <v/>
      </c>
      <c r="F696" t="str">
        <f>IF(B696="","",_xlfn.XLOOKUP(B696,'Orders Ledger'!$A:$A,'Orders Ledger'!$F:$F,""))</f>
        <v/>
      </c>
      <c r="G696" t="str">
        <f>IF(B696="","",_xlfn.XLOOKUP(B696,'Orders Ledger'!$A:$A,'Orders Ledger'!$N:$N,0))</f>
        <v/>
      </c>
    </row>
    <row r="697" spans="2:7" x14ac:dyDescent="0.3">
      <c r="B697" t="str">
        <f t="array" ref="B697">IFERROR(INDEX('Orders Ledger'!$A$2:$A$1501, SMALL(IF(('Orders Ledger'!$J$2:$J$1501="disputed")+('Orders Ledger'!$J$2:$J$1501="PENDING_REVIEW"), ROW('Orders Ledger'!$A$2:$A$1501)-ROW('Orders Ledger'!$A$2)+1), ROW(639:639))), "")</f>
        <v/>
      </c>
      <c r="C697" s="11" t="str">
        <f>IF(B697="","",_xlfn.XLOOKUP(B697,'Orders Ledger'!$A:$A,'Orders Ledger'!$B:$B,""))</f>
        <v/>
      </c>
      <c r="D697" t="str">
        <f>IF(B697="","",_xlfn.XLOOKUP(B697,'Orders Ledger'!$A:$A,'Orders Ledger'!$G:$G,""))</f>
        <v/>
      </c>
      <c r="E697" t="str">
        <f>IF(B697="","",_xlfn.XLOOKUP(B697,'Orders Ledger'!$A:$A,'Orders Ledger'!$H:$H,""))</f>
        <v/>
      </c>
      <c r="F697" t="str">
        <f>IF(B697="","",_xlfn.XLOOKUP(B697,'Orders Ledger'!$A:$A,'Orders Ledger'!$F:$F,""))</f>
        <v/>
      </c>
      <c r="G697" t="str">
        <f>IF(B697="","",_xlfn.XLOOKUP(B697,'Orders Ledger'!$A:$A,'Orders Ledger'!$N:$N,0))</f>
        <v/>
      </c>
    </row>
    <row r="698" spans="2:7" x14ac:dyDescent="0.3">
      <c r="B698" t="str">
        <f t="array" ref="B698">IFERROR(INDEX('Orders Ledger'!$A$2:$A$1501, SMALL(IF(('Orders Ledger'!$J$2:$J$1501="disputed")+('Orders Ledger'!$J$2:$J$1501="PENDING_REVIEW"), ROW('Orders Ledger'!$A$2:$A$1501)-ROW('Orders Ledger'!$A$2)+1), ROW(640:640))), "")</f>
        <v/>
      </c>
      <c r="C698" s="11" t="str">
        <f>IF(B698="","",_xlfn.XLOOKUP(B698,'Orders Ledger'!$A:$A,'Orders Ledger'!$B:$B,""))</f>
        <v/>
      </c>
      <c r="D698" t="str">
        <f>IF(B698="","",_xlfn.XLOOKUP(B698,'Orders Ledger'!$A:$A,'Orders Ledger'!$G:$G,""))</f>
        <v/>
      </c>
      <c r="E698" t="str">
        <f>IF(B698="","",_xlfn.XLOOKUP(B698,'Orders Ledger'!$A:$A,'Orders Ledger'!$H:$H,""))</f>
        <v/>
      </c>
      <c r="F698" t="str">
        <f>IF(B698="","",_xlfn.XLOOKUP(B698,'Orders Ledger'!$A:$A,'Orders Ledger'!$F:$F,""))</f>
        <v/>
      </c>
      <c r="G698" t="str">
        <f>IF(B698="","",_xlfn.XLOOKUP(B698,'Orders Ledger'!$A:$A,'Orders Ledger'!$N:$N,0))</f>
        <v/>
      </c>
    </row>
    <row r="699" spans="2:7" x14ac:dyDescent="0.3">
      <c r="B699" t="str">
        <f t="array" ref="B699">IFERROR(INDEX('Orders Ledger'!$A$2:$A$1501, SMALL(IF(('Orders Ledger'!$J$2:$J$1501="disputed")+('Orders Ledger'!$J$2:$J$1501="PENDING_REVIEW"), ROW('Orders Ledger'!$A$2:$A$1501)-ROW('Orders Ledger'!$A$2)+1), ROW(641:641))), "")</f>
        <v/>
      </c>
      <c r="C699" s="11" t="str">
        <f>IF(B699="","",_xlfn.XLOOKUP(B699,'Orders Ledger'!$A:$A,'Orders Ledger'!$B:$B,""))</f>
        <v/>
      </c>
      <c r="D699" t="str">
        <f>IF(B699="","",_xlfn.XLOOKUP(B699,'Orders Ledger'!$A:$A,'Orders Ledger'!$G:$G,""))</f>
        <v/>
      </c>
      <c r="E699" t="str">
        <f>IF(B699="","",_xlfn.XLOOKUP(B699,'Orders Ledger'!$A:$A,'Orders Ledger'!$H:$H,""))</f>
        <v/>
      </c>
      <c r="F699" t="str">
        <f>IF(B699="","",_xlfn.XLOOKUP(B699,'Orders Ledger'!$A:$A,'Orders Ledger'!$F:$F,""))</f>
        <v/>
      </c>
      <c r="G699" t="str">
        <f>IF(B699="","",_xlfn.XLOOKUP(B699,'Orders Ledger'!$A:$A,'Orders Ledger'!$N:$N,0))</f>
        <v/>
      </c>
    </row>
    <row r="700" spans="2:7" x14ac:dyDescent="0.3">
      <c r="B700" t="str">
        <f t="array" ref="B700">IFERROR(INDEX('Orders Ledger'!$A$2:$A$1501, SMALL(IF(('Orders Ledger'!$J$2:$J$1501="disputed")+('Orders Ledger'!$J$2:$J$1501="PENDING_REVIEW"), ROW('Orders Ledger'!$A$2:$A$1501)-ROW('Orders Ledger'!$A$2)+1), ROW(642:642))), "")</f>
        <v/>
      </c>
      <c r="C700" s="11" t="str">
        <f>IF(B700="","",_xlfn.XLOOKUP(B700,'Orders Ledger'!$A:$A,'Orders Ledger'!$B:$B,""))</f>
        <v/>
      </c>
      <c r="D700" t="str">
        <f>IF(B700="","",_xlfn.XLOOKUP(B700,'Orders Ledger'!$A:$A,'Orders Ledger'!$G:$G,""))</f>
        <v/>
      </c>
      <c r="E700" t="str">
        <f>IF(B700="","",_xlfn.XLOOKUP(B700,'Orders Ledger'!$A:$A,'Orders Ledger'!$H:$H,""))</f>
        <v/>
      </c>
      <c r="F700" t="str">
        <f>IF(B700="","",_xlfn.XLOOKUP(B700,'Orders Ledger'!$A:$A,'Orders Ledger'!$F:$F,""))</f>
        <v/>
      </c>
      <c r="G700" t="str">
        <f>IF(B700="","",_xlfn.XLOOKUP(B700,'Orders Ledger'!$A:$A,'Orders Ledger'!$N:$N,0))</f>
        <v/>
      </c>
    </row>
    <row r="701" spans="2:7" x14ac:dyDescent="0.3">
      <c r="B701" t="str">
        <f t="array" ref="B701">IFERROR(INDEX('Orders Ledger'!$A$2:$A$1501, SMALL(IF(('Orders Ledger'!$J$2:$J$1501="disputed")+('Orders Ledger'!$J$2:$J$1501="PENDING_REVIEW"), ROW('Orders Ledger'!$A$2:$A$1501)-ROW('Orders Ledger'!$A$2)+1), ROW(643:643))), "")</f>
        <v/>
      </c>
      <c r="C701" s="11" t="str">
        <f>IF(B701="","",_xlfn.XLOOKUP(B701,'Orders Ledger'!$A:$A,'Orders Ledger'!$B:$B,""))</f>
        <v/>
      </c>
      <c r="D701" t="str">
        <f>IF(B701="","",_xlfn.XLOOKUP(B701,'Orders Ledger'!$A:$A,'Orders Ledger'!$G:$G,""))</f>
        <v/>
      </c>
      <c r="E701" t="str">
        <f>IF(B701="","",_xlfn.XLOOKUP(B701,'Orders Ledger'!$A:$A,'Orders Ledger'!$H:$H,""))</f>
        <v/>
      </c>
      <c r="F701" t="str">
        <f>IF(B701="","",_xlfn.XLOOKUP(B701,'Orders Ledger'!$A:$A,'Orders Ledger'!$F:$F,""))</f>
        <v/>
      </c>
      <c r="G701" t="str">
        <f>IF(B701="","",_xlfn.XLOOKUP(B701,'Orders Ledger'!$A:$A,'Orders Ledger'!$N:$N,0))</f>
        <v/>
      </c>
    </row>
    <row r="702" spans="2:7" x14ac:dyDescent="0.3">
      <c r="B702" t="str">
        <f t="array" ref="B702">IFERROR(INDEX('Orders Ledger'!$A$2:$A$1501, SMALL(IF(('Orders Ledger'!$J$2:$J$1501="disputed")+('Orders Ledger'!$J$2:$J$1501="PENDING_REVIEW"), ROW('Orders Ledger'!$A$2:$A$1501)-ROW('Orders Ledger'!$A$2)+1), ROW(644:644))), "")</f>
        <v/>
      </c>
      <c r="C702" s="11" t="str">
        <f>IF(B702="","",_xlfn.XLOOKUP(B702,'Orders Ledger'!$A:$A,'Orders Ledger'!$B:$B,""))</f>
        <v/>
      </c>
      <c r="D702" t="str">
        <f>IF(B702="","",_xlfn.XLOOKUP(B702,'Orders Ledger'!$A:$A,'Orders Ledger'!$G:$G,""))</f>
        <v/>
      </c>
      <c r="E702" t="str">
        <f>IF(B702="","",_xlfn.XLOOKUP(B702,'Orders Ledger'!$A:$A,'Orders Ledger'!$H:$H,""))</f>
        <v/>
      </c>
      <c r="F702" t="str">
        <f>IF(B702="","",_xlfn.XLOOKUP(B702,'Orders Ledger'!$A:$A,'Orders Ledger'!$F:$F,""))</f>
        <v/>
      </c>
      <c r="G702" t="str">
        <f>IF(B702="","",_xlfn.XLOOKUP(B702,'Orders Ledger'!$A:$A,'Orders Ledger'!$N:$N,0))</f>
        <v/>
      </c>
    </row>
    <row r="703" spans="2:7" x14ac:dyDescent="0.3">
      <c r="B703" t="str">
        <f t="array" ref="B703">IFERROR(INDEX('Orders Ledger'!$A$2:$A$1501, SMALL(IF(('Orders Ledger'!$J$2:$J$1501="disputed")+('Orders Ledger'!$J$2:$J$1501="PENDING_REVIEW"), ROW('Orders Ledger'!$A$2:$A$1501)-ROW('Orders Ledger'!$A$2)+1), ROW(645:645))), "")</f>
        <v/>
      </c>
      <c r="C703" s="11" t="str">
        <f>IF(B703="","",_xlfn.XLOOKUP(B703,'Orders Ledger'!$A:$A,'Orders Ledger'!$B:$B,""))</f>
        <v/>
      </c>
      <c r="D703" t="str">
        <f>IF(B703="","",_xlfn.XLOOKUP(B703,'Orders Ledger'!$A:$A,'Orders Ledger'!$G:$G,""))</f>
        <v/>
      </c>
      <c r="E703" t="str">
        <f>IF(B703="","",_xlfn.XLOOKUP(B703,'Orders Ledger'!$A:$A,'Orders Ledger'!$H:$H,""))</f>
        <v/>
      </c>
      <c r="F703" t="str">
        <f>IF(B703="","",_xlfn.XLOOKUP(B703,'Orders Ledger'!$A:$A,'Orders Ledger'!$F:$F,""))</f>
        <v/>
      </c>
      <c r="G703" t="str">
        <f>IF(B703="","",_xlfn.XLOOKUP(B703,'Orders Ledger'!$A:$A,'Orders Ledger'!$N:$N,0))</f>
        <v/>
      </c>
    </row>
    <row r="704" spans="2:7" x14ac:dyDescent="0.3">
      <c r="B704" t="str">
        <f t="array" ref="B704">IFERROR(INDEX('Orders Ledger'!$A$2:$A$1501, SMALL(IF(('Orders Ledger'!$J$2:$J$1501="disputed")+('Orders Ledger'!$J$2:$J$1501="PENDING_REVIEW"), ROW('Orders Ledger'!$A$2:$A$1501)-ROW('Orders Ledger'!$A$2)+1), ROW(646:646))), "")</f>
        <v/>
      </c>
      <c r="C704" s="11" t="str">
        <f>IF(B704="","",_xlfn.XLOOKUP(B704,'Orders Ledger'!$A:$A,'Orders Ledger'!$B:$B,""))</f>
        <v/>
      </c>
      <c r="D704" t="str">
        <f>IF(B704="","",_xlfn.XLOOKUP(B704,'Orders Ledger'!$A:$A,'Orders Ledger'!$G:$G,""))</f>
        <v/>
      </c>
      <c r="E704" t="str">
        <f>IF(B704="","",_xlfn.XLOOKUP(B704,'Orders Ledger'!$A:$A,'Orders Ledger'!$H:$H,""))</f>
        <v/>
      </c>
      <c r="F704" t="str">
        <f>IF(B704="","",_xlfn.XLOOKUP(B704,'Orders Ledger'!$A:$A,'Orders Ledger'!$F:$F,""))</f>
        <v/>
      </c>
      <c r="G704" t="str">
        <f>IF(B704="","",_xlfn.XLOOKUP(B704,'Orders Ledger'!$A:$A,'Orders Ledger'!$N:$N,0))</f>
        <v/>
      </c>
    </row>
    <row r="705" spans="2:7" x14ac:dyDescent="0.3">
      <c r="B705" t="str">
        <f t="array" ref="B705">IFERROR(INDEX('Orders Ledger'!$A$2:$A$1501, SMALL(IF(('Orders Ledger'!$J$2:$J$1501="disputed")+('Orders Ledger'!$J$2:$J$1501="PENDING_REVIEW"), ROW('Orders Ledger'!$A$2:$A$1501)-ROW('Orders Ledger'!$A$2)+1), ROW(647:647))), "")</f>
        <v/>
      </c>
      <c r="C705" s="11" t="str">
        <f>IF(B705="","",_xlfn.XLOOKUP(B705,'Orders Ledger'!$A:$A,'Orders Ledger'!$B:$B,""))</f>
        <v/>
      </c>
      <c r="D705" t="str">
        <f>IF(B705="","",_xlfn.XLOOKUP(B705,'Orders Ledger'!$A:$A,'Orders Ledger'!$G:$G,""))</f>
        <v/>
      </c>
      <c r="E705" t="str">
        <f>IF(B705="","",_xlfn.XLOOKUP(B705,'Orders Ledger'!$A:$A,'Orders Ledger'!$H:$H,""))</f>
        <v/>
      </c>
      <c r="F705" t="str">
        <f>IF(B705="","",_xlfn.XLOOKUP(B705,'Orders Ledger'!$A:$A,'Orders Ledger'!$F:$F,""))</f>
        <v/>
      </c>
      <c r="G705" t="str">
        <f>IF(B705="","",_xlfn.XLOOKUP(B705,'Orders Ledger'!$A:$A,'Orders Ledger'!$N:$N,0))</f>
        <v/>
      </c>
    </row>
    <row r="706" spans="2:7" x14ac:dyDescent="0.3">
      <c r="B706" t="str">
        <f t="array" ref="B706">IFERROR(INDEX('Orders Ledger'!$A$2:$A$1501, SMALL(IF(('Orders Ledger'!$J$2:$J$1501="disputed")+('Orders Ledger'!$J$2:$J$1501="PENDING_REVIEW"), ROW('Orders Ledger'!$A$2:$A$1501)-ROW('Orders Ledger'!$A$2)+1), ROW(648:648))), "")</f>
        <v/>
      </c>
      <c r="C706" s="11" t="str">
        <f>IF(B706="","",_xlfn.XLOOKUP(B706,'Orders Ledger'!$A:$A,'Orders Ledger'!$B:$B,""))</f>
        <v/>
      </c>
      <c r="D706" t="str">
        <f>IF(B706="","",_xlfn.XLOOKUP(B706,'Orders Ledger'!$A:$A,'Orders Ledger'!$G:$G,""))</f>
        <v/>
      </c>
      <c r="E706" t="str">
        <f>IF(B706="","",_xlfn.XLOOKUP(B706,'Orders Ledger'!$A:$A,'Orders Ledger'!$H:$H,""))</f>
        <v/>
      </c>
      <c r="F706" t="str">
        <f>IF(B706="","",_xlfn.XLOOKUP(B706,'Orders Ledger'!$A:$A,'Orders Ledger'!$F:$F,""))</f>
        <v/>
      </c>
      <c r="G706" t="str">
        <f>IF(B706="","",_xlfn.XLOOKUP(B706,'Orders Ledger'!$A:$A,'Orders Ledger'!$N:$N,0))</f>
        <v/>
      </c>
    </row>
    <row r="707" spans="2:7" x14ac:dyDescent="0.3">
      <c r="B707" t="str">
        <f t="array" ref="B707">IFERROR(INDEX('Orders Ledger'!$A$2:$A$1501, SMALL(IF(('Orders Ledger'!$J$2:$J$1501="disputed")+('Orders Ledger'!$J$2:$J$1501="PENDING_REVIEW"), ROW('Orders Ledger'!$A$2:$A$1501)-ROW('Orders Ledger'!$A$2)+1), ROW(649:649))), "")</f>
        <v/>
      </c>
      <c r="C707" s="11" t="str">
        <f>IF(B707="","",_xlfn.XLOOKUP(B707,'Orders Ledger'!$A:$A,'Orders Ledger'!$B:$B,""))</f>
        <v/>
      </c>
      <c r="D707" t="str">
        <f>IF(B707="","",_xlfn.XLOOKUP(B707,'Orders Ledger'!$A:$A,'Orders Ledger'!$G:$G,""))</f>
        <v/>
      </c>
      <c r="E707" t="str">
        <f>IF(B707="","",_xlfn.XLOOKUP(B707,'Orders Ledger'!$A:$A,'Orders Ledger'!$H:$H,""))</f>
        <v/>
      </c>
      <c r="F707" t="str">
        <f>IF(B707="","",_xlfn.XLOOKUP(B707,'Orders Ledger'!$A:$A,'Orders Ledger'!$F:$F,""))</f>
        <v/>
      </c>
      <c r="G707" t="str">
        <f>IF(B707="","",_xlfn.XLOOKUP(B707,'Orders Ledger'!$A:$A,'Orders Ledger'!$N:$N,0))</f>
        <v/>
      </c>
    </row>
    <row r="708" spans="2:7" x14ac:dyDescent="0.3">
      <c r="B708" t="str">
        <f t="array" ref="B708">IFERROR(INDEX('Orders Ledger'!$A$2:$A$1501, SMALL(IF(('Orders Ledger'!$J$2:$J$1501="disputed")+('Orders Ledger'!$J$2:$J$1501="PENDING_REVIEW"), ROW('Orders Ledger'!$A$2:$A$1501)-ROW('Orders Ledger'!$A$2)+1), ROW(650:650))), "")</f>
        <v/>
      </c>
      <c r="C708" s="11" t="str">
        <f>IF(B708="","",_xlfn.XLOOKUP(B708,'Orders Ledger'!$A:$A,'Orders Ledger'!$B:$B,""))</f>
        <v/>
      </c>
      <c r="D708" t="str">
        <f>IF(B708="","",_xlfn.XLOOKUP(B708,'Orders Ledger'!$A:$A,'Orders Ledger'!$G:$G,""))</f>
        <v/>
      </c>
      <c r="E708" t="str">
        <f>IF(B708="","",_xlfn.XLOOKUP(B708,'Orders Ledger'!$A:$A,'Orders Ledger'!$H:$H,""))</f>
        <v/>
      </c>
      <c r="F708" t="str">
        <f>IF(B708="","",_xlfn.XLOOKUP(B708,'Orders Ledger'!$A:$A,'Orders Ledger'!$F:$F,""))</f>
        <v/>
      </c>
      <c r="G708" t="str">
        <f>IF(B708="","",_xlfn.XLOOKUP(B708,'Orders Ledger'!$A:$A,'Orders Ledger'!$N:$N,0))</f>
        <v/>
      </c>
    </row>
    <row r="709" spans="2:7" x14ac:dyDescent="0.3">
      <c r="B709" t="str">
        <f t="array" ref="B709">IFERROR(INDEX('Orders Ledger'!$A$2:$A$1501, SMALL(IF(('Orders Ledger'!$J$2:$J$1501="disputed")+('Orders Ledger'!$J$2:$J$1501="PENDING_REVIEW"), ROW('Orders Ledger'!$A$2:$A$1501)-ROW('Orders Ledger'!$A$2)+1), ROW(651:651))), "")</f>
        <v/>
      </c>
      <c r="C709" s="11" t="str">
        <f>IF(B709="","",_xlfn.XLOOKUP(B709,'Orders Ledger'!$A:$A,'Orders Ledger'!$B:$B,""))</f>
        <v/>
      </c>
      <c r="D709" t="str">
        <f>IF(B709="","",_xlfn.XLOOKUP(B709,'Orders Ledger'!$A:$A,'Orders Ledger'!$G:$G,""))</f>
        <v/>
      </c>
      <c r="E709" t="str">
        <f>IF(B709="","",_xlfn.XLOOKUP(B709,'Orders Ledger'!$A:$A,'Orders Ledger'!$H:$H,""))</f>
        <v/>
      </c>
      <c r="F709" t="str">
        <f>IF(B709="","",_xlfn.XLOOKUP(B709,'Orders Ledger'!$A:$A,'Orders Ledger'!$F:$F,""))</f>
        <v/>
      </c>
      <c r="G709" t="str">
        <f>IF(B709="","",_xlfn.XLOOKUP(B709,'Orders Ledger'!$A:$A,'Orders Ledger'!$N:$N,0))</f>
        <v/>
      </c>
    </row>
    <row r="710" spans="2:7" x14ac:dyDescent="0.3">
      <c r="B710" t="str">
        <f t="array" ref="B710">IFERROR(INDEX('Orders Ledger'!$A$2:$A$1501, SMALL(IF(('Orders Ledger'!$J$2:$J$1501="disputed")+('Orders Ledger'!$J$2:$J$1501="PENDING_REVIEW"), ROW('Orders Ledger'!$A$2:$A$1501)-ROW('Orders Ledger'!$A$2)+1), ROW(652:652))), "")</f>
        <v/>
      </c>
      <c r="C710" s="11" t="str">
        <f>IF(B710="","",_xlfn.XLOOKUP(B710,'Orders Ledger'!$A:$A,'Orders Ledger'!$B:$B,""))</f>
        <v/>
      </c>
      <c r="D710" t="str">
        <f>IF(B710="","",_xlfn.XLOOKUP(B710,'Orders Ledger'!$A:$A,'Orders Ledger'!$G:$G,""))</f>
        <v/>
      </c>
      <c r="E710" t="str">
        <f>IF(B710="","",_xlfn.XLOOKUP(B710,'Orders Ledger'!$A:$A,'Orders Ledger'!$H:$H,""))</f>
        <v/>
      </c>
      <c r="F710" t="str">
        <f>IF(B710="","",_xlfn.XLOOKUP(B710,'Orders Ledger'!$A:$A,'Orders Ledger'!$F:$F,""))</f>
        <v/>
      </c>
      <c r="G710" t="str">
        <f>IF(B710="","",_xlfn.XLOOKUP(B710,'Orders Ledger'!$A:$A,'Orders Ledger'!$N:$N,0))</f>
        <v/>
      </c>
    </row>
    <row r="711" spans="2:7" x14ac:dyDescent="0.3">
      <c r="B711" t="str">
        <f t="array" ref="B711">IFERROR(INDEX('Orders Ledger'!$A$2:$A$1501, SMALL(IF(('Orders Ledger'!$J$2:$J$1501="disputed")+('Orders Ledger'!$J$2:$J$1501="PENDING_REVIEW"), ROW('Orders Ledger'!$A$2:$A$1501)-ROW('Orders Ledger'!$A$2)+1), ROW(653:653))), "")</f>
        <v/>
      </c>
      <c r="C711" s="11" t="str">
        <f>IF(B711="","",_xlfn.XLOOKUP(B711,'Orders Ledger'!$A:$A,'Orders Ledger'!$B:$B,""))</f>
        <v/>
      </c>
      <c r="D711" t="str">
        <f>IF(B711="","",_xlfn.XLOOKUP(B711,'Orders Ledger'!$A:$A,'Orders Ledger'!$G:$G,""))</f>
        <v/>
      </c>
      <c r="E711" t="str">
        <f>IF(B711="","",_xlfn.XLOOKUP(B711,'Orders Ledger'!$A:$A,'Orders Ledger'!$H:$H,""))</f>
        <v/>
      </c>
      <c r="F711" t="str">
        <f>IF(B711="","",_xlfn.XLOOKUP(B711,'Orders Ledger'!$A:$A,'Orders Ledger'!$F:$F,""))</f>
        <v/>
      </c>
      <c r="G711" t="str">
        <f>IF(B711="","",_xlfn.XLOOKUP(B711,'Orders Ledger'!$A:$A,'Orders Ledger'!$N:$N,0))</f>
        <v/>
      </c>
    </row>
    <row r="712" spans="2:7" x14ac:dyDescent="0.3">
      <c r="B712" t="str">
        <f t="array" ref="B712">IFERROR(INDEX('Orders Ledger'!$A$2:$A$1501, SMALL(IF(('Orders Ledger'!$J$2:$J$1501="disputed")+('Orders Ledger'!$J$2:$J$1501="PENDING_REVIEW"), ROW('Orders Ledger'!$A$2:$A$1501)-ROW('Orders Ledger'!$A$2)+1), ROW(654:654))), "")</f>
        <v/>
      </c>
      <c r="C712" s="11" t="str">
        <f>IF(B712="","",_xlfn.XLOOKUP(B712,'Orders Ledger'!$A:$A,'Orders Ledger'!$B:$B,""))</f>
        <v/>
      </c>
      <c r="D712" t="str">
        <f>IF(B712="","",_xlfn.XLOOKUP(B712,'Orders Ledger'!$A:$A,'Orders Ledger'!$G:$G,""))</f>
        <v/>
      </c>
      <c r="E712" t="str">
        <f>IF(B712="","",_xlfn.XLOOKUP(B712,'Orders Ledger'!$A:$A,'Orders Ledger'!$H:$H,""))</f>
        <v/>
      </c>
      <c r="F712" t="str">
        <f>IF(B712="","",_xlfn.XLOOKUP(B712,'Orders Ledger'!$A:$A,'Orders Ledger'!$F:$F,""))</f>
        <v/>
      </c>
      <c r="G712" t="str">
        <f>IF(B712="","",_xlfn.XLOOKUP(B712,'Orders Ledger'!$A:$A,'Orders Ledger'!$N:$N,0))</f>
        <v/>
      </c>
    </row>
    <row r="713" spans="2:7" x14ac:dyDescent="0.3">
      <c r="B713" t="str">
        <f t="array" ref="B713">IFERROR(INDEX('Orders Ledger'!$A$2:$A$1501, SMALL(IF(('Orders Ledger'!$J$2:$J$1501="disputed")+('Orders Ledger'!$J$2:$J$1501="PENDING_REVIEW"), ROW('Orders Ledger'!$A$2:$A$1501)-ROW('Orders Ledger'!$A$2)+1), ROW(655:655))), "")</f>
        <v/>
      </c>
      <c r="C713" s="11" t="str">
        <f>IF(B713="","",_xlfn.XLOOKUP(B713,'Orders Ledger'!$A:$A,'Orders Ledger'!$B:$B,""))</f>
        <v/>
      </c>
      <c r="D713" t="str">
        <f>IF(B713="","",_xlfn.XLOOKUP(B713,'Orders Ledger'!$A:$A,'Orders Ledger'!$G:$G,""))</f>
        <v/>
      </c>
      <c r="E713" t="str">
        <f>IF(B713="","",_xlfn.XLOOKUP(B713,'Orders Ledger'!$A:$A,'Orders Ledger'!$H:$H,""))</f>
        <v/>
      </c>
      <c r="F713" t="str">
        <f>IF(B713="","",_xlfn.XLOOKUP(B713,'Orders Ledger'!$A:$A,'Orders Ledger'!$F:$F,""))</f>
        <v/>
      </c>
      <c r="G713" t="str">
        <f>IF(B713="","",_xlfn.XLOOKUP(B713,'Orders Ledger'!$A:$A,'Orders Ledger'!$N:$N,0))</f>
        <v/>
      </c>
    </row>
    <row r="714" spans="2:7" x14ac:dyDescent="0.3">
      <c r="B714" t="str">
        <f t="array" ref="B714">IFERROR(INDEX('Orders Ledger'!$A$2:$A$1501, SMALL(IF(('Orders Ledger'!$J$2:$J$1501="disputed")+('Orders Ledger'!$J$2:$J$1501="PENDING_REVIEW"), ROW('Orders Ledger'!$A$2:$A$1501)-ROW('Orders Ledger'!$A$2)+1), ROW(656:656))), "")</f>
        <v/>
      </c>
      <c r="C714" s="11" t="str">
        <f>IF(B714="","",_xlfn.XLOOKUP(B714,'Orders Ledger'!$A:$A,'Orders Ledger'!$B:$B,""))</f>
        <v/>
      </c>
      <c r="D714" t="str">
        <f>IF(B714="","",_xlfn.XLOOKUP(B714,'Orders Ledger'!$A:$A,'Orders Ledger'!$G:$G,""))</f>
        <v/>
      </c>
      <c r="E714" t="str">
        <f>IF(B714="","",_xlfn.XLOOKUP(B714,'Orders Ledger'!$A:$A,'Orders Ledger'!$H:$H,""))</f>
        <v/>
      </c>
      <c r="F714" t="str">
        <f>IF(B714="","",_xlfn.XLOOKUP(B714,'Orders Ledger'!$A:$A,'Orders Ledger'!$F:$F,""))</f>
        <v/>
      </c>
      <c r="G714" t="str">
        <f>IF(B714="","",_xlfn.XLOOKUP(B714,'Orders Ledger'!$A:$A,'Orders Ledger'!$N:$N,0))</f>
        <v/>
      </c>
    </row>
    <row r="715" spans="2:7" x14ac:dyDescent="0.3">
      <c r="B715" t="str">
        <f t="array" ref="B715">IFERROR(INDEX('Orders Ledger'!$A$2:$A$1501, SMALL(IF(('Orders Ledger'!$J$2:$J$1501="disputed")+('Orders Ledger'!$J$2:$J$1501="PENDING_REVIEW"), ROW('Orders Ledger'!$A$2:$A$1501)-ROW('Orders Ledger'!$A$2)+1), ROW(657:657))), "")</f>
        <v/>
      </c>
      <c r="C715" s="11" t="str">
        <f>IF(B715="","",_xlfn.XLOOKUP(B715,'Orders Ledger'!$A:$A,'Orders Ledger'!$B:$B,""))</f>
        <v/>
      </c>
      <c r="D715" t="str">
        <f>IF(B715="","",_xlfn.XLOOKUP(B715,'Orders Ledger'!$A:$A,'Orders Ledger'!$G:$G,""))</f>
        <v/>
      </c>
      <c r="E715" t="str">
        <f>IF(B715="","",_xlfn.XLOOKUP(B715,'Orders Ledger'!$A:$A,'Orders Ledger'!$H:$H,""))</f>
        <v/>
      </c>
      <c r="F715" t="str">
        <f>IF(B715="","",_xlfn.XLOOKUP(B715,'Orders Ledger'!$A:$A,'Orders Ledger'!$F:$F,""))</f>
        <v/>
      </c>
      <c r="G715" t="str">
        <f>IF(B715="","",_xlfn.XLOOKUP(B715,'Orders Ledger'!$A:$A,'Orders Ledger'!$N:$N,0))</f>
        <v/>
      </c>
    </row>
    <row r="716" spans="2:7" x14ac:dyDescent="0.3">
      <c r="B716" t="str">
        <f t="array" ref="B716">IFERROR(INDEX('Orders Ledger'!$A$2:$A$1501, SMALL(IF(('Orders Ledger'!$J$2:$J$1501="disputed")+('Orders Ledger'!$J$2:$J$1501="PENDING_REVIEW"), ROW('Orders Ledger'!$A$2:$A$1501)-ROW('Orders Ledger'!$A$2)+1), ROW(658:658))), "")</f>
        <v/>
      </c>
      <c r="C716" s="11" t="str">
        <f>IF(B716="","",_xlfn.XLOOKUP(B716,'Orders Ledger'!$A:$A,'Orders Ledger'!$B:$B,""))</f>
        <v/>
      </c>
      <c r="D716" t="str">
        <f>IF(B716="","",_xlfn.XLOOKUP(B716,'Orders Ledger'!$A:$A,'Orders Ledger'!$G:$G,""))</f>
        <v/>
      </c>
      <c r="E716" t="str">
        <f>IF(B716="","",_xlfn.XLOOKUP(B716,'Orders Ledger'!$A:$A,'Orders Ledger'!$H:$H,""))</f>
        <v/>
      </c>
      <c r="F716" t="str">
        <f>IF(B716="","",_xlfn.XLOOKUP(B716,'Orders Ledger'!$A:$A,'Orders Ledger'!$F:$F,""))</f>
        <v/>
      </c>
      <c r="G716" t="str">
        <f>IF(B716="","",_xlfn.XLOOKUP(B716,'Orders Ledger'!$A:$A,'Orders Ledger'!$N:$N,0))</f>
        <v/>
      </c>
    </row>
    <row r="717" spans="2:7" x14ac:dyDescent="0.3">
      <c r="B717" t="str">
        <f t="array" ref="B717">IFERROR(INDEX('Orders Ledger'!$A$2:$A$1501, SMALL(IF(('Orders Ledger'!$J$2:$J$1501="disputed")+('Orders Ledger'!$J$2:$J$1501="PENDING_REVIEW"), ROW('Orders Ledger'!$A$2:$A$1501)-ROW('Orders Ledger'!$A$2)+1), ROW(659:659))), "")</f>
        <v/>
      </c>
      <c r="C717" s="11" t="str">
        <f>IF(B717="","",_xlfn.XLOOKUP(B717,'Orders Ledger'!$A:$A,'Orders Ledger'!$B:$B,""))</f>
        <v/>
      </c>
      <c r="D717" t="str">
        <f>IF(B717="","",_xlfn.XLOOKUP(B717,'Orders Ledger'!$A:$A,'Orders Ledger'!$G:$G,""))</f>
        <v/>
      </c>
      <c r="E717" t="str">
        <f>IF(B717="","",_xlfn.XLOOKUP(B717,'Orders Ledger'!$A:$A,'Orders Ledger'!$H:$H,""))</f>
        <v/>
      </c>
      <c r="F717" t="str">
        <f>IF(B717="","",_xlfn.XLOOKUP(B717,'Orders Ledger'!$A:$A,'Orders Ledger'!$F:$F,""))</f>
        <v/>
      </c>
      <c r="G717" t="str">
        <f>IF(B717="","",_xlfn.XLOOKUP(B717,'Orders Ledger'!$A:$A,'Orders Ledger'!$N:$N,0))</f>
        <v/>
      </c>
    </row>
    <row r="718" spans="2:7" x14ac:dyDescent="0.3">
      <c r="B718" t="str">
        <f t="array" ref="B718">IFERROR(INDEX('Orders Ledger'!$A$2:$A$1501, SMALL(IF(('Orders Ledger'!$J$2:$J$1501="disputed")+('Orders Ledger'!$J$2:$J$1501="PENDING_REVIEW"), ROW('Orders Ledger'!$A$2:$A$1501)-ROW('Orders Ledger'!$A$2)+1), ROW(660:660))), "")</f>
        <v/>
      </c>
      <c r="C718" s="11" t="str">
        <f>IF(B718="","",_xlfn.XLOOKUP(B718,'Orders Ledger'!$A:$A,'Orders Ledger'!$B:$B,""))</f>
        <v/>
      </c>
      <c r="D718" t="str">
        <f>IF(B718="","",_xlfn.XLOOKUP(B718,'Orders Ledger'!$A:$A,'Orders Ledger'!$G:$G,""))</f>
        <v/>
      </c>
      <c r="E718" t="str">
        <f>IF(B718="","",_xlfn.XLOOKUP(B718,'Orders Ledger'!$A:$A,'Orders Ledger'!$H:$H,""))</f>
        <v/>
      </c>
      <c r="F718" t="str">
        <f>IF(B718="","",_xlfn.XLOOKUP(B718,'Orders Ledger'!$A:$A,'Orders Ledger'!$F:$F,""))</f>
        <v/>
      </c>
      <c r="G718" t="str">
        <f>IF(B718="","",_xlfn.XLOOKUP(B718,'Orders Ledger'!$A:$A,'Orders Ledger'!$N:$N,0))</f>
        <v/>
      </c>
    </row>
    <row r="719" spans="2:7" x14ac:dyDescent="0.3">
      <c r="B719" t="str">
        <f t="array" ref="B719">IFERROR(INDEX('Orders Ledger'!$A$2:$A$1501, SMALL(IF(('Orders Ledger'!$J$2:$J$1501="disputed")+('Orders Ledger'!$J$2:$J$1501="PENDING_REVIEW"), ROW('Orders Ledger'!$A$2:$A$1501)-ROW('Orders Ledger'!$A$2)+1), ROW(661:661))), "")</f>
        <v/>
      </c>
      <c r="C719" s="11" t="str">
        <f>IF(B719="","",_xlfn.XLOOKUP(B719,'Orders Ledger'!$A:$A,'Orders Ledger'!$B:$B,""))</f>
        <v/>
      </c>
      <c r="D719" t="str">
        <f>IF(B719="","",_xlfn.XLOOKUP(B719,'Orders Ledger'!$A:$A,'Orders Ledger'!$G:$G,""))</f>
        <v/>
      </c>
      <c r="E719" t="str">
        <f>IF(B719="","",_xlfn.XLOOKUP(B719,'Orders Ledger'!$A:$A,'Orders Ledger'!$H:$H,""))</f>
        <v/>
      </c>
      <c r="F719" t="str">
        <f>IF(B719="","",_xlfn.XLOOKUP(B719,'Orders Ledger'!$A:$A,'Orders Ledger'!$F:$F,""))</f>
        <v/>
      </c>
      <c r="G719" t="str">
        <f>IF(B719="","",_xlfn.XLOOKUP(B719,'Orders Ledger'!$A:$A,'Orders Ledger'!$N:$N,0))</f>
        <v/>
      </c>
    </row>
    <row r="720" spans="2:7" x14ac:dyDescent="0.3">
      <c r="B720" t="str">
        <f t="array" ref="B720">IFERROR(INDEX('Orders Ledger'!$A$2:$A$1501, SMALL(IF(('Orders Ledger'!$J$2:$J$1501="disputed")+('Orders Ledger'!$J$2:$J$1501="PENDING_REVIEW"), ROW('Orders Ledger'!$A$2:$A$1501)-ROW('Orders Ledger'!$A$2)+1), ROW(662:662))), "")</f>
        <v/>
      </c>
      <c r="C720" s="11" t="str">
        <f>IF(B720="","",_xlfn.XLOOKUP(B720,'Orders Ledger'!$A:$A,'Orders Ledger'!$B:$B,""))</f>
        <v/>
      </c>
      <c r="D720" t="str">
        <f>IF(B720="","",_xlfn.XLOOKUP(B720,'Orders Ledger'!$A:$A,'Orders Ledger'!$G:$G,""))</f>
        <v/>
      </c>
      <c r="E720" t="str">
        <f>IF(B720="","",_xlfn.XLOOKUP(B720,'Orders Ledger'!$A:$A,'Orders Ledger'!$H:$H,""))</f>
        <v/>
      </c>
      <c r="F720" t="str">
        <f>IF(B720="","",_xlfn.XLOOKUP(B720,'Orders Ledger'!$A:$A,'Orders Ledger'!$F:$F,""))</f>
        <v/>
      </c>
      <c r="G720" t="str">
        <f>IF(B720="","",_xlfn.XLOOKUP(B720,'Orders Ledger'!$A:$A,'Orders Ledger'!$N:$N,0))</f>
        <v/>
      </c>
    </row>
    <row r="721" spans="2:7" x14ac:dyDescent="0.3">
      <c r="B721" t="str">
        <f t="array" ref="B721">IFERROR(INDEX('Orders Ledger'!$A$2:$A$1501, SMALL(IF(('Orders Ledger'!$J$2:$J$1501="disputed")+('Orders Ledger'!$J$2:$J$1501="PENDING_REVIEW"), ROW('Orders Ledger'!$A$2:$A$1501)-ROW('Orders Ledger'!$A$2)+1), ROW(663:663))), "")</f>
        <v/>
      </c>
      <c r="C721" s="11" t="str">
        <f>IF(B721="","",_xlfn.XLOOKUP(B721,'Orders Ledger'!$A:$A,'Orders Ledger'!$B:$B,""))</f>
        <v/>
      </c>
      <c r="D721" t="str">
        <f>IF(B721="","",_xlfn.XLOOKUP(B721,'Orders Ledger'!$A:$A,'Orders Ledger'!$G:$G,""))</f>
        <v/>
      </c>
      <c r="E721" t="str">
        <f>IF(B721="","",_xlfn.XLOOKUP(B721,'Orders Ledger'!$A:$A,'Orders Ledger'!$H:$H,""))</f>
        <v/>
      </c>
      <c r="F721" t="str">
        <f>IF(B721="","",_xlfn.XLOOKUP(B721,'Orders Ledger'!$A:$A,'Orders Ledger'!$F:$F,""))</f>
        <v/>
      </c>
      <c r="G721" t="str">
        <f>IF(B721="","",_xlfn.XLOOKUP(B721,'Orders Ledger'!$A:$A,'Orders Ledger'!$N:$N,0))</f>
        <v/>
      </c>
    </row>
    <row r="722" spans="2:7" x14ac:dyDescent="0.3">
      <c r="B722" t="str">
        <f t="array" ref="B722">IFERROR(INDEX('Orders Ledger'!$A$2:$A$1501, SMALL(IF(('Orders Ledger'!$J$2:$J$1501="disputed")+('Orders Ledger'!$J$2:$J$1501="PENDING_REVIEW"), ROW('Orders Ledger'!$A$2:$A$1501)-ROW('Orders Ledger'!$A$2)+1), ROW(664:664))), "")</f>
        <v/>
      </c>
      <c r="C722" s="11" t="str">
        <f>IF(B722="","",_xlfn.XLOOKUP(B722,'Orders Ledger'!$A:$A,'Orders Ledger'!$B:$B,""))</f>
        <v/>
      </c>
      <c r="D722" t="str">
        <f>IF(B722="","",_xlfn.XLOOKUP(B722,'Orders Ledger'!$A:$A,'Orders Ledger'!$G:$G,""))</f>
        <v/>
      </c>
      <c r="E722" t="str">
        <f>IF(B722="","",_xlfn.XLOOKUP(B722,'Orders Ledger'!$A:$A,'Orders Ledger'!$H:$H,""))</f>
        <v/>
      </c>
      <c r="F722" t="str">
        <f>IF(B722="","",_xlfn.XLOOKUP(B722,'Orders Ledger'!$A:$A,'Orders Ledger'!$F:$F,""))</f>
        <v/>
      </c>
      <c r="G722" t="str">
        <f>IF(B722="","",_xlfn.XLOOKUP(B722,'Orders Ledger'!$A:$A,'Orders Ledger'!$N:$N,0))</f>
        <v/>
      </c>
    </row>
    <row r="723" spans="2:7" x14ac:dyDescent="0.3">
      <c r="B723" t="str">
        <f t="array" ref="B723">IFERROR(INDEX('Orders Ledger'!$A$2:$A$1501, SMALL(IF(('Orders Ledger'!$J$2:$J$1501="disputed")+('Orders Ledger'!$J$2:$J$1501="PENDING_REVIEW"), ROW('Orders Ledger'!$A$2:$A$1501)-ROW('Orders Ledger'!$A$2)+1), ROW(665:665))), "")</f>
        <v/>
      </c>
      <c r="C723" s="11" t="str">
        <f>IF(B723="","",_xlfn.XLOOKUP(B723,'Orders Ledger'!$A:$A,'Orders Ledger'!$B:$B,""))</f>
        <v/>
      </c>
      <c r="D723" t="str">
        <f>IF(B723="","",_xlfn.XLOOKUP(B723,'Orders Ledger'!$A:$A,'Orders Ledger'!$G:$G,""))</f>
        <v/>
      </c>
      <c r="E723" t="str">
        <f>IF(B723="","",_xlfn.XLOOKUP(B723,'Orders Ledger'!$A:$A,'Orders Ledger'!$H:$H,""))</f>
        <v/>
      </c>
      <c r="F723" t="str">
        <f>IF(B723="","",_xlfn.XLOOKUP(B723,'Orders Ledger'!$A:$A,'Orders Ledger'!$F:$F,""))</f>
        <v/>
      </c>
      <c r="G723" t="str">
        <f>IF(B723="","",_xlfn.XLOOKUP(B723,'Orders Ledger'!$A:$A,'Orders Ledger'!$N:$N,0))</f>
        <v/>
      </c>
    </row>
    <row r="724" spans="2:7" x14ac:dyDescent="0.3">
      <c r="B724" t="str">
        <f t="array" ref="B724">IFERROR(INDEX('Orders Ledger'!$A$2:$A$1501, SMALL(IF(('Orders Ledger'!$J$2:$J$1501="disputed")+('Orders Ledger'!$J$2:$J$1501="PENDING_REVIEW"), ROW('Orders Ledger'!$A$2:$A$1501)-ROW('Orders Ledger'!$A$2)+1), ROW(666:666))), "")</f>
        <v/>
      </c>
      <c r="C724" s="11" t="str">
        <f>IF(B724="","",_xlfn.XLOOKUP(B724,'Orders Ledger'!$A:$A,'Orders Ledger'!$B:$B,""))</f>
        <v/>
      </c>
      <c r="D724" t="str">
        <f>IF(B724="","",_xlfn.XLOOKUP(B724,'Orders Ledger'!$A:$A,'Orders Ledger'!$G:$G,""))</f>
        <v/>
      </c>
      <c r="E724" t="str">
        <f>IF(B724="","",_xlfn.XLOOKUP(B724,'Orders Ledger'!$A:$A,'Orders Ledger'!$H:$H,""))</f>
        <v/>
      </c>
      <c r="F724" t="str">
        <f>IF(B724="","",_xlfn.XLOOKUP(B724,'Orders Ledger'!$A:$A,'Orders Ledger'!$F:$F,""))</f>
        <v/>
      </c>
      <c r="G724" t="str">
        <f>IF(B724="","",_xlfn.XLOOKUP(B724,'Orders Ledger'!$A:$A,'Orders Ledger'!$N:$N,0))</f>
        <v/>
      </c>
    </row>
    <row r="725" spans="2:7" x14ac:dyDescent="0.3">
      <c r="B725" t="str">
        <f t="array" ref="B725">IFERROR(INDEX('Orders Ledger'!$A$2:$A$1501, SMALL(IF(('Orders Ledger'!$J$2:$J$1501="disputed")+('Orders Ledger'!$J$2:$J$1501="PENDING_REVIEW"), ROW('Orders Ledger'!$A$2:$A$1501)-ROW('Orders Ledger'!$A$2)+1), ROW(667:667))), "")</f>
        <v/>
      </c>
      <c r="C725" s="11" t="str">
        <f>IF(B725="","",_xlfn.XLOOKUP(B725,'Orders Ledger'!$A:$A,'Orders Ledger'!$B:$B,""))</f>
        <v/>
      </c>
      <c r="D725" t="str">
        <f>IF(B725="","",_xlfn.XLOOKUP(B725,'Orders Ledger'!$A:$A,'Orders Ledger'!$G:$G,""))</f>
        <v/>
      </c>
      <c r="E725" t="str">
        <f>IF(B725="","",_xlfn.XLOOKUP(B725,'Orders Ledger'!$A:$A,'Orders Ledger'!$H:$H,""))</f>
        <v/>
      </c>
      <c r="F725" t="str">
        <f>IF(B725="","",_xlfn.XLOOKUP(B725,'Orders Ledger'!$A:$A,'Orders Ledger'!$F:$F,""))</f>
        <v/>
      </c>
      <c r="G725" t="str">
        <f>IF(B725="","",_xlfn.XLOOKUP(B725,'Orders Ledger'!$A:$A,'Orders Ledger'!$N:$N,0))</f>
        <v/>
      </c>
    </row>
    <row r="726" spans="2:7" x14ac:dyDescent="0.3">
      <c r="B726" t="str">
        <f t="array" ref="B726">IFERROR(INDEX('Orders Ledger'!$A$2:$A$1501, SMALL(IF(('Orders Ledger'!$J$2:$J$1501="disputed")+('Orders Ledger'!$J$2:$J$1501="PENDING_REVIEW"), ROW('Orders Ledger'!$A$2:$A$1501)-ROW('Orders Ledger'!$A$2)+1), ROW(668:668))), "")</f>
        <v/>
      </c>
      <c r="C726" s="11" t="str">
        <f>IF(B726="","",_xlfn.XLOOKUP(B726,'Orders Ledger'!$A:$A,'Orders Ledger'!$B:$B,""))</f>
        <v/>
      </c>
      <c r="D726" t="str">
        <f>IF(B726="","",_xlfn.XLOOKUP(B726,'Orders Ledger'!$A:$A,'Orders Ledger'!$G:$G,""))</f>
        <v/>
      </c>
      <c r="E726" t="str">
        <f>IF(B726="","",_xlfn.XLOOKUP(B726,'Orders Ledger'!$A:$A,'Orders Ledger'!$H:$H,""))</f>
        <v/>
      </c>
      <c r="F726" t="str">
        <f>IF(B726="","",_xlfn.XLOOKUP(B726,'Orders Ledger'!$A:$A,'Orders Ledger'!$F:$F,""))</f>
        <v/>
      </c>
      <c r="G726" t="str">
        <f>IF(B726="","",_xlfn.XLOOKUP(B726,'Orders Ledger'!$A:$A,'Orders Ledger'!$N:$N,0))</f>
        <v/>
      </c>
    </row>
    <row r="727" spans="2:7" x14ac:dyDescent="0.3">
      <c r="B727" t="str">
        <f t="array" ref="B727">IFERROR(INDEX('Orders Ledger'!$A$2:$A$1501, SMALL(IF(('Orders Ledger'!$J$2:$J$1501="disputed")+('Orders Ledger'!$J$2:$J$1501="PENDING_REVIEW"), ROW('Orders Ledger'!$A$2:$A$1501)-ROW('Orders Ledger'!$A$2)+1), ROW(669:669))), "")</f>
        <v/>
      </c>
      <c r="C727" s="11" t="str">
        <f>IF(B727="","",_xlfn.XLOOKUP(B727,'Orders Ledger'!$A:$A,'Orders Ledger'!$B:$B,""))</f>
        <v/>
      </c>
      <c r="D727" t="str">
        <f>IF(B727="","",_xlfn.XLOOKUP(B727,'Orders Ledger'!$A:$A,'Orders Ledger'!$G:$G,""))</f>
        <v/>
      </c>
      <c r="E727" t="str">
        <f>IF(B727="","",_xlfn.XLOOKUP(B727,'Orders Ledger'!$A:$A,'Orders Ledger'!$H:$H,""))</f>
        <v/>
      </c>
      <c r="F727" t="str">
        <f>IF(B727="","",_xlfn.XLOOKUP(B727,'Orders Ledger'!$A:$A,'Orders Ledger'!$F:$F,""))</f>
        <v/>
      </c>
      <c r="G727" t="str">
        <f>IF(B727="","",_xlfn.XLOOKUP(B727,'Orders Ledger'!$A:$A,'Orders Ledger'!$N:$N,0))</f>
        <v/>
      </c>
    </row>
    <row r="728" spans="2:7" x14ac:dyDescent="0.3">
      <c r="B728" t="str">
        <f t="array" ref="B728">IFERROR(INDEX('Orders Ledger'!$A$2:$A$1501, SMALL(IF(('Orders Ledger'!$J$2:$J$1501="disputed")+('Orders Ledger'!$J$2:$J$1501="PENDING_REVIEW"), ROW('Orders Ledger'!$A$2:$A$1501)-ROW('Orders Ledger'!$A$2)+1), ROW(670:670))), "")</f>
        <v/>
      </c>
      <c r="C728" s="11" t="str">
        <f>IF(B728="","",_xlfn.XLOOKUP(B728,'Orders Ledger'!$A:$A,'Orders Ledger'!$B:$B,""))</f>
        <v/>
      </c>
      <c r="D728" t="str">
        <f>IF(B728="","",_xlfn.XLOOKUP(B728,'Orders Ledger'!$A:$A,'Orders Ledger'!$G:$G,""))</f>
        <v/>
      </c>
      <c r="E728" t="str">
        <f>IF(B728="","",_xlfn.XLOOKUP(B728,'Orders Ledger'!$A:$A,'Orders Ledger'!$H:$H,""))</f>
        <v/>
      </c>
      <c r="F728" t="str">
        <f>IF(B728="","",_xlfn.XLOOKUP(B728,'Orders Ledger'!$A:$A,'Orders Ledger'!$F:$F,""))</f>
        <v/>
      </c>
      <c r="G728" t="str">
        <f>IF(B728="","",_xlfn.XLOOKUP(B728,'Orders Ledger'!$A:$A,'Orders Ledger'!$N:$N,0))</f>
        <v/>
      </c>
    </row>
    <row r="729" spans="2:7" x14ac:dyDescent="0.3">
      <c r="B729" t="str">
        <f t="array" ref="B729">IFERROR(INDEX('Orders Ledger'!$A$2:$A$1501, SMALL(IF(('Orders Ledger'!$J$2:$J$1501="disputed")+('Orders Ledger'!$J$2:$J$1501="PENDING_REVIEW"), ROW('Orders Ledger'!$A$2:$A$1501)-ROW('Orders Ledger'!$A$2)+1), ROW(671:671))), "")</f>
        <v/>
      </c>
      <c r="C729" s="11" t="str">
        <f>IF(B729="","",_xlfn.XLOOKUP(B729,'Orders Ledger'!$A:$A,'Orders Ledger'!$B:$B,""))</f>
        <v/>
      </c>
      <c r="D729" t="str">
        <f>IF(B729="","",_xlfn.XLOOKUP(B729,'Orders Ledger'!$A:$A,'Orders Ledger'!$G:$G,""))</f>
        <v/>
      </c>
      <c r="E729" t="str">
        <f>IF(B729="","",_xlfn.XLOOKUP(B729,'Orders Ledger'!$A:$A,'Orders Ledger'!$H:$H,""))</f>
        <v/>
      </c>
      <c r="F729" t="str">
        <f>IF(B729="","",_xlfn.XLOOKUP(B729,'Orders Ledger'!$A:$A,'Orders Ledger'!$F:$F,""))</f>
        <v/>
      </c>
      <c r="G729" t="str">
        <f>IF(B729="","",_xlfn.XLOOKUP(B729,'Orders Ledger'!$A:$A,'Orders Ledger'!$N:$N,0))</f>
        <v/>
      </c>
    </row>
    <row r="730" spans="2:7" x14ac:dyDescent="0.3">
      <c r="B730" t="str">
        <f t="array" ref="B730">IFERROR(INDEX('Orders Ledger'!$A$2:$A$1501, SMALL(IF(('Orders Ledger'!$J$2:$J$1501="disputed")+('Orders Ledger'!$J$2:$J$1501="PENDING_REVIEW"), ROW('Orders Ledger'!$A$2:$A$1501)-ROW('Orders Ledger'!$A$2)+1), ROW(672:672))), "")</f>
        <v/>
      </c>
      <c r="C730" s="11" t="str">
        <f>IF(B730="","",_xlfn.XLOOKUP(B730,'Orders Ledger'!$A:$A,'Orders Ledger'!$B:$B,""))</f>
        <v/>
      </c>
      <c r="D730" t="str">
        <f>IF(B730="","",_xlfn.XLOOKUP(B730,'Orders Ledger'!$A:$A,'Orders Ledger'!$G:$G,""))</f>
        <v/>
      </c>
      <c r="E730" t="str">
        <f>IF(B730="","",_xlfn.XLOOKUP(B730,'Orders Ledger'!$A:$A,'Orders Ledger'!$H:$H,""))</f>
        <v/>
      </c>
      <c r="F730" t="str">
        <f>IF(B730="","",_xlfn.XLOOKUP(B730,'Orders Ledger'!$A:$A,'Orders Ledger'!$F:$F,""))</f>
        <v/>
      </c>
      <c r="G730" t="str">
        <f>IF(B730="","",_xlfn.XLOOKUP(B730,'Orders Ledger'!$A:$A,'Orders Ledger'!$N:$N,0))</f>
        <v/>
      </c>
    </row>
    <row r="731" spans="2:7" x14ac:dyDescent="0.3">
      <c r="B731" t="str">
        <f t="array" ref="B731">IFERROR(INDEX('Orders Ledger'!$A$2:$A$1501, SMALL(IF(('Orders Ledger'!$J$2:$J$1501="disputed")+('Orders Ledger'!$J$2:$J$1501="PENDING_REVIEW"), ROW('Orders Ledger'!$A$2:$A$1501)-ROW('Orders Ledger'!$A$2)+1), ROW(673:673))), "")</f>
        <v/>
      </c>
      <c r="C731" s="11" t="str">
        <f>IF(B731="","",_xlfn.XLOOKUP(B731,'Orders Ledger'!$A:$A,'Orders Ledger'!$B:$B,""))</f>
        <v/>
      </c>
      <c r="D731" t="str">
        <f>IF(B731="","",_xlfn.XLOOKUP(B731,'Orders Ledger'!$A:$A,'Orders Ledger'!$G:$G,""))</f>
        <v/>
      </c>
      <c r="E731" t="str">
        <f>IF(B731="","",_xlfn.XLOOKUP(B731,'Orders Ledger'!$A:$A,'Orders Ledger'!$H:$H,""))</f>
        <v/>
      </c>
      <c r="F731" t="str">
        <f>IF(B731="","",_xlfn.XLOOKUP(B731,'Orders Ledger'!$A:$A,'Orders Ledger'!$F:$F,""))</f>
        <v/>
      </c>
      <c r="G731" t="str">
        <f>IF(B731="","",_xlfn.XLOOKUP(B731,'Orders Ledger'!$A:$A,'Orders Ledger'!$N:$N,0))</f>
        <v/>
      </c>
    </row>
    <row r="732" spans="2:7" x14ac:dyDescent="0.3">
      <c r="B732" t="str">
        <f t="array" ref="B732">IFERROR(INDEX('Orders Ledger'!$A$2:$A$1501, SMALL(IF(('Orders Ledger'!$J$2:$J$1501="disputed")+('Orders Ledger'!$J$2:$J$1501="PENDING_REVIEW"), ROW('Orders Ledger'!$A$2:$A$1501)-ROW('Orders Ledger'!$A$2)+1), ROW(674:674))), "")</f>
        <v/>
      </c>
      <c r="C732" s="11" t="str">
        <f>IF(B732="","",_xlfn.XLOOKUP(B732,'Orders Ledger'!$A:$A,'Orders Ledger'!$B:$B,""))</f>
        <v/>
      </c>
      <c r="D732" t="str">
        <f>IF(B732="","",_xlfn.XLOOKUP(B732,'Orders Ledger'!$A:$A,'Orders Ledger'!$G:$G,""))</f>
        <v/>
      </c>
      <c r="E732" t="str">
        <f>IF(B732="","",_xlfn.XLOOKUP(B732,'Orders Ledger'!$A:$A,'Orders Ledger'!$H:$H,""))</f>
        <v/>
      </c>
      <c r="F732" t="str">
        <f>IF(B732="","",_xlfn.XLOOKUP(B732,'Orders Ledger'!$A:$A,'Orders Ledger'!$F:$F,""))</f>
        <v/>
      </c>
      <c r="G732" t="str">
        <f>IF(B732="","",_xlfn.XLOOKUP(B732,'Orders Ledger'!$A:$A,'Orders Ledger'!$N:$N,0))</f>
        <v/>
      </c>
    </row>
    <row r="733" spans="2:7" x14ac:dyDescent="0.3">
      <c r="B733" t="str">
        <f t="array" ref="B733">IFERROR(INDEX('Orders Ledger'!$A$2:$A$1501, SMALL(IF(('Orders Ledger'!$J$2:$J$1501="disputed")+('Orders Ledger'!$J$2:$J$1501="PENDING_REVIEW"), ROW('Orders Ledger'!$A$2:$A$1501)-ROW('Orders Ledger'!$A$2)+1), ROW(675:675))), "")</f>
        <v/>
      </c>
      <c r="C733" s="11" t="str">
        <f>IF(B733="","",_xlfn.XLOOKUP(B733,'Orders Ledger'!$A:$A,'Orders Ledger'!$B:$B,""))</f>
        <v/>
      </c>
      <c r="D733" t="str">
        <f>IF(B733="","",_xlfn.XLOOKUP(B733,'Orders Ledger'!$A:$A,'Orders Ledger'!$G:$G,""))</f>
        <v/>
      </c>
      <c r="E733" t="str">
        <f>IF(B733="","",_xlfn.XLOOKUP(B733,'Orders Ledger'!$A:$A,'Orders Ledger'!$H:$H,""))</f>
        <v/>
      </c>
      <c r="F733" t="str">
        <f>IF(B733="","",_xlfn.XLOOKUP(B733,'Orders Ledger'!$A:$A,'Orders Ledger'!$F:$F,""))</f>
        <v/>
      </c>
      <c r="G733" t="str">
        <f>IF(B733="","",_xlfn.XLOOKUP(B733,'Orders Ledger'!$A:$A,'Orders Ledger'!$N:$N,0))</f>
        <v/>
      </c>
    </row>
    <row r="734" spans="2:7" x14ac:dyDescent="0.3">
      <c r="B734" t="str">
        <f t="array" ref="B734">IFERROR(INDEX('Orders Ledger'!$A$2:$A$1501, SMALL(IF(('Orders Ledger'!$J$2:$J$1501="disputed")+('Orders Ledger'!$J$2:$J$1501="PENDING_REVIEW"), ROW('Orders Ledger'!$A$2:$A$1501)-ROW('Orders Ledger'!$A$2)+1), ROW(676:676))), "")</f>
        <v/>
      </c>
      <c r="C734" s="11" t="str">
        <f>IF(B734="","",_xlfn.XLOOKUP(B734,'Orders Ledger'!$A:$A,'Orders Ledger'!$B:$B,""))</f>
        <v/>
      </c>
      <c r="D734" t="str">
        <f>IF(B734="","",_xlfn.XLOOKUP(B734,'Orders Ledger'!$A:$A,'Orders Ledger'!$G:$G,""))</f>
        <v/>
      </c>
      <c r="E734" t="str">
        <f>IF(B734="","",_xlfn.XLOOKUP(B734,'Orders Ledger'!$A:$A,'Orders Ledger'!$H:$H,""))</f>
        <v/>
      </c>
      <c r="F734" t="str">
        <f>IF(B734="","",_xlfn.XLOOKUP(B734,'Orders Ledger'!$A:$A,'Orders Ledger'!$F:$F,""))</f>
        <v/>
      </c>
      <c r="G734" t="str">
        <f>IF(B734="","",_xlfn.XLOOKUP(B734,'Orders Ledger'!$A:$A,'Orders Ledger'!$N:$N,0))</f>
        <v/>
      </c>
    </row>
    <row r="735" spans="2:7" x14ac:dyDescent="0.3">
      <c r="B735" t="str">
        <f t="array" ref="B735">IFERROR(INDEX('Orders Ledger'!$A$2:$A$1501, SMALL(IF(('Orders Ledger'!$J$2:$J$1501="disputed")+('Orders Ledger'!$J$2:$J$1501="PENDING_REVIEW"), ROW('Orders Ledger'!$A$2:$A$1501)-ROW('Orders Ledger'!$A$2)+1), ROW(677:677))), "")</f>
        <v/>
      </c>
      <c r="C735" s="11" t="str">
        <f>IF(B735="","",_xlfn.XLOOKUP(B735,'Orders Ledger'!$A:$A,'Orders Ledger'!$B:$B,""))</f>
        <v/>
      </c>
      <c r="D735" t="str">
        <f>IF(B735="","",_xlfn.XLOOKUP(B735,'Orders Ledger'!$A:$A,'Orders Ledger'!$G:$G,""))</f>
        <v/>
      </c>
      <c r="E735" t="str">
        <f>IF(B735="","",_xlfn.XLOOKUP(B735,'Orders Ledger'!$A:$A,'Orders Ledger'!$H:$H,""))</f>
        <v/>
      </c>
      <c r="F735" t="str">
        <f>IF(B735="","",_xlfn.XLOOKUP(B735,'Orders Ledger'!$A:$A,'Orders Ledger'!$F:$F,""))</f>
        <v/>
      </c>
      <c r="G735" t="str">
        <f>IF(B735="","",_xlfn.XLOOKUP(B735,'Orders Ledger'!$A:$A,'Orders Ledger'!$N:$N,0))</f>
        <v/>
      </c>
    </row>
    <row r="736" spans="2:7" x14ac:dyDescent="0.3">
      <c r="B736" t="str">
        <f t="array" ref="B736">IFERROR(INDEX('Orders Ledger'!$A$2:$A$1501, SMALL(IF(('Orders Ledger'!$J$2:$J$1501="disputed")+('Orders Ledger'!$J$2:$J$1501="PENDING_REVIEW"), ROW('Orders Ledger'!$A$2:$A$1501)-ROW('Orders Ledger'!$A$2)+1), ROW(678:678))), "")</f>
        <v/>
      </c>
      <c r="C736" s="11" t="str">
        <f>IF(B736="","",_xlfn.XLOOKUP(B736,'Orders Ledger'!$A:$A,'Orders Ledger'!$B:$B,""))</f>
        <v/>
      </c>
      <c r="D736" t="str">
        <f>IF(B736="","",_xlfn.XLOOKUP(B736,'Orders Ledger'!$A:$A,'Orders Ledger'!$G:$G,""))</f>
        <v/>
      </c>
      <c r="E736" t="str">
        <f>IF(B736="","",_xlfn.XLOOKUP(B736,'Orders Ledger'!$A:$A,'Orders Ledger'!$H:$H,""))</f>
        <v/>
      </c>
      <c r="F736" t="str">
        <f>IF(B736="","",_xlfn.XLOOKUP(B736,'Orders Ledger'!$A:$A,'Orders Ledger'!$F:$F,""))</f>
        <v/>
      </c>
      <c r="G736" t="str">
        <f>IF(B736="","",_xlfn.XLOOKUP(B736,'Orders Ledger'!$A:$A,'Orders Ledger'!$N:$N,0))</f>
        <v/>
      </c>
    </row>
    <row r="737" spans="2:7" x14ac:dyDescent="0.3">
      <c r="B737" t="str">
        <f t="array" ref="B737">IFERROR(INDEX('Orders Ledger'!$A$2:$A$1501, SMALL(IF(('Orders Ledger'!$J$2:$J$1501="disputed")+('Orders Ledger'!$J$2:$J$1501="PENDING_REVIEW"), ROW('Orders Ledger'!$A$2:$A$1501)-ROW('Orders Ledger'!$A$2)+1), ROW(679:679))), "")</f>
        <v/>
      </c>
      <c r="C737" s="11" t="str">
        <f>IF(B737="","",_xlfn.XLOOKUP(B737,'Orders Ledger'!$A:$A,'Orders Ledger'!$B:$B,""))</f>
        <v/>
      </c>
      <c r="D737" t="str">
        <f>IF(B737="","",_xlfn.XLOOKUP(B737,'Orders Ledger'!$A:$A,'Orders Ledger'!$G:$G,""))</f>
        <v/>
      </c>
      <c r="E737" t="str">
        <f>IF(B737="","",_xlfn.XLOOKUP(B737,'Orders Ledger'!$A:$A,'Orders Ledger'!$H:$H,""))</f>
        <v/>
      </c>
      <c r="F737" t="str">
        <f>IF(B737="","",_xlfn.XLOOKUP(B737,'Orders Ledger'!$A:$A,'Orders Ledger'!$F:$F,""))</f>
        <v/>
      </c>
      <c r="G737" t="str">
        <f>IF(B737="","",_xlfn.XLOOKUP(B737,'Orders Ledger'!$A:$A,'Orders Ledger'!$N:$N,0))</f>
        <v/>
      </c>
    </row>
    <row r="738" spans="2:7" x14ac:dyDescent="0.3">
      <c r="B738" t="str">
        <f t="array" ref="B738">IFERROR(INDEX('Orders Ledger'!$A$2:$A$1501, SMALL(IF(('Orders Ledger'!$J$2:$J$1501="disputed")+('Orders Ledger'!$J$2:$J$1501="PENDING_REVIEW"), ROW('Orders Ledger'!$A$2:$A$1501)-ROW('Orders Ledger'!$A$2)+1), ROW(680:680))), "")</f>
        <v/>
      </c>
      <c r="C738" s="11" t="str">
        <f>IF(B738="","",_xlfn.XLOOKUP(B738,'Orders Ledger'!$A:$A,'Orders Ledger'!$B:$B,""))</f>
        <v/>
      </c>
      <c r="D738" t="str">
        <f>IF(B738="","",_xlfn.XLOOKUP(B738,'Orders Ledger'!$A:$A,'Orders Ledger'!$G:$G,""))</f>
        <v/>
      </c>
      <c r="E738" t="str">
        <f>IF(B738="","",_xlfn.XLOOKUP(B738,'Orders Ledger'!$A:$A,'Orders Ledger'!$H:$H,""))</f>
        <v/>
      </c>
      <c r="F738" t="str">
        <f>IF(B738="","",_xlfn.XLOOKUP(B738,'Orders Ledger'!$A:$A,'Orders Ledger'!$F:$F,""))</f>
        <v/>
      </c>
      <c r="G738" t="str">
        <f>IF(B738="","",_xlfn.XLOOKUP(B738,'Orders Ledger'!$A:$A,'Orders Ledger'!$N:$N,0))</f>
        <v/>
      </c>
    </row>
    <row r="739" spans="2:7" x14ac:dyDescent="0.3">
      <c r="B739" t="str">
        <f t="array" ref="B739">IFERROR(INDEX('Orders Ledger'!$A$2:$A$1501, SMALL(IF(('Orders Ledger'!$J$2:$J$1501="disputed")+('Orders Ledger'!$J$2:$J$1501="PENDING_REVIEW"), ROW('Orders Ledger'!$A$2:$A$1501)-ROW('Orders Ledger'!$A$2)+1), ROW(681:681))), "")</f>
        <v/>
      </c>
      <c r="C739" s="11" t="str">
        <f>IF(B739="","",_xlfn.XLOOKUP(B739,'Orders Ledger'!$A:$A,'Orders Ledger'!$B:$B,""))</f>
        <v/>
      </c>
      <c r="D739" t="str">
        <f>IF(B739="","",_xlfn.XLOOKUP(B739,'Orders Ledger'!$A:$A,'Orders Ledger'!$G:$G,""))</f>
        <v/>
      </c>
      <c r="E739" t="str">
        <f>IF(B739="","",_xlfn.XLOOKUP(B739,'Orders Ledger'!$A:$A,'Orders Ledger'!$H:$H,""))</f>
        <v/>
      </c>
      <c r="F739" t="str">
        <f>IF(B739="","",_xlfn.XLOOKUP(B739,'Orders Ledger'!$A:$A,'Orders Ledger'!$F:$F,""))</f>
        <v/>
      </c>
      <c r="G739" t="str">
        <f>IF(B739="","",_xlfn.XLOOKUP(B739,'Orders Ledger'!$A:$A,'Orders Ledger'!$N:$N,0))</f>
        <v/>
      </c>
    </row>
    <row r="740" spans="2:7" x14ac:dyDescent="0.3">
      <c r="B740" t="str">
        <f t="array" ref="B740">IFERROR(INDEX('Orders Ledger'!$A$2:$A$1501, SMALL(IF(('Orders Ledger'!$J$2:$J$1501="disputed")+('Orders Ledger'!$J$2:$J$1501="PENDING_REVIEW"), ROW('Orders Ledger'!$A$2:$A$1501)-ROW('Orders Ledger'!$A$2)+1), ROW(682:682))), "")</f>
        <v/>
      </c>
      <c r="C740" s="11" t="str">
        <f>IF(B740="","",_xlfn.XLOOKUP(B740,'Orders Ledger'!$A:$A,'Orders Ledger'!$B:$B,""))</f>
        <v/>
      </c>
      <c r="D740" t="str">
        <f>IF(B740="","",_xlfn.XLOOKUP(B740,'Orders Ledger'!$A:$A,'Orders Ledger'!$G:$G,""))</f>
        <v/>
      </c>
      <c r="E740" t="str">
        <f>IF(B740="","",_xlfn.XLOOKUP(B740,'Orders Ledger'!$A:$A,'Orders Ledger'!$H:$H,""))</f>
        <v/>
      </c>
      <c r="F740" t="str">
        <f>IF(B740="","",_xlfn.XLOOKUP(B740,'Orders Ledger'!$A:$A,'Orders Ledger'!$F:$F,""))</f>
        <v/>
      </c>
      <c r="G740" t="str">
        <f>IF(B740="","",_xlfn.XLOOKUP(B740,'Orders Ledger'!$A:$A,'Orders Ledger'!$N:$N,0))</f>
        <v/>
      </c>
    </row>
    <row r="741" spans="2:7" x14ac:dyDescent="0.3">
      <c r="B741" t="str">
        <f t="array" ref="B741">IFERROR(INDEX('Orders Ledger'!$A$2:$A$1501, SMALL(IF(('Orders Ledger'!$J$2:$J$1501="disputed")+('Orders Ledger'!$J$2:$J$1501="PENDING_REVIEW"), ROW('Orders Ledger'!$A$2:$A$1501)-ROW('Orders Ledger'!$A$2)+1), ROW(683:683))), "")</f>
        <v/>
      </c>
      <c r="C741" s="11" t="str">
        <f>IF(B741="","",_xlfn.XLOOKUP(B741,'Orders Ledger'!$A:$A,'Orders Ledger'!$B:$B,""))</f>
        <v/>
      </c>
      <c r="D741" t="str">
        <f>IF(B741="","",_xlfn.XLOOKUP(B741,'Orders Ledger'!$A:$A,'Orders Ledger'!$G:$G,""))</f>
        <v/>
      </c>
      <c r="E741" t="str">
        <f>IF(B741="","",_xlfn.XLOOKUP(B741,'Orders Ledger'!$A:$A,'Orders Ledger'!$H:$H,""))</f>
        <v/>
      </c>
      <c r="F741" t="str">
        <f>IF(B741="","",_xlfn.XLOOKUP(B741,'Orders Ledger'!$A:$A,'Orders Ledger'!$F:$F,""))</f>
        <v/>
      </c>
      <c r="G741" t="str">
        <f>IF(B741="","",_xlfn.XLOOKUP(B741,'Orders Ledger'!$A:$A,'Orders Ledger'!$N:$N,0))</f>
        <v/>
      </c>
    </row>
    <row r="742" spans="2:7" x14ac:dyDescent="0.3">
      <c r="B742" t="str">
        <f t="array" ref="B742">IFERROR(INDEX('Orders Ledger'!$A$2:$A$1501, SMALL(IF(('Orders Ledger'!$J$2:$J$1501="disputed")+('Orders Ledger'!$J$2:$J$1501="PENDING_REVIEW"), ROW('Orders Ledger'!$A$2:$A$1501)-ROW('Orders Ledger'!$A$2)+1), ROW(684:684))), "")</f>
        <v/>
      </c>
      <c r="C742" s="11" t="str">
        <f>IF(B742="","",_xlfn.XLOOKUP(B742,'Orders Ledger'!$A:$A,'Orders Ledger'!$B:$B,""))</f>
        <v/>
      </c>
      <c r="D742" t="str">
        <f>IF(B742="","",_xlfn.XLOOKUP(B742,'Orders Ledger'!$A:$A,'Orders Ledger'!$G:$G,""))</f>
        <v/>
      </c>
      <c r="E742" t="str">
        <f>IF(B742="","",_xlfn.XLOOKUP(B742,'Orders Ledger'!$A:$A,'Orders Ledger'!$H:$H,""))</f>
        <v/>
      </c>
      <c r="F742" t="str">
        <f>IF(B742="","",_xlfn.XLOOKUP(B742,'Orders Ledger'!$A:$A,'Orders Ledger'!$F:$F,""))</f>
        <v/>
      </c>
      <c r="G742" t="str">
        <f>IF(B742="","",_xlfn.XLOOKUP(B742,'Orders Ledger'!$A:$A,'Orders Ledger'!$N:$N,0))</f>
        <v/>
      </c>
    </row>
    <row r="743" spans="2:7" x14ac:dyDescent="0.3">
      <c r="B743" t="str">
        <f t="array" ref="B743">IFERROR(INDEX('Orders Ledger'!$A$2:$A$1501, SMALL(IF(('Orders Ledger'!$J$2:$J$1501="disputed")+('Orders Ledger'!$J$2:$J$1501="PENDING_REVIEW"), ROW('Orders Ledger'!$A$2:$A$1501)-ROW('Orders Ledger'!$A$2)+1), ROW(685:685))), "")</f>
        <v/>
      </c>
      <c r="C743" s="11" t="str">
        <f>IF(B743="","",_xlfn.XLOOKUP(B743,'Orders Ledger'!$A:$A,'Orders Ledger'!$B:$B,""))</f>
        <v/>
      </c>
      <c r="D743" t="str">
        <f>IF(B743="","",_xlfn.XLOOKUP(B743,'Orders Ledger'!$A:$A,'Orders Ledger'!$G:$G,""))</f>
        <v/>
      </c>
      <c r="E743" t="str">
        <f>IF(B743="","",_xlfn.XLOOKUP(B743,'Orders Ledger'!$A:$A,'Orders Ledger'!$H:$H,""))</f>
        <v/>
      </c>
      <c r="F743" t="str">
        <f>IF(B743="","",_xlfn.XLOOKUP(B743,'Orders Ledger'!$A:$A,'Orders Ledger'!$F:$F,""))</f>
        <v/>
      </c>
      <c r="G743" t="str">
        <f>IF(B743="","",_xlfn.XLOOKUP(B743,'Orders Ledger'!$A:$A,'Orders Ledger'!$N:$N,0))</f>
        <v/>
      </c>
    </row>
    <row r="744" spans="2:7" x14ac:dyDescent="0.3">
      <c r="B744" t="str">
        <f t="array" ref="B744">IFERROR(INDEX('Orders Ledger'!$A$2:$A$1501, SMALL(IF(('Orders Ledger'!$J$2:$J$1501="disputed")+('Orders Ledger'!$J$2:$J$1501="PENDING_REVIEW"), ROW('Orders Ledger'!$A$2:$A$1501)-ROW('Orders Ledger'!$A$2)+1), ROW(686:686))), "")</f>
        <v/>
      </c>
      <c r="C744" s="11" t="str">
        <f>IF(B744="","",_xlfn.XLOOKUP(B744,'Orders Ledger'!$A:$A,'Orders Ledger'!$B:$B,""))</f>
        <v/>
      </c>
      <c r="D744" t="str">
        <f>IF(B744="","",_xlfn.XLOOKUP(B744,'Orders Ledger'!$A:$A,'Orders Ledger'!$G:$G,""))</f>
        <v/>
      </c>
      <c r="E744" t="str">
        <f>IF(B744="","",_xlfn.XLOOKUP(B744,'Orders Ledger'!$A:$A,'Orders Ledger'!$H:$H,""))</f>
        <v/>
      </c>
      <c r="F744" t="str">
        <f>IF(B744="","",_xlfn.XLOOKUP(B744,'Orders Ledger'!$A:$A,'Orders Ledger'!$F:$F,""))</f>
        <v/>
      </c>
      <c r="G744" t="str">
        <f>IF(B744="","",_xlfn.XLOOKUP(B744,'Orders Ledger'!$A:$A,'Orders Ledger'!$N:$N,0))</f>
        <v/>
      </c>
    </row>
    <row r="745" spans="2:7" x14ac:dyDescent="0.3">
      <c r="B745" t="str">
        <f t="array" ref="B745">IFERROR(INDEX('Orders Ledger'!$A$2:$A$1501, SMALL(IF(('Orders Ledger'!$J$2:$J$1501="disputed")+('Orders Ledger'!$J$2:$J$1501="PENDING_REVIEW"), ROW('Orders Ledger'!$A$2:$A$1501)-ROW('Orders Ledger'!$A$2)+1), ROW(687:687))), "")</f>
        <v/>
      </c>
      <c r="C745" s="11" t="str">
        <f>IF(B745="","",_xlfn.XLOOKUP(B745,'Orders Ledger'!$A:$A,'Orders Ledger'!$B:$B,""))</f>
        <v/>
      </c>
      <c r="D745" t="str">
        <f>IF(B745="","",_xlfn.XLOOKUP(B745,'Orders Ledger'!$A:$A,'Orders Ledger'!$G:$G,""))</f>
        <v/>
      </c>
      <c r="E745" t="str">
        <f>IF(B745="","",_xlfn.XLOOKUP(B745,'Orders Ledger'!$A:$A,'Orders Ledger'!$H:$H,""))</f>
        <v/>
      </c>
      <c r="F745" t="str">
        <f>IF(B745="","",_xlfn.XLOOKUP(B745,'Orders Ledger'!$A:$A,'Orders Ledger'!$F:$F,""))</f>
        <v/>
      </c>
      <c r="G745" t="str">
        <f>IF(B745="","",_xlfn.XLOOKUP(B745,'Orders Ledger'!$A:$A,'Orders Ledger'!$N:$N,0))</f>
        <v/>
      </c>
    </row>
    <row r="746" spans="2:7" x14ac:dyDescent="0.3">
      <c r="B746" t="str">
        <f t="array" ref="B746">IFERROR(INDEX('Orders Ledger'!$A$2:$A$1501, SMALL(IF(('Orders Ledger'!$J$2:$J$1501="disputed")+('Orders Ledger'!$J$2:$J$1501="PENDING_REVIEW"), ROW('Orders Ledger'!$A$2:$A$1501)-ROW('Orders Ledger'!$A$2)+1), ROW(688:688))), "")</f>
        <v/>
      </c>
      <c r="C746" s="11" t="str">
        <f>IF(B746="","",_xlfn.XLOOKUP(B746,'Orders Ledger'!$A:$A,'Orders Ledger'!$B:$B,""))</f>
        <v/>
      </c>
      <c r="D746" t="str">
        <f>IF(B746="","",_xlfn.XLOOKUP(B746,'Orders Ledger'!$A:$A,'Orders Ledger'!$G:$G,""))</f>
        <v/>
      </c>
      <c r="E746" t="str">
        <f>IF(B746="","",_xlfn.XLOOKUP(B746,'Orders Ledger'!$A:$A,'Orders Ledger'!$H:$H,""))</f>
        <v/>
      </c>
      <c r="F746" t="str">
        <f>IF(B746="","",_xlfn.XLOOKUP(B746,'Orders Ledger'!$A:$A,'Orders Ledger'!$F:$F,""))</f>
        <v/>
      </c>
      <c r="G746" t="str">
        <f>IF(B746="","",_xlfn.XLOOKUP(B746,'Orders Ledger'!$A:$A,'Orders Ledger'!$N:$N,0))</f>
        <v/>
      </c>
    </row>
    <row r="747" spans="2:7" x14ac:dyDescent="0.3">
      <c r="B747" t="str">
        <f t="array" ref="B747">IFERROR(INDEX('Orders Ledger'!$A$2:$A$1501, SMALL(IF(('Orders Ledger'!$J$2:$J$1501="disputed")+('Orders Ledger'!$J$2:$J$1501="PENDING_REVIEW"), ROW('Orders Ledger'!$A$2:$A$1501)-ROW('Orders Ledger'!$A$2)+1), ROW(689:689))), "")</f>
        <v/>
      </c>
      <c r="C747" s="11" t="str">
        <f>IF(B747="","",_xlfn.XLOOKUP(B747,'Orders Ledger'!$A:$A,'Orders Ledger'!$B:$B,""))</f>
        <v/>
      </c>
      <c r="D747" t="str">
        <f>IF(B747="","",_xlfn.XLOOKUP(B747,'Orders Ledger'!$A:$A,'Orders Ledger'!$G:$G,""))</f>
        <v/>
      </c>
      <c r="E747" t="str">
        <f>IF(B747="","",_xlfn.XLOOKUP(B747,'Orders Ledger'!$A:$A,'Orders Ledger'!$H:$H,""))</f>
        <v/>
      </c>
      <c r="F747" t="str">
        <f>IF(B747="","",_xlfn.XLOOKUP(B747,'Orders Ledger'!$A:$A,'Orders Ledger'!$F:$F,""))</f>
        <v/>
      </c>
      <c r="G747" t="str">
        <f>IF(B747="","",_xlfn.XLOOKUP(B747,'Orders Ledger'!$A:$A,'Orders Ledger'!$N:$N,0))</f>
        <v/>
      </c>
    </row>
    <row r="748" spans="2:7" x14ac:dyDescent="0.3">
      <c r="B748" t="str">
        <f t="array" ref="B748">IFERROR(INDEX('Orders Ledger'!$A$2:$A$1501, SMALL(IF(('Orders Ledger'!$J$2:$J$1501="disputed")+('Orders Ledger'!$J$2:$J$1501="PENDING_REVIEW"), ROW('Orders Ledger'!$A$2:$A$1501)-ROW('Orders Ledger'!$A$2)+1), ROW(690:690))), "")</f>
        <v/>
      </c>
      <c r="C748" s="11" t="str">
        <f>IF(B748="","",_xlfn.XLOOKUP(B748,'Orders Ledger'!$A:$A,'Orders Ledger'!$B:$B,""))</f>
        <v/>
      </c>
      <c r="D748" t="str">
        <f>IF(B748="","",_xlfn.XLOOKUP(B748,'Orders Ledger'!$A:$A,'Orders Ledger'!$G:$G,""))</f>
        <v/>
      </c>
      <c r="E748" t="str">
        <f>IF(B748="","",_xlfn.XLOOKUP(B748,'Orders Ledger'!$A:$A,'Orders Ledger'!$H:$H,""))</f>
        <v/>
      </c>
      <c r="F748" t="str">
        <f>IF(B748="","",_xlfn.XLOOKUP(B748,'Orders Ledger'!$A:$A,'Orders Ledger'!$F:$F,""))</f>
        <v/>
      </c>
      <c r="G748" t="str">
        <f>IF(B748="","",_xlfn.XLOOKUP(B748,'Orders Ledger'!$A:$A,'Orders Ledger'!$N:$N,0))</f>
        <v/>
      </c>
    </row>
    <row r="749" spans="2:7" x14ac:dyDescent="0.3">
      <c r="B749" t="str">
        <f t="array" ref="B749">IFERROR(INDEX('Orders Ledger'!$A$2:$A$1501, SMALL(IF(('Orders Ledger'!$J$2:$J$1501="disputed")+('Orders Ledger'!$J$2:$J$1501="PENDING_REVIEW"), ROW('Orders Ledger'!$A$2:$A$1501)-ROW('Orders Ledger'!$A$2)+1), ROW(691:691))), "")</f>
        <v/>
      </c>
      <c r="C749" s="11" t="str">
        <f>IF(B749="","",_xlfn.XLOOKUP(B749,'Orders Ledger'!$A:$A,'Orders Ledger'!$B:$B,""))</f>
        <v/>
      </c>
      <c r="D749" t="str">
        <f>IF(B749="","",_xlfn.XLOOKUP(B749,'Orders Ledger'!$A:$A,'Orders Ledger'!$G:$G,""))</f>
        <v/>
      </c>
      <c r="E749" t="str">
        <f>IF(B749="","",_xlfn.XLOOKUP(B749,'Orders Ledger'!$A:$A,'Orders Ledger'!$H:$H,""))</f>
        <v/>
      </c>
      <c r="F749" t="str">
        <f>IF(B749="","",_xlfn.XLOOKUP(B749,'Orders Ledger'!$A:$A,'Orders Ledger'!$F:$F,""))</f>
        <v/>
      </c>
      <c r="G749" t="str">
        <f>IF(B749="","",_xlfn.XLOOKUP(B749,'Orders Ledger'!$A:$A,'Orders Ledger'!$N:$N,0))</f>
        <v/>
      </c>
    </row>
    <row r="750" spans="2:7" x14ac:dyDescent="0.3">
      <c r="B750" t="str">
        <f t="array" ref="B750">IFERROR(INDEX('Orders Ledger'!$A$2:$A$1501, SMALL(IF(('Orders Ledger'!$J$2:$J$1501="disputed")+('Orders Ledger'!$J$2:$J$1501="PENDING_REVIEW"), ROW('Orders Ledger'!$A$2:$A$1501)-ROW('Orders Ledger'!$A$2)+1), ROW(692:692))), "")</f>
        <v/>
      </c>
      <c r="C750" s="11" t="str">
        <f>IF(B750="","",_xlfn.XLOOKUP(B750,'Orders Ledger'!$A:$A,'Orders Ledger'!$B:$B,""))</f>
        <v/>
      </c>
      <c r="D750" t="str">
        <f>IF(B750="","",_xlfn.XLOOKUP(B750,'Orders Ledger'!$A:$A,'Orders Ledger'!$G:$G,""))</f>
        <v/>
      </c>
      <c r="E750" t="str">
        <f>IF(B750="","",_xlfn.XLOOKUP(B750,'Orders Ledger'!$A:$A,'Orders Ledger'!$H:$H,""))</f>
        <v/>
      </c>
      <c r="F750" t="str">
        <f>IF(B750="","",_xlfn.XLOOKUP(B750,'Orders Ledger'!$A:$A,'Orders Ledger'!$F:$F,""))</f>
        <v/>
      </c>
      <c r="G750" t="str">
        <f>IF(B750="","",_xlfn.XLOOKUP(B750,'Orders Ledger'!$A:$A,'Orders Ledger'!$N:$N,0))</f>
        <v/>
      </c>
    </row>
    <row r="751" spans="2:7" x14ac:dyDescent="0.3">
      <c r="B751" t="str">
        <f t="array" ref="B751">IFERROR(INDEX('Orders Ledger'!$A$2:$A$1501, SMALL(IF(('Orders Ledger'!$J$2:$J$1501="disputed")+('Orders Ledger'!$J$2:$J$1501="PENDING_REVIEW"), ROW('Orders Ledger'!$A$2:$A$1501)-ROW('Orders Ledger'!$A$2)+1), ROW(693:693))), "")</f>
        <v/>
      </c>
      <c r="C751" s="11" t="str">
        <f>IF(B751="","",_xlfn.XLOOKUP(B751,'Orders Ledger'!$A:$A,'Orders Ledger'!$B:$B,""))</f>
        <v/>
      </c>
      <c r="D751" t="str">
        <f>IF(B751="","",_xlfn.XLOOKUP(B751,'Orders Ledger'!$A:$A,'Orders Ledger'!$G:$G,""))</f>
        <v/>
      </c>
      <c r="E751" t="str">
        <f>IF(B751="","",_xlfn.XLOOKUP(B751,'Orders Ledger'!$A:$A,'Orders Ledger'!$H:$H,""))</f>
        <v/>
      </c>
      <c r="F751" t="str">
        <f>IF(B751="","",_xlfn.XLOOKUP(B751,'Orders Ledger'!$A:$A,'Orders Ledger'!$F:$F,""))</f>
        <v/>
      </c>
      <c r="G751" t="str">
        <f>IF(B751="","",_xlfn.XLOOKUP(B751,'Orders Ledger'!$A:$A,'Orders Ledger'!$N:$N,0))</f>
        <v/>
      </c>
    </row>
    <row r="752" spans="2:7" x14ac:dyDescent="0.3">
      <c r="B752" t="str">
        <f t="array" ref="B752">IFERROR(INDEX('Orders Ledger'!$A$2:$A$1501, SMALL(IF(('Orders Ledger'!$J$2:$J$1501="disputed")+('Orders Ledger'!$J$2:$J$1501="PENDING_REVIEW"), ROW('Orders Ledger'!$A$2:$A$1501)-ROW('Orders Ledger'!$A$2)+1), ROW(694:694))), "")</f>
        <v/>
      </c>
      <c r="C752" s="11" t="str">
        <f>IF(B752="","",_xlfn.XLOOKUP(B752,'Orders Ledger'!$A:$A,'Orders Ledger'!$B:$B,""))</f>
        <v/>
      </c>
      <c r="D752" t="str">
        <f>IF(B752="","",_xlfn.XLOOKUP(B752,'Orders Ledger'!$A:$A,'Orders Ledger'!$G:$G,""))</f>
        <v/>
      </c>
      <c r="E752" t="str">
        <f>IF(B752="","",_xlfn.XLOOKUP(B752,'Orders Ledger'!$A:$A,'Orders Ledger'!$H:$H,""))</f>
        <v/>
      </c>
      <c r="F752" t="str">
        <f>IF(B752="","",_xlfn.XLOOKUP(B752,'Orders Ledger'!$A:$A,'Orders Ledger'!$F:$F,""))</f>
        <v/>
      </c>
      <c r="G752" t="str">
        <f>IF(B752="","",_xlfn.XLOOKUP(B752,'Orders Ledger'!$A:$A,'Orders Ledger'!$N:$N,0))</f>
        <v/>
      </c>
    </row>
    <row r="753" spans="2:7" x14ac:dyDescent="0.3">
      <c r="B753" t="str">
        <f t="array" ref="B753">IFERROR(INDEX('Orders Ledger'!$A$2:$A$1501, SMALL(IF(('Orders Ledger'!$J$2:$J$1501="disputed")+('Orders Ledger'!$J$2:$J$1501="PENDING_REVIEW"), ROW('Orders Ledger'!$A$2:$A$1501)-ROW('Orders Ledger'!$A$2)+1), ROW(695:695))), "")</f>
        <v/>
      </c>
      <c r="C753" s="11" t="str">
        <f>IF(B753="","",_xlfn.XLOOKUP(B753,'Orders Ledger'!$A:$A,'Orders Ledger'!$B:$B,""))</f>
        <v/>
      </c>
      <c r="D753" t="str">
        <f>IF(B753="","",_xlfn.XLOOKUP(B753,'Orders Ledger'!$A:$A,'Orders Ledger'!$G:$G,""))</f>
        <v/>
      </c>
      <c r="E753" t="str">
        <f>IF(B753="","",_xlfn.XLOOKUP(B753,'Orders Ledger'!$A:$A,'Orders Ledger'!$H:$H,""))</f>
        <v/>
      </c>
      <c r="F753" t="str">
        <f>IF(B753="","",_xlfn.XLOOKUP(B753,'Orders Ledger'!$A:$A,'Orders Ledger'!$F:$F,""))</f>
        <v/>
      </c>
      <c r="G753" t="str">
        <f>IF(B753="","",_xlfn.XLOOKUP(B753,'Orders Ledger'!$A:$A,'Orders Ledger'!$N:$N,0))</f>
        <v/>
      </c>
    </row>
    <row r="754" spans="2:7" x14ac:dyDescent="0.3">
      <c r="B754" t="str">
        <f t="array" ref="B754">IFERROR(INDEX('Orders Ledger'!$A$2:$A$1501, SMALL(IF(('Orders Ledger'!$J$2:$J$1501="disputed")+('Orders Ledger'!$J$2:$J$1501="PENDING_REVIEW"), ROW('Orders Ledger'!$A$2:$A$1501)-ROW('Orders Ledger'!$A$2)+1), ROW(696:696))), "")</f>
        <v/>
      </c>
      <c r="C754" s="11" t="str">
        <f>IF(B754="","",_xlfn.XLOOKUP(B754,'Orders Ledger'!$A:$A,'Orders Ledger'!$B:$B,""))</f>
        <v/>
      </c>
      <c r="D754" t="str">
        <f>IF(B754="","",_xlfn.XLOOKUP(B754,'Orders Ledger'!$A:$A,'Orders Ledger'!$G:$G,""))</f>
        <v/>
      </c>
      <c r="E754" t="str">
        <f>IF(B754="","",_xlfn.XLOOKUP(B754,'Orders Ledger'!$A:$A,'Orders Ledger'!$H:$H,""))</f>
        <v/>
      </c>
      <c r="F754" t="str">
        <f>IF(B754="","",_xlfn.XLOOKUP(B754,'Orders Ledger'!$A:$A,'Orders Ledger'!$F:$F,""))</f>
        <v/>
      </c>
      <c r="G754" t="str">
        <f>IF(B754="","",_xlfn.XLOOKUP(B754,'Orders Ledger'!$A:$A,'Orders Ledger'!$N:$N,0))</f>
        <v/>
      </c>
    </row>
    <row r="755" spans="2:7" x14ac:dyDescent="0.3">
      <c r="B755" t="str">
        <f t="array" ref="B755">IFERROR(INDEX('Orders Ledger'!$A$2:$A$1501, SMALL(IF(('Orders Ledger'!$J$2:$J$1501="disputed")+('Orders Ledger'!$J$2:$J$1501="PENDING_REVIEW"), ROW('Orders Ledger'!$A$2:$A$1501)-ROW('Orders Ledger'!$A$2)+1), ROW(697:697))), "")</f>
        <v/>
      </c>
      <c r="C755" s="11" t="str">
        <f>IF(B755="","",_xlfn.XLOOKUP(B755,'Orders Ledger'!$A:$A,'Orders Ledger'!$B:$B,""))</f>
        <v/>
      </c>
      <c r="D755" t="str">
        <f>IF(B755="","",_xlfn.XLOOKUP(B755,'Orders Ledger'!$A:$A,'Orders Ledger'!$G:$G,""))</f>
        <v/>
      </c>
      <c r="E755" t="str">
        <f>IF(B755="","",_xlfn.XLOOKUP(B755,'Orders Ledger'!$A:$A,'Orders Ledger'!$H:$H,""))</f>
        <v/>
      </c>
      <c r="F755" t="str">
        <f>IF(B755="","",_xlfn.XLOOKUP(B755,'Orders Ledger'!$A:$A,'Orders Ledger'!$F:$F,""))</f>
        <v/>
      </c>
      <c r="G755" t="str">
        <f>IF(B755="","",_xlfn.XLOOKUP(B755,'Orders Ledger'!$A:$A,'Orders Ledger'!$N:$N,0))</f>
        <v/>
      </c>
    </row>
    <row r="756" spans="2:7" x14ac:dyDescent="0.3">
      <c r="B756" t="str">
        <f t="array" ref="B756">IFERROR(INDEX('Orders Ledger'!$A$2:$A$1501, SMALL(IF(('Orders Ledger'!$J$2:$J$1501="disputed")+('Orders Ledger'!$J$2:$J$1501="PENDING_REVIEW"), ROW('Orders Ledger'!$A$2:$A$1501)-ROW('Orders Ledger'!$A$2)+1), ROW(698:698))), "")</f>
        <v/>
      </c>
      <c r="C756" s="11" t="str">
        <f>IF(B756="","",_xlfn.XLOOKUP(B756,'Orders Ledger'!$A:$A,'Orders Ledger'!$B:$B,""))</f>
        <v/>
      </c>
      <c r="D756" t="str">
        <f>IF(B756="","",_xlfn.XLOOKUP(B756,'Orders Ledger'!$A:$A,'Orders Ledger'!$G:$G,""))</f>
        <v/>
      </c>
      <c r="E756" t="str">
        <f>IF(B756="","",_xlfn.XLOOKUP(B756,'Orders Ledger'!$A:$A,'Orders Ledger'!$H:$H,""))</f>
        <v/>
      </c>
      <c r="F756" t="str">
        <f>IF(B756="","",_xlfn.XLOOKUP(B756,'Orders Ledger'!$A:$A,'Orders Ledger'!$F:$F,""))</f>
        <v/>
      </c>
      <c r="G756" t="str">
        <f>IF(B756="","",_xlfn.XLOOKUP(B756,'Orders Ledger'!$A:$A,'Orders Ledger'!$N:$N,0))</f>
        <v/>
      </c>
    </row>
    <row r="757" spans="2:7" x14ac:dyDescent="0.3">
      <c r="B757" t="str">
        <f t="array" ref="B757">IFERROR(INDEX('Orders Ledger'!$A$2:$A$1501, SMALL(IF(('Orders Ledger'!$J$2:$J$1501="disputed")+('Orders Ledger'!$J$2:$J$1501="PENDING_REVIEW"), ROW('Orders Ledger'!$A$2:$A$1501)-ROW('Orders Ledger'!$A$2)+1), ROW(699:699))), "")</f>
        <v/>
      </c>
      <c r="C757" s="11" t="str">
        <f>IF(B757="","",_xlfn.XLOOKUP(B757,'Orders Ledger'!$A:$A,'Orders Ledger'!$B:$B,""))</f>
        <v/>
      </c>
      <c r="D757" t="str">
        <f>IF(B757="","",_xlfn.XLOOKUP(B757,'Orders Ledger'!$A:$A,'Orders Ledger'!$G:$G,""))</f>
        <v/>
      </c>
      <c r="E757" t="str">
        <f>IF(B757="","",_xlfn.XLOOKUP(B757,'Orders Ledger'!$A:$A,'Orders Ledger'!$H:$H,""))</f>
        <v/>
      </c>
      <c r="F757" t="str">
        <f>IF(B757="","",_xlfn.XLOOKUP(B757,'Orders Ledger'!$A:$A,'Orders Ledger'!$F:$F,""))</f>
        <v/>
      </c>
      <c r="G757" t="str">
        <f>IF(B757="","",_xlfn.XLOOKUP(B757,'Orders Ledger'!$A:$A,'Orders Ledger'!$N:$N,0))</f>
        <v/>
      </c>
    </row>
    <row r="758" spans="2:7" x14ac:dyDescent="0.3">
      <c r="B758" t="str">
        <f t="array" ref="B758">IFERROR(INDEX('Orders Ledger'!$A$2:$A$1501, SMALL(IF(('Orders Ledger'!$J$2:$J$1501="disputed")+('Orders Ledger'!$J$2:$J$1501="PENDING_REVIEW"), ROW('Orders Ledger'!$A$2:$A$1501)-ROW('Orders Ledger'!$A$2)+1), ROW(700:700))), "")</f>
        <v/>
      </c>
      <c r="C758" s="11" t="str">
        <f>IF(B758="","",_xlfn.XLOOKUP(B758,'Orders Ledger'!$A:$A,'Orders Ledger'!$B:$B,""))</f>
        <v/>
      </c>
      <c r="D758" t="str">
        <f>IF(B758="","",_xlfn.XLOOKUP(B758,'Orders Ledger'!$A:$A,'Orders Ledger'!$G:$G,""))</f>
        <v/>
      </c>
      <c r="E758" t="str">
        <f>IF(B758="","",_xlfn.XLOOKUP(B758,'Orders Ledger'!$A:$A,'Orders Ledger'!$H:$H,""))</f>
        <v/>
      </c>
      <c r="F758" t="str">
        <f>IF(B758="","",_xlfn.XLOOKUP(B758,'Orders Ledger'!$A:$A,'Orders Ledger'!$F:$F,""))</f>
        <v/>
      </c>
      <c r="G758" t="str">
        <f>IF(B758="","",_xlfn.XLOOKUP(B758,'Orders Ledger'!$A:$A,'Orders Ledger'!$N:$N,0))</f>
        <v/>
      </c>
    </row>
    <row r="759" spans="2:7" x14ac:dyDescent="0.3">
      <c r="B759" t="str">
        <f t="array" ref="B759">IFERROR(INDEX('Orders Ledger'!$A$2:$A$1501, SMALL(IF(('Orders Ledger'!$J$2:$J$1501="disputed")+('Orders Ledger'!$J$2:$J$1501="PENDING_REVIEW"), ROW('Orders Ledger'!$A$2:$A$1501)-ROW('Orders Ledger'!$A$2)+1), ROW(701:701))), "")</f>
        <v/>
      </c>
      <c r="C759" s="11" t="str">
        <f>IF(B759="","",_xlfn.XLOOKUP(B759,'Orders Ledger'!$A:$A,'Orders Ledger'!$B:$B,""))</f>
        <v/>
      </c>
      <c r="D759" t="str">
        <f>IF(B759="","",_xlfn.XLOOKUP(B759,'Orders Ledger'!$A:$A,'Orders Ledger'!$G:$G,""))</f>
        <v/>
      </c>
      <c r="E759" t="str">
        <f>IF(B759="","",_xlfn.XLOOKUP(B759,'Orders Ledger'!$A:$A,'Orders Ledger'!$H:$H,""))</f>
        <v/>
      </c>
      <c r="F759" t="str">
        <f>IF(B759="","",_xlfn.XLOOKUP(B759,'Orders Ledger'!$A:$A,'Orders Ledger'!$F:$F,""))</f>
        <v/>
      </c>
      <c r="G759" t="str">
        <f>IF(B759="","",_xlfn.XLOOKUP(B759,'Orders Ledger'!$A:$A,'Orders Ledger'!$N:$N,0))</f>
        <v/>
      </c>
    </row>
    <row r="760" spans="2:7" x14ac:dyDescent="0.3">
      <c r="B760" t="str">
        <f t="array" ref="B760">IFERROR(INDEX('Orders Ledger'!$A$2:$A$1501, SMALL(IF(('Orders Ledger'!$J$2:$J$1501="disputed")+('Orders Ledger'!$J$2:$J$1501="PENDING_REVIEW"), ROW('Orders Ledger'!$A$2:$A$1501)-ROW('Orders Ledger'!$A$2)+1), ROW(702:702))), "")</f>
        <v/>
      </c>
      <c r="C760" s="11" t="str">
        <f>IF(B760="","",_xlfn.XLOOKUP(B760,'Orders Ledger'!$A:$A,'Orders Ledger'!$B:$B,""))</f>
        <v/>
      </c>
      <c r="D760" t="str">
        <f>IF(B760="","",_xlfn.XLOOKUP(B760,'Orders Ledger'!$A:$A,'Orders Ledger'!$G:$G,""))</f>
        <v/>
      </c>
      <c r="E760" t="str">
        <f>IF(B760="","",_xlfn.XLOOKUP(B760,'Orders Ledger'!$A:$A,'Orders Ledger'!$H:$H,""))</f>
        <v/>
      </c>
      <c r="F760" t="str">
        <f>IF(B760="","",_xlfn.XLOOKUP(B760,'Orders Ledger'!$A:$A,'Orders Ledger'!$F:$F,""))</f>
        <v/>
      </c>
      <c r="G760" t="str">
        <f>IF(B760="","",_xlfn.XLOOKUP(B760,'Orders Ledger'!$A:$A,'Orders Ledger'!$N:$N,0))</f>
        <v/>
      </c>
    </row>
    <row r="761" spans="2:7" x14ac:dyDescent="0.3">
      <c r="B761" t="str">
        <f t="array" ref="B761">IFERROR(INDEX('Orders Ledger'!$A$2:$A$1501, SMALL(IF(('Orders Ledger'!$J$2:$J$1501="disputed")+('Orders Ledger'!$J$2:$J$1501="PENDING_REVIEW"), ROW('Orders Ledger'!$A$2:$A$1501)-ROW('Orders Ledger'!$A$2)+1), ROW(703:703))), "")</f>
        <v/>
      </c>
      <c r="C761" s="11" t="str">
        <f>IF(B761="","",_xlfn.XLOOKUP(B761,'Orders Ledger'!$A:$A,'Orders Ledger'!$B:$B,""))</f>
        <v/>
      </c>
      <c r="D761" t="str">
        <f>IF(B761="","",_xlfn.XLOOKUP(B761,'Orders Ledger'!$A:$A,'Orders Ledger'!$G:$G,""))</f>
        <v/>
      </c>
      <c r="E761" t="str">
        <f>IF(B761="","",_xlfn.XLOOKUP(B761,'Orders Ledger'!$A:$A,'Orders Ledger'!$H:$H,""))</f>
        <v/>
      </c>
      <c r="F761" t="str">
        <f>IF(B761="","",_xlfn.XLOOKUP(B761,'Orders Ledger'!$A:$A,'Orders Ledger'!$F:$F,""))</f>
        <v/>
      </c>
      <c r="G761" t="str">
        <f>IF(B761="","",_xlfn.XLOOKUP(B761,'Orders Ledger'!$A:$A,'Orders Ledger'!$N:$N,0))</f>
        <v/>
      </c>
    </row>
    <row r="762" spans="2:7" x14ac:dyDescent="0.3">
      <c r="B762" t="str">
        <f t="array" ref="B762">IFERROR(INDEX('Orders Ledger'!$A$2:$A$1501, SMALL(IF(('Orders Ledger'!$J$2:$J$1501="disputed")+('Orders Ledger'!$J$2:$J$1501="PENDING_REVIEW"), ROW('Orders Ledger'!$A$2:$A$1501)-ROW('Orders Ledger'!$A$2)+1), ROW(704:704))), "")</f>
        <v/>
      </c>
      <c r="C762" s="11" t="str">
        <f>IF(B762="","",_xlfn.XLOOKUP(B762,'Orders Ledger'!$A:$A,'Orders Ledger'!$B:$B,""))</f>
        <v/>
      </c>
      <c r="D762" t="str">
        <f>IF(B762="","",_xlfn.XLOOKUP(B762,'Orders Ledger'!$A:$A,'Orders Ledger'!$G:$G,""))</f>
        <v/>
      </c>
      <c r="E762" t="str">
        <f>IF(B762="","",_xlfn.XLOOKUP(B762,'Orders Ledger'!$A:$A,'Orders Ledger'!$H:$H,""))</f>
        <v/>
      </c>
      <c r="F762" t="str">
        <f>IF(B762="","",_xlfn.XLOOKUP(B762,'Orders Ledger'!$A:$A,'Orders Ledger'!$F:$F,""))</f>
        <v/>
      </c>
      <c r="G762" t="str">
        <f>IF(B762="","",_xlfn.XLOOKUP(B762,'Orders Ledger'!$A:$A,'Orders Ledger'!$N:$N,0))</f>
        <v/>
      </c>
    </row>
    <row r="763" spans="2:7" x14ac:dyDescent="0.3">
      <c r="B763" t="str">
        <f t="array" ref="B763">IFERROR(INDEX('Orders Ledger'!$A$2:$A$1501, SMALL(IF(('Orders Ledger'!$J$2:$J$1501="disputed")+('Orders Ledger'!$J$2:$J$1501="PENDING_REVIEW"), ROW('Orders Ledger'!$A$2:$A$1501)-ROW('Orders Ledger'!$A$2)+1), ROW(705:705))), "")</f>
        <v/>
      </c>
      <c r="C763" s="11" t="str">
        <f>IF(B763="","",_xlfn.XLOOKUP(B763,'Orders Ledger'!$A:$A,'Orders Ledger'!$B:$B,""))</f>
        <v/>
      </c>
      <c r="D763" t="str">
        <f>IF(B763="","",_xlfn.XLOOKUP(B763,'Orders Ledger'!$A:$A,'Orders Ledger'!$G:$G,""))</f>
        <v/>
      </c>
      <c r="E763" t="str">
        <f>IF(B763="","",_xlfn.XLOOKUP(B763,'Orders Ledger'!$A:$A,'Orders Ledger'!$H:$H,""))</f>
        <v/>
      </c>
      <c r="F763" t="str">
        <f>IF(B763="","",_xlfn.XLOOKUP(B763,'Orders Ledger'!$A:$A,'Orders Ledger'!$F:$F,""))</f>
        <v/>
      </c>
      <c r="G763" t="str">
        <f>IF(B763="","",_xlfn.XLOOKUP(B763,'Orders Ledger'!$A:$A,'Orders Ledger'!$N:$N,0))</f>
        <v/>
      </c>
    </row>
    <row r="764" spans="2:7" x14ac:dyDescent="0.3">
      <c r="B764" t="str">
        <f t="array" ref="B764">IFERROR(INDEX('Orders Ledger'!$A$2:$A$1501, SMALL(IF(('Orders Ledger'!$J$2:$J$1501="disputed")+('Orders Ledger'!$J$2:$J$1501="PENDING_REVIEW"), ROW('Orders Ledger'!$A$2:$A$1501)-ROW('Orders Ledger'!$A$2)+1), ROW(706:706))), "")</f>
        <v/>
      </c>
      <c r="C764" s="11" t="str">
        <f>IF(B764="","",_xlfn.XLOOKUP(B764,'Orders Ledger'!$A:$A,'Orders Ledger'!$B:$B,""))</f>
        <v/>
      </c>
      <c r="D764" t="str">
        <f>IF(B764="","",_xlfn.XLOOKUP(B764,'Orders Ledger'!$A:$A,'Orders Ledger'!$G:$G,""))</f>
        <v/>
      </c>
      <c r="E764" t="str">
        <f>IF(B764="","",_xlfn.XLOOKUP(B764,'Orders Ledger'!$A:$A,'Orders Ledger'!$H:$H,""))</f>
        <v/>
      </c>
      <c r="F764" t="str">
        <f>IF(B764="","",_xlfn.XLOOKUP(B764,'Orders Ledger'!$A:$A,'Orders Ledger'!$F:$F,""))</f>
        <v/>
      </c>
      <c r="G764" t="str">
        <f>IF(B764="","",_xlfn.XLOOKUP(B764,'Orders Ledger'!$A:$A,'Orders Ledger'!$N:$N,0))</f>
        <v/>
      </c>
    </row>
    <row r="765" spans="2:7" x14ac:dyDescent="0.3">
      <c r="B765" t="str">
        <f t="array" ref="B765">IFERROR(INDEX('Orders Ledger'!$A$2:$A$1501, SMALL(IF(('Orders Ledger'!$J$2:$J$1501="disputed")+('Orders Ledger'!$J$2:$J$1501="PENDING_REVIEW"), ROW('Orders Ledger'!$A$2:$A$1501)-ROW('Orders Ledger'!$A$2)+1), ROW(707:707))), "")</f>
        <v/>
      </c>
      <c r="C765" s="11" t="str">
        <f>IF(B765="","",_xlfn.XLOOKUP(B765,'Orders Ledger'!$A:$A,'Orders Ledger'!$B:$B,""))</f>
        <v/>
      </c>
      <c r="D765" t="str">
        <f>IF(B765="","",_xlfn.XLOOKUP(B765,'Orders Ledger'!$A:$A,'Orders Ledger'!$G:$G,""))</f>
        <v/>
      </c>
      <c r="E765" t="str">
        <f>IF(B765="","",_xlfn.XLOOKUP(B765,'Orders Ledger'!$A:$A,'Orders Ledger'!$H:$H,""))</f>
        <v/>
      </c>
      <c r="F765" t="str">
        <f>IF(B765="","",_xlfn.XLOOKUP(B765,'Orders Ledger'!$A:$A,'Orders Ledger'!$F:$F,""))</f>
        <v/>
      </c>
      <c r="G765" t="str">
        <f>IF(B765="","",_xlfn.XLOOKUP(B765,'Orders Ledger'!$A:$A,'Orders Ledger'!$N:$N,0))</f>
        <v/>
      </c>
    </row>
    <row r="766" spans="2:7" x14ac:dyDescent="0.3">
      <c r="B766" t="str">
        <f t="array" ref="B766">IFERROR(INDEX('Orders Ledger'!$A$2:$A$1501, SMALL(IF(('Orders Ledger'!$J$2:$J$1501="disputed")+('Orders Ledger'!$J$2:$J$1501="PENDING_REVIEW"), ROW('Orders Ledger'!$A$2:$A$1501)-ROW('Orders Ledger'!$A$2)+1), ROW(708:708))), "")</f>
        <v/>
      </c>
      <c r="C766" s="11" t="str">
        <f>IF(B766="","",_xlfn.XLOOKUP(B766,'Orders Ledger'!$A:$A,'Orders Ledger'!$B:$B,""))</f>
        <v/>
      </c>
      <c r="D766" t="str">
        <f>IF(B766="","",_xlfn.XLOOKUP(B766,'Orders Ledger'!$A:$A,'Orders Ledger'!$G:$G,""))</f>
        <v/>
      </c>
      <c r="E766" t="str">
        <f>IF(B766="","",_xlfn.XLOOKUP(B766,'Orders Ledger'!$A:$A,'Orders Ledger'!$H:$H,""))</f>
        <v/>
      </c>
      <c r="F766" t="str">
        <f>IF(B766="","",_xlfn.XLOOKUP(B766,'Orders Ledger'!$A:$A,'Orders Ledger'!$F:$F,""))</f>
        <v/>
      </c>
      <c r="G766" t="str">
        <f>IF(B766="","",_xlfn.XLOOKUP(B766,'Orders Ledger'!$A:$A,'Orders Ledger'!$N:$N,0))</f>
        <v/>
      </c>
    </row>
    <row r="767" spans="2:7" x14ac:dyDescent="0.3">
      <c r="B767" t="str">
        <f t="array" ref="B767">IFERROR(INDEX('Orders Ledger'!$A$2:$A$1501, SMALL(IF(('Orders Ledger'!$J$2:$J$1501="disputed")+('Orders Ledger'!$J$2:$J$1501="PENDING_REVIEW"), ROW('Orders Ledger'!$A$2:$A$1501)-ROW('Orders Ledger'!$A$2)+1), ROW(709:709))), "")</f>
        <v/>
      </c>
      <c r="C767" s="11" t="str">
        <f>IF(B767="","",_xlfn.XLOOKUP(B767,'Orders Ledger'!$A:$A,'Orders Ledger'!$B:$B,""))</f>
        <v/>
      </c>
      <c r="D767" t="str">
        <f>IF(B767="","",_xlfn.XLOOKUP(B767,'Orders Ledger'!$A:$A,'Orders Ledger'!$G:$G,""))</f>
        <v/>
      </c>
      <c r="E767" t="str">
        <f>IF(B767="","",_xlfn.XLOOKUP(B767,'Orders Ledger'!$A:$A,'Orders Ledger'!$H:$H,""))</f>
        <v/>
      </c>
      <c r="F767" t="str">
        <f>IF(B767="","",_xlfn.XLOOKUP(B767,'Orders Ledger'!$A:$A,'Orders Ledger'!$F:$F,""))</f>
        <v/>
      </c>
      <c r="G767" t="str">
        <f>IF(B767="","",_xlfn.XLOOKUP(B767,'Orders Ledger'!$A:$A,'Orders Ledger'!$N:$N,0))</f>
        <v/>
      </c>
    </row>
    <row r="768" spans="2:7" x14ac:dyDescent="0.3">
      <c r="B768" t="str">
        <f t="array" ref="B768">IFERROR(INDEX('Orders Ledger'!$A$2:$A$1501, SMALL(IF(('Orders Ledger'!$J$2:$J$1501="disputed")+('Orders Ledger'!$J$2:$J$1501="PENDING_REVIEW"), ROW('Orders Ledger'!$A$2:$A$1501)-ROW('Orders Ledger'!$A$2)+1), ROW(710:710))), "")</f>
        <v/>
      </c>
      <c r="C768" s="11" t="str">
        <f>IF(B768="","",_xlfn.XLOOKUP(B768,'Orders Ledger'!$A:$A,'Orders Ledger'!$B:$B,""))</f>
        <v/>
      </c>
      <c r="D768" t="str">
        <f>IF(B768="","",_xlfn.XLOOKUP(B768,'Orders Ledger'!$A:$A,'Orders Ledger'!$G:$G,""))</f>
        <v/>
      </c>
      <c r="E768" t="str">
        <f>IF(B768="","",_xlfn.XLOOKUP(B768,'Orders Ledger'!$A:$A,'Orders Ledger'!$H:$H,""))</f>
        <v/>
      </c>
      <c r="F768" t="str">
        <f>IF(B768="","",_xlfn.XLOOKUP(B768,'Orders Ledger'!$A:$A,'Orders Ledger'!$F:$F,""))</f>
        <v/>
      </c>
      <c r="G768" t="str">
        <f>IF(B768="","",_xlfn.XLOOKUP(B768,'Orders Ledger'!$A:$A,'Orders Ledger'!$N:$N,0))</f>
        <v/>
      </c>
    </row>
    <row r="769" spans="2:7" x14ac:dyDescent="0.3">
      <c r="B769" t="str">
        <f t="array" ref="B769">IFERROR(INDEX('Orders Ledger'!$A$2:$A$1501, SMALL(IF(('Orders Ledger'!$J$2:$J$1501="disputed")+('Orders Ledger'!$J$2:$J$1501="PENDING_REVIEW"), ROW('Orders Ledger'!$A$2:$A$1501)-ROW('Orders Ledger'!$A$2)+1), ROW(711:711))), "")</f>
        <v/>
      </c>
      <c r="C769" s="11" t="str">
        <f>IF(B769="","",_xlfn.XLOOKUP(B769,'Orders Ledger'!$A:$A,'Orders Ledger'!$B:$B,""))</f>
        <v/>
      </c>
      <c r="D769" t="str">
        <f>IF(B769="","",_xlfn.XLOOKUP(B769,'Orders Ledger'!$A:$A,'Orders Ledger'!$G:$G,""))</f>
        <v/>
      </c>
      <c r="E769" t="str">
        <f>IF(B769="","",_xlfn.XLOOKUP(B769,'Orders Ledger'!$A:$A,'Orders Ledger'!$H:$H,""))</f>
        <v/>
      </c>
      <c r="F769" t="str">
        <f>IF(B769="","",_xlfn.XLOOKUP(B769,'Orders Ledger'!$A:$A,'Orders Ledger'!$F:$F,""))</f>
        <v/>
      </c>
      <c r="G769" t="str">
        <f>IF(B769="","",_xlfn.XLOOKUP(B769,'Orders Ledger'!$A:$A,'Orders Ledger'!$N:$N,0))</f>
        <v/>
      </c>
    </row>
    <row r="770" spans="2:7" x14ac:dyDescent="0.3">
      <c r="B770" t="str">
        <f t="array" ref="B770">IFERROR(INDEX('Orders Ledger'!$A$2:$A$1501, SMALL(IF(('Orders Ledger'!$J$2:$J$1501="disputed")+('Orders Ledger'!$J$2:$J$1501="PENDING_REVIEW"), ROW('Orders Ledger'!$A$2:$A$1501)-ROW('Orders Ledger'!$A$2)+1), ROW(712:712))), "")</f>
        <v/>
      </c>
      <c r="C770" s="11" t="str">
        <f>IF(B770="","",_xlfn.XLOOKUP(B770,'Orders Ledger'!$A:$A,'Orders Ledger'!$B:$B,""))</f>
        <v/>
      </c>
      <c r="D770" t="str">
        <f>IF(B770="","",_xlfn.XLOOKUP(B770,'Orders Ledger'!$A:$A,'Orders Ledger'!$G:$G,""))</f>
        <v/>
      </c>
      <c r="E770" t="str">
        <f>IF(B770="","",_xlfn.XLOOKUP(B770,'Orders Ledger'!$A:$A,'Orders Ledger'!$H:$H,""))</f>
        <v/>
      </c>
      <c r="F770" t="str">
        <f>IF(B770="","",_xlfn.XLOOKUP(B770,'Orders Ledger'!$A:$A,'Orders Ledger'!$F:$F,""))</f>
        <v/>
      </c>
      <c r="G770" t="str">
        <f>IF(B770="","",_xlfn.XLOOKUP(B770,'Orders Ledger'!$A:$A,'Orders Ledger'!$N:$N,0))</f>
        <v/>
      </c>
    </row>
    <row r="771" spans="2:7" x14ac:dyDescent="0.3">
      <c r="B771" t="str">
        <f t="array" ref="B771">IFERROR(INDEX('Orders Ledger'!$A$2:$A$1501, SMALL(IF(('Orders Ledger'!$J$2:$J$1501="disputed")+('Orders Ledger'!$J$2:$J$1501="PENDING_REVIEW"), ROW('Orders Ledger'!$A$2:$A$1501)-ROW('Orders Ledger'!$A$2)+1), ROW(713:713))), "")</f>
        <v/>
      </c>
      <c r="C771" s="11" t="str">
        <f>IF(B771="","",_xlfn.XLOOKUP(B771,'Orders Ledger'!$A:$A,'Orders Ledger'!$B:$B,""))</f>
        <v/>
      </c>
      <c r="D771" t="str">
        <f>IF(B771="","",_xlfn.XLOOKUP(B771,'Orders Ledger'!$A:$A,'Orders Ledger'!$G:$G,""))</f>
        <v/>
      </c>
      <c r="E771" t="str">
        <f>IF(B771="","",_xlfn.XLOOKUP(B771,'Orders Ledger'!$A:$A,'Orders Ledger'!$H:$H,""))</f>
        <v/>
      </c>
      <c r="F771" t="str">
        <f>IF(B771="","",_xlfn.XLOOKUP(B771,'Orders Ledger'!$A:$A,'Orders Ledger'!$F:$F,""))</f>
        <v/>
      </c>
      <c r="G771" t="str">
        <f>IF(B771="","",_xlfn.XLOOKUP(B771,'Orders Ledger'!$A:$A,'Orders Ledger'!$N:$N,0))</f>
        <v/>
      </c>
    </row>
    <row r="772" spans="2:7" x14ac:dyDescent="0.3">
      <c r="B772" t="str">
        <f t="array" ref="B772">IFERROR(INDEX('Orders Ledger'!$A$2:$A$1501, SMALL(IF(('Orders Ledger'!$J$2:$J$1501="disputed")+('Orders Ledger'!$J$2:$J$1501="PENDING_REVIEW"), ROW('Orders Ledger'!$A$2:$A$1501)-ROW('Orders Ledger'!$A$2)+1), ROW(714:714))), "")</f>
        <v/>
      </c>
      <c r="C772" s="11" t="str">
        <f>IF(B772="","",_xlfn.XLOOKUP(B772,'Orders Ledger'!$A:$A,'Orders Ledger'!$B:$B,""))</f>
        <v/>
      </c>
      <c r="D772" t="str">
        <f>IF(B772="","",_xlfn.XLOOKUP(B772,'Orders Ledger'!$A:$A,'Orders Ledger'!$G:$G,""))</f>
        <v/>
      </c>
      <c r="E772" t="str">
        <f>IF(B772="","",_xlfn.XLOOKUP(B772,'Orders Ledger'!$A:$A,'Orders Ledger'!$H:$H,""))</f>
        <v/>
      </c>
      <c r="F772" t="str">
        <f>IF(B772="","",_xlfn.XLOOKUP(B772,'Orders Ledger'!$A:$A,'Orders Ledger'!$F:$F,""))</f>
        <v/>
      </c>
      <c r="G772" t="str">
        <f>IF(B772="","",_xlfn.XLOOKUP(B772,'Orders Ledger'!$A:$A,'Orders Ledger'!$N:$N,0))</f>
        <v/>
      </c>
    </row>
    <row r="773" spans="2:7" x14ac:dyDescent="0.3">
      <c r="B773" t="str">
        <f t="array" ref="B773">IFERROR(INDEX('Orders Ledger'!$A$2:$A$1501, SMALL(IF(('Orders Ledger'!$J$2:$J$1501="disputed")+('Orders Ledger'!$J$2:$J$1501="PENDING_REVIEW"), ROW('Orders Ledger'!$A$2:$A$1501)-ROW('Orders Ledger'!$A$2)+1), ROW(715:715))), "")</f>
        <v/>
      </c>
      <c r="C773" s="11" t="str">
        <f>IF(B773="","",_xlfn.XLOOKUP(B773,'Orders Ledger'!$A:$A,'Orders Ledger'!$B:$B,""))</f>
        <v/>
      </c>
      <c r="D773" t="str">
        <f>IF(B773="","",_xlfn.XLOOKUP(B773,'Orders Ledger'!$A:$A,'Orders Ledger'!$G:$G,""))</f>
        <v/>
      </c>
      <c r="E773" t="str">
        <f>IF(B773="","",_xlfn.XLOOKUP(B773,'Orders Ledger'!$A:$A,'Orders Ledger'!$H:$H,""))</f>
        <v/>
      </c>
      <c r="F773" t="str">
        <f>IF(B773="","",_xlfn.XLOOKUP(B773,'Orders Ledger'!$A:$A,'Orders Ledger'!$F:$F,""))</f>
        <v/>
      </c>
      <c r="G773" t="str">
        <f>IF(B773="","",_xlfn.XLOOKUP(B773,'Orders Ledger'!$A:$A,'Orders Ledger'!$N:$N,0))</f>
        <v/>
      </c>
    </row>
    <row r="774" spans="2:7" x14ac:dyDescent="0.3">
      <c r="B774" t="str">
        <f t="array" ref="B774">IFERROR(INDEX('Orders Ledger'!$A$2:$A$1501, SMALL(IF(('Orders Ledger'!$J$2:$J$1501="disputed")+('Orders Ledger'!$J$2:$J$1501="PENDING_REVIEW"), ROW('Orders Ledger'!$A$2:$A$1501)-ROW('Orders Ledger'!$A$2)+1), ROW(716:716))), "")</f>
        <v/>
      </c>
      <c r="C774" s="11" t="str">
        <f>IF(B774="","",_xlfn.XLOOKUP(B774,'Orders Ledger'!$A:$A,'Orders Ledger'!$B:$B,""))</f>
        <v/>
      </c>
      <c r="D774" t="str">
        <f>IF(B774="","",_xlfn.XLOOKUP(B774,'Orders Ledger'!$A:$A,'Orders Ledger'!$G:$G,""))</f>
        <v/>
      </c>
      <c r="E774" t="str">
        <f>IF(B774="","",_xlfn.XLOOKUP(B774,'Orders Ledger'!$A:$A,'Orders Ledger'!$H:$H,""))</f>
        <v/>
      </c>
      <c r="F774" t="str">
        <f>IF(B774="","",_xlfn.XLOOKUP(B774,'Orders Ledger'!$A:$A,'Orders Ledger'!$F:$F,""))</f>
        <v/>
      </c>
      <c r="G774" t="str">
        <f>IF(B774="","",_xlfn.XLOOKUP(B774,'Orders Ledger'!$A:$A,'Orders Ledger'!$N:$N,0))</f>
        <v/>
      </c>
    </row>
    <row r="775" spans="2:7" x14ac:dyDescent="0.3">
      <c r="B775" t="str">
        <f t="array" ref="B775">IFERROR(INDEX('Orders Ledger'!$A$2:$A$1501, SMALL(IF(('Orders Ledger'!$J$2:$J$1501="disputed")+('Orders Ledger'!$J$2:$J$1501="PENDING_REVIEW"), ROW('Orders Ledger'!$A$2:$A$1501)-ROW('Orders Ledger'!$A$2)+1), ROW(717:717))), "")</f>
        <v/>
      </c>
      <c r="C775" s="11" t="str">
        <f>IF(B775="","",_xlfn.XLOOKUP(B775,'Orders Ledger'!$A:$A,'Orders Ledger'!$B:$B,""))</f>
        <v/>
      </c>
      <c r="D775" t="str">
        <f>IF(B775="","",_xlfn.XLOOKUP(B775,'Orders Ledger'!$A:$A,'Orders Ledger'!$G:$G,""))</f>
        <v/>
      </c>
      <c r="E775" t="str">
        <f>IF(B775="","",_xlfn.XLOOKUP(B775,'Orders Ledger'!$A:$A,'Orders Ledger'!$H:$H,""))</f>
        <v/>
      </c>
      <c r="F775" t="str">
        <f>IF(B775="","",_xlfn.XLOOKUP(B775,'Orders Ledger'!$A:$A,'Orders Ledger'!$F:$F,""))</f>
        <v/>
      </c>
      <c r="G775" t="str">
        <f>IF(B775="","",_xlfn.XLOOKUP(B775,'Orders Ledger'!$A:$A,'Orders Ledger'!$N:$N,0))</f>
        <v/>
      </c>
    </row>
    <row r="776" spans="2:7" x14ac:dyDescent="0.3">
      <c r="B776" t="str">
        <f t="array" ref="B776">IFERROR(INDEX('Orders Ledger'!$A$2:$A$1501, SMALL(IF(('Orders Ledger'!$J$2:$J$1501="disputed")+('Orders Ledger'!$J$2:$J$1501="PENDING_REVIEW"), ROW('Orders Ledger'!$A$2:$A$1501)-ROW('Orders Ledger'!$A$2)+1), ROW(718:718))), "")</f>
        <v/>
      </c>
      <c r="C776" s="11" t="str">
        <f>IF(B776="","",_xlfn.XLOOKUP(B776,'Orders Ledger'!$A:$A,'Orders Ledger'!$B:$B,""))</f>
        <v/>
      </c>
      <c r="D776" t="str">
        <f>IF(B776="","",_xlfn.XLOOKUP(B776,'Orders Ledger'!$A:$A,'Orders Ledger'!$G:$G,""))</f>
        <v/>
      </c>
      <c r="E776" t="str">
        <f>IF(B776="","",_xlfn.XLOOKUP(B776,'Orders Ledger'!$A:$A,'Orders Ledger'!$H:$H,""))</f>
        <v/>
      </c>
      <c r="F776" t="str">
        <f>IF(B776="","",_xlfn.XLOOKUP(B776,'Orders Ledger'!$A:$A,'Orders Ledger'!$F:$F,""))</f>
        <v/>
      </c>
      <c r="G776" t="str">
        <f>IF(B776="","",_xlfn.XLOOKUP(B776,'Orders Ledger'!$A:$A,'Orders Ledger'!$N:$N,0))</f>
        <v/>
      </c>
    </row>
    <row r="777" spans="2:7" x14ac:dyDescent="0.3">
      <c r="B777" t="str">
        <f t="array" ref="B777">IFERROR(INDEX('Orders Ledger'!$A$2:$A$1501, SMALL(IF(('Orders Ledger'!$J$2:$J$1501="disputed")+('Orders Ledger'!$J$2:$J$1501="PENDING_REVIEW"), ROW('Orders Ledger'!$A$2:$A$1501)-ROW('Orders Ledger'!$A$2)+1), ROW(719:719))), "")</f>
        <v/>
      </c>
      <c r="C777" s="11" t="str">
        <f>IF(B777="","",_xlfn.XLOOKUP(B777,'Orders Ledger'!$A:$A,'Orders Ledger'!$B:$B,""))</f>
        <v/>
      </c>
      <c r="D777" t="str">
        <f>IF(B777="","",_xlfn.XLOOKUP(B777,'Orders Ledger'!$A:$A,'Orders Ledger'!$G:$G,""))</f>
        <v/>
      </c>
      <c r="E777" t="str">
        <f>IF(B777="","",_xlfn.XLOOKUP(B777,'Orders Ledger'!$A:$A,'Orders Ledger'!$H:$H,""))</f>
        <v/>
      </c>
      <c r="F777" t="str">
        <f>IF(B777="","",_xlfn.XLOOKUP(B777,'Orders Ledger'!$A:$A,'Orders Ledger'!$F:$F,""))</f>
        <v/>
      </c>
      <c r="G777" t="str">
        <f>IF(B777="","",_xlfn.XLOOKUP(B777,'Orders Ledger'!$A:$A,'Orders Ledger'!$N:$N,0))</f>
        <v/>
      </c>
    </row>
    <row r="778" spans="2:7" x14ac:dyDescent="0.3">
      <c r="B778" t="str">
        <f t="array" ref="B778">IFERROR(INDEX('Orders Ledger'!$A$2:$A$1501, SMALL(IF(('Orders Ledger'!$J$2:$J$1501="disputed")+('Orders Ledger'!$J$2:$J$1501="PENDING_REVIEW"), ROW('Orders Ledger'!$A$2:$A$1501)-ROW('Orders Ledger'!$A$2)+1), ROW(720:720))), "")</f>
        <v/>
      </c>
      <c r="C778" s="11" t="str">
        <f>IF(B778="","",_xlfn.XLOOKUP(B778,'Orders Ledger'!$A:$A,'Orders Ledger'!$B:$B,""))</f>
        <v/>
      </c>
      <c r="D778" t="str">
        <f>IF(B778="","",_xlfn.XLOOKUP(B778,'Orders Ledger'!$A:$A,'Orders Ledger'!$G:$G,""))</f>
        <v/>
      </c>
      <c r="E778" t="str">
        <f>IF(B778="","",_xlfn.XLOOKUP(B778,'Orders Ledger'!$A:$A,'Orders Ledger'!$H:$H,""))</f>
        <v/>
      </c>
      <c r="F778" t="str">
        <f>IF(B778="","",_xlfn.XLOOKUP(B778,'Orders Ledger'!$A:$A,'Orders Ledger'!$F:$F,""))</f>
        <v/>
      </c>
      <c r="G778" t="str">
        <f>IF(B778="","",_xlfn.XLOOKUP(B778,'Orders Ledger'!$A:$A,'Orders Ledger'!$N:$N,0))</f>
        <v/>
      </c>
    </row>
    <row r="779" spans="2:7" x14ac:dyDescent="0.3">
      <c r="B779" t="str">
        <f t="array" ref="B779">IFERROR(INDEX('Orders Ledger'!$A$2:$A$1501, SMALL(IF(('Orders Ledger'!$J$2:$J$1501="disputed")+('Orders Ledger'!$J$2:$J$1501="PENDING_REVIEW"), ROW('Orders Ledger'!$A$2:$A$1501)-ROW('Orders Ledger'!$A$2)+1), ROW(721:721))), "")</f>
        <v/>
      </c>
      <c r="C779" s="11" t="str">
        <f>IF(B779="","",_xlfn.XLOOKUP(B779,'Orders Ledger'!$A:$A,'Orders Ledger'!$B:$B,""))</f>
        <v/>
      </c>
      <c r="D779" t="str">
        <f>IF(B779="","",_xlfn.XLOOKUP(B779,'Orders Ledger'!$A:$A,'Orders Ledger'!$G:$G,""))</f>
        <v/>
      </c>
      <c r="E779" t="str">
        <f>IF(B779="","",_xlfn.XLOOKUP(B779,'Orders Ledger'!$A:$A,'Orders Ledger'!$H:$H,""))</f>
        <v/>
      </c>
      <c r="F779" t="str">
        <f>IF(B779="","",_xlfn.XLOOKUP(B779,'Orders Ledger'!$A:$A,'Orders Ledger'!$F:$F,""))</f>
        <v/>
      </c>
      <c r="G779" t="str">
        <f>IF(B779="","",_xlfn.XLOOKUP(B779,'Orders Ledger'!$A:$A,'Orders Ledger'!$N:$N,0))</f>
        <v/>
      </c>
    </row>
    <row r="780" spans="2:7" x14ac:dyDescent="0.3">
      <c r="B780" t="str">
        <f t="array" ref="B780">IFERROR(INDEX('Orders Ledger'!$A$2:$A$1501, SMALL(IF(('Orders Ledger'!$J$2:$J$1501="disputed")+('Orders Ledger'!$J$2:$J$1501="PENDING_REVIEW"), ROW('Orders Ledger'!$A$2:$A$1501)-ROW('Orders Ledger'!$A$2)+1), ROW(722:722))), "")</f>
        <v/>
      </c>
      <c r="C780" s="11" t="str">
        <f>IF(B780="","",_xlfn.XLOOKUP(B780,'Orders Ledger'!$A:$A,'Orders Ledger'!$B:$B,""))</f>
        <v/>
      </c>
      <c r="D780" t="str">
        <f>IF(B780="","",_xlfn.XLOOKUP(B780,'Orders Ledger'!$A:$A,'Orders Ledger'!$G:$G,""))</f>
        <v/>
      </c>
      <c r="E780" t="str">
        <f>IF(B780="","",_xlfn.XLOOKUP(B780,'Orders Ledger'!$A:$A,'Orders Ledger'!$H:$H,""))</f>
        <v/>
      </c>
      <c r="F780" t="str">
        <f>IF(B780="","",_xlfn.XLOOKUP(B780,'Orders Ledger'!$A:$A,'Orders Ledger'!$F:$F,""))</f>
        <v/>
      </c>
      <c r="G780" t="str">
        <f>IF(B780="","",_xlfn.XLOOKUP(B780,'Orders Ledger'!$A:$A,'Orders Ledger'!$N:$N,0))</f>
        <v/>
      </c>
    </row>
    <row r="781" spans="2:7" x14ac:dyDescent="0.3">
      <c r="B781" t="str">
        <f t="array" ref="B781">IFERROR(INDEX('Orders Ledger'!$A$2:$A$1501, SMALL(IF(('Orders Ledger'!$J$2:$J$1501="disputed")+('Orders Ledger'!$J$2:$J$1501="PENDING_REVIEW"), ROW('Orders Ledger'!$A$2:$A$1501)-ROW('Orders Ledger'!$A$2)+1), ROW(723:723))), "")</f>
        <v/>
      </c>
      <c r="C781" s="11" t="str">
        <f>IF(B781="","",_xlfn.XLOOKUP(B781,'Orders Ledger'!$A:$A,'Orders Ledger'!$B:$B,""))</f>
        <v/>
      </c>
      <c r="D781" t="str">
        <f>IF(B781="","",_xlfn.XLOOKUP(B781,'Orders Ledger'!$A:$A,'Orders Ledger'!$G:$G,""))</f>
        <v/>
      </c>
      <c r="E781" t="str">
        <f>IF(B781="","",_xlfn.XLOOKUP(B781,'Orders Ledger'!$A:$A,'Orders Ledger'!$H:$H,""))</f>
        <v/>
      </c>
      <c r="F781" t="str">
        <f>IF(B781="","",_xlfn.XLOOKUP(B781,'Orders Ledger'!$A:$A,'Orders Ledger'!$F:$F,""))</f>
        <v/>
      </c>
      <c r="G781" t="str">
        <f>IF(B781="","",_xlfn.XLOOKUP(B781,'Orders Ledger'!$A:$A,'Orders Ledger'!$N:$N,0))</f>
        <v/>
      </c>
    </row>
    <row r="782" spans="2:7" x14ac:dyDescent="0.3">
      <c r="B782" t="str">
        <f t="array" ref="B782">IFERROR(INDEX('Orders Ledger'!$A$2:$A$1501, SMALL(IF(('Orders Ledger'!$J$2:$J$1501="disputed")+('Orders Ledger'!$J$2:$J$1501="PENDING_REVIEW"), ROW('Orders Ledger'!$A$2:$A$1501)-ROW('Orders Ledger'!$A$2)+1), ROW(724:724))), "")</f>
        <v/>
      </c>
      <c r="C782" s="11" t="str">
        <f>IF(B782="","",_xlfn.XLOOKUP(B782,'Orders Ledger'!$A:$A,'Orders Ledger'!$B:$B,""))</f>
        <v/>
      </c>
      <c r="D782" t="str">
        <f>IF(B782="","",_xlfn.XLOOKUP(B782,'Orders Ledger'!$A:$A,'Orders Ledger'!$G:$G,""))</f>
        <v/>
      </c>
      <c r="E782" t="str">
        <f>IF(B782="","",_xlfn.XLOOKUP(B782,'Orders Ledger'!$A:$A,'Orders Ledger'!$H:$H,""))</f>
        <v/>
      </c>
      <c r="F782" t="str">
        <f>IF(B782="","",_xlfn.XLOOKUP(B782,'Orders Ledger'!$A:$A,'Orders Ledger'!$F:$F,""))</f>
        <v/>
      </c>
      <c r="G782" t="str">
        <f>IF(B782="","",_xlfn.XLOOKUP(B782,'Orders Ledger'!$A:$A,'Orders Ledger'!$N:$N,0))</f>
        <v/>
      </c>
    </row>
    <row r="783" spans="2:7" x14ac:dyDescent="0.3">
      <c r="B783" t="str">
        <f t="array" ref="B783">IFERROR(INDEX('Orders Ledger'!$A$2:$A$1501, SMALL(IF(('Orders Ledger'!$J$2:$J$1501="disputed")+('Orders Ledger'!$J$2:$J$1501="PENDING_REVIEW"), ROW('Orders Ledger'!$A$2:$A$1501)-ROW('Orders Ledger'!$A$2)+1), ROW(725:725))), "")</f>
        <v/>
      </c>
      <c r="C783" s="11" t="str">
        <f>IF(B783="","",_xlfn.XLOOKUP(B783,'Orders Ledger'!$A:$A,'Orders Ledger'!$B:$B,""))</f>
        <v/>
      </c>
      <c r="D783" t="str">
        <f>IF(B783="","",_xlfn.XLOOKUP(B783,'Orders Ledger'!$A:$A,'Orders Ledger'!$G:$G,""))</f>
        <v/>
      </c>
      <c r="E783" t="str">
        <f>IF(B783="","",_xlfn.XLOOKUP(B783,'Orders Ledger'!$A:$A,'Orders Ledger'!$H:$H,""))</f>
        <v/>
      </c>
      <c r="F783" t="str">
        <f>IF(B783="","",_xlfn.XLOOKUP(B783,'Orders Ledger'!$A:$A,'Orders Ledger'!$F:$F,""))</f>
        <v/>
      </c>
      <c r="G783" t="str">
        <f>IF(B783="","",_xlfn.XLOOKUP(B783,'Orders Ledger'!$A:$A,'Orders Ledger'!$N:$N,0))</f>
        <v/>
      </c>
    </row>
    <row r="784" spans="2:7" x14ac:dyDescent="0.3">
      <c r="B784" t="str">
        <f t="array" ref="B784">IFERROR(INDEX('Orders Ledger'!$A$2:$A$1501, SMALL(IF(('Orders Ledger'!$J$2:$J$1501="disputed")+('Orders Ledger'!$J$2:$J$1501="PENDING_REVIEW"), ROW('Orders Ledger'!$A$2:$A$1501)-ROW('Orders Ledger'!$A$2)+1), ROW(726:726))), "")</f>
        <v/>
      </c>
      <c r="C784" s="11" t="str">
        <f>IF(B784="","",_xlfn.XLOOKUP(B784,'Orders Ledger'!$A:$A,'Orders Ledger'!$B:$B,""))</f>
        <v/>
      </c>
      <c r="D784" t="str">
        <f>IF(B784="","",_xlfn.XLOOKUP(B784,'Orders Ledger'!$A:$A,'Orders Ledger'!$G:$G,""))</f>
        <v/>
      </c>
      <c r="E784" t="str">
        <f>IF(B784="","",_xlfn.XLOOKUP(B784,'Orders Ledger'!$A:$A,'Orders Ledger'!$H:$H,""))</f>
        <v/>
      </c>
      <c r="F784" t="str">
        <f>IF(B784="","",_xlfn.XLOOKUP(B784,'Orders Ledger'!$A:$A,'Orders Ledger'!$F:$F,""))</f>
        <v/>
      </c>
      <c r="G784" t="str">
        <f>IF(B784="","",_xlfn.XLOOKUP(B784,'Orders Ledger'!$A:$A,'Orders Ledger'!$N:$N,0))</f>
        <v/>
      </c>
    </row>
    <row r="785" spans="2:7" x14ac:dyDescent="0.3">
      <c r="B785" t="str">
        <f t="array" ref="B785">IFERROR(INDEX('Orders Ledger'!$A$2:$A$1501, SMALL(IF(('Orders Ledger'!$J$2:$J$1501="disputed")+('Orders Ledger'!$J$2:$J$1501="PENDING_REVIEW"), ROW('Orders Ledger'!$A$2:$A$1501)-ROW('Orders Ledger'!$A$2)+1), ROW(727:727))), "")</f>
        <v/>
      </c>
      <c r="C785" s="11" t="str">
        <f>IF(B785="","",_xlfn.XLOOKUP(B785,'Orders Ledger'!$A:$A,'Orders Ledger'!$B:$B,""))</f>
        <v/>
      </c>
      <c r="D785" t="str">
        <f>IF(B785="","",_xlfn.XLOOKUP(B785,'Orders Ledger'!$A:$A,'Orders Ledger'!$G:$G,""))</f>
        <v/>
      </c>
      <c r="E785" t="str">
        <f>IF(B785="","",_xlfn.XLOOKUP(B785,'Orders Ledger'!$A:$A,'Orders Ledger'!$H:$H,""))</f>
        <v/>
      </c>
      <c r="F785" t="str">
        <f>IF(B785="","",_xlfn.XLOOKUP(B785,'Orders Ledger'!$A:$A,'Orders Ledger'!$F:$F,""))</f>
        <v/>
      </c>
      <c r="G785" t="str">
        <f>IF(B785="","",_xlfn.XLOOKUP(B785,'Orders Ledger'!$A:$A,'Orders Ledger'!$N:$N,0))</f>
        <v/>
      </c>
    </row>
    <row r="786" spans="2:7" x14ac:dyDescent="0.3">
      <c r="B786" t="str">
        <f t="array" ref="B786">IFERROR(INDEX('Orders Ledger'!$A$2:$A$1501, SMALL(IF(('Orders Ledger'!$J$2:$J$1501="disputed")+('Orders Ledger'!$J$2:$J$1501="PENDING_REVIEW"), ROW('Orders Ledger'!$A$2:$A$1501)-ROW('Orders Ledger'!$A$2)+1), ROW(728:728))), "")</f>
        <v/>
      </c>
      <c r="C786" s="11" t="str">
        <f>IF(B786="","",_xlfn.XLOOKUP(B786,'Orders Ledger'!$A:$A,'Orders Ledger'!$B:$B,""))</f>
        <v/>
      </c>
      <c r="D786" t="str">
        <f>IF(B786="","",_xlfn.XLOOKUP(B786,'Orders Ledger'!$A:$A,'Orders Ledger'!$G:$G,""))</f>
        <v/>
      </c>
      <c r="E786" t="str">
        <f>IF(B786="","",_xlfn.XLOOKUP(B786,'Orders Ledger'!$A:$A,'Orders Ledger'!$H:$H,""))</f>
        <v/>
      </c>
      <c r="F786" t="str">
        <f>IF(B786="","",_xlfn.XLOOKUP(B786,'Orders Ledger'!$A:$A,'Orders Ledger'!$F:$F,""))</f>
        <v/>
      </c>
      <c r="G786" t="str">
        <f>IF(B786="","",_xlfn.XLOOKUP(B786,'Orders Ledger'!$A:$A,'Orders Ledger'!$N:$N,0))</f>
        <v/>
      </c>
    </row>
    <row r="787" spans="2:7" x14ac:dyDescent="0.3">
      <c r="B787" t="str">
        <f t="array" ref="B787">IFERROR(INDEX('Orders Ledger'!$A$2:$A$1501, SMALL(IF(('Orders Ledger'!$J$2:$J$1501="disputed")+('Orders Ledger'!$J$2:$J$1501="PENDING_REVIEW"), ROW('Orders Ledger'!$A$2:$A$1501)-ROW('Orders Ledger'!$A$2)+1), ROW(729:729))), "")</f>
        <v/>
      </c>
      <c r="C787" s="11" t="str">
        <f>IF(B787="","",_xlfn.XLOOKUP(B787,'Orders Ledger'!$A:$A,'Orders Ledger'!$B:$B,""))</f>
        <v/>
      </c>
      <c r="D787" t="str">
        <f>IF(B787="","",_xlfn.XLOOKUP(B787,'Orders Ledger'!$A:$A,'Orders Ledger'!$G:$G,""))</f>
        <v/>
      </c>
      <c r="E787" t="str">
        <f>IF(B787="","",_xlfn.XLOOKUP(B787,'Orders Ledger'!$A:$A,'Orders Ledger'!$H:$H,""))</f>
        <v/>
      </c>
      <c r="F787" t="str">
        <f>IF(B787="","",_xlfn.XLOOKUP(B787,'Orders Ledger'!$A:$A,'Orders Ledger'!$F:$F,""))</f>
        <v/>
      </c>
      <c r="G787" t="str">
        <f>IF(B787="","",_xlfn.XLOOKUP(B787,'Orders Ledger'!$A:$A,'Orders Ledger'!$N:$N,0))</f>
        <v/>
      </c>
    </row>
    <row r="788" spans="2:7" x14ac:dyDescent="0.3">
      <c r="B788" t="str">
        <f t="array" ref="B788">IFERROR(INDEX('Orders Ledger'!$A$2:$A$1501, SMALL(IF(('Orders Ledger'!$J$2:$J$1501="disputed")+('Orders Ledger'!$J$2:$J$1501="PENDING_REVIEW"), ROW('Orders Ledger'!$A$2:$A$1501)-ROW('Orders Ledger'!$A$2)+1), ROW(730:730))), "")</f>
        <v/>
      </c>
      <c r="C788" s="11" t="str">
        <f>IF(B788="","",_xlfn.XLOOKUP(B788,'Orders Ledger'!$A:$A,'Orders Ledger'!$B:$B,""))</f>
        <v/>
      </c>
      <c r="D788" t="str">
        <f>IF(B788="","",_xlfn.XLOOKUP(B788,'Orders Ledger'!$A:$A,'Orders Ledger'!$G:$G,""))</f>
        <v/>
      </c>
      <c r="E788" t="str">
        <f>IF(B788="","",_xlfn.XLOOKUP(B788,'Orders Ledger'!$A:$A,'Orders Ledger'!$H:$H,""))</f>
        <v/>
      </c>
      <c r="F788" t="str">
        <f>IF(B788="","",_xlfn.XLOOKUP(B788,'Orders Ledger'!$A:$A,'Orders Ledger'!$F:$F,""))</f>
        <v/>
      </c>
      <c r="G788" t="str">
        <f>IF(B788="","",_xlfn.XLOOKUP(B788,'Orders Ledger'!$A:$A,'Orders Ledger'!$N:$N,0))</f>
        <v/>
      </c>
    </row>
    <row r="789" spans="2:7" x14ac:dyDescent="0.3">
      <c r="B789" t="str">
        <f t="array" ref="B789">IFERROR(INDEX('Orders Ledger'!$A$2:$A$1501, SMALL(IF(('Orders Ledger'!$J$2:$J$1501="disputed")+('Orders Ledger'!$J$2:$J$1501="PENDING_REVIEW"), ROW('Orders Ledger'!$A$2:$A$1501)-ROW('Orders Ledger'!$A$2)+1), ROW(731:731))), "")</f>
        <v/>
      </c>
      <c r="C789" s="11" t="str">
        <f>IF(B789="","",_xlfn.XLOOKUP(B789,'Orders Ledger'!$A:$A,'Orders Ledger'!$B:$B,""))</f>
        <v/>
      </c>
      <c r="D789" t="str">
        <f>IF(B789="","",_xlfn.XLOOKUP(B789,'Orders Ledger'!$A:$A,'Orders Ledger'!$G:$G,""))</f>
        <v/>
      </c>
      <c r="E789" t="str">
        <f>IF(B789="","",_xlfn.XLOOKUP(B789,'Orders Ledger'!$A:$A,'Orders Ledger'!$H:$H,""))</f>
        <v/>
      </c>
      <c r="F789" t="str">
        <f>IF(B789="","",_xlfn.XLOOKUP(B789,'Orders Ledger'!$A:$A,'Orders Ledger'!$F:$F,""))</f>
        <v/>
      </c>
      <c r="G789" t="str">
        <f>IF(B789="","",_xlfn.XLOOKUP(B789,'Orders Ledger'!$A:$A,'Orders Ledger'!$N:$N,0))</f>
        <v/>
      </c>
    </row>
    <row r="790" spans="2:7" x14ac:dyDescent="0.3">
      <c r="B790" t="str">
        <f t="array" ref="B790">IFERROR(INDEX('Orders Ledger'!$A$2:$A$1501, SMALL(IF(('Orders Ledger'!$J$2:$J$1501="disputed")+('Orders Ledger'!$J$2:$J$1501="PENDING_REVIEW"), ROW('Orders Ledger'!$A$2:$A$1501)-ROW('Orders Ledger'!$A$2)+1), ROW(732:732))), "")</f>
        <v/>
      </c>
      <c r="C790" s="11" t="str">
        <f>IF(B790="","",_xlfn.XLOOKUP(B790,'Orders Ledger'!$A:$A,'Orders Ledger'!$B:$B,""))</f>
        <v/>
      </c>
      <c r="D790" t="str">
        <f>IF(B790="","",_xlfn.XLOOKUP(B790,'Orders Ledger'!$A:$A,'Orders Ledger'!$G:$G,""))</f>
        <v/>
      </c>
      <c r="E790" t="str">
        <f>IF(B790="","",_xlfn.XLOOKUP(B790,'Orders Ledger'!$A:$A,'Orders Ledger'!$H:$H,""))</f>
        <v/>
      </c>
      <c r="F790" t="str">
        <f>IF(B790="","",_xlfn.XLOOKUP(B790,'Orders Ledger'!$A:$A,'Orders Ledger'!$F:$F,""))</f>
        <v/>
      </c>
      <c r="G790" t="str">
        <f>IF(B790="","",_xlfn.XLOOKUP(B790,'Orders Ledger'!$A:$A,'Orders Ledger'!$N:$N,0))</f>
        <v/>
      </c>
    </row>
    <row r="791" spans="2:7" x14ac:dyDescent="0.3">
      <c r="B791" t="str">
        <f t="array" ref="B791">IFERROR(INDEX('Orders Ledger'!$A$2:$A$1501, SMALL(IF(('Orders Ledger'!$J$2:$J$1501="disputed")+('Orders Ledger'!$J$2:$J$1501="PENDING_REVIEW"), ROW('Orders Ledger'!$A$2:$A$1501)-ROW('Orders Ledger'!$A$2)+1), ROW(733:733))), "")</f>
        <v/>
      </c>
      <c r="C791" s="11" t="str">
        <f>IF(B791="","",_xlfn.XLOOKUP(B791,'Orders Ledger'!$A:$A,'Orders Ledger'!$B:$B,""))</f>
        <v/>
      </c>
      <c r="D791" t="str">
        <f>IF(B791="","",_xlfn.XLOOKUP(B791,'Orders Ledger'!$A:$A,'Orders Ledger'!$G:$G,""))</f>
        <v/>
      </c>
      <c r="E791" t="str">
        <f>IF(B791="","",_xlfn.XLOOKUP(B791,'Orders Ledger'!$A:$A,'Orders Ledger'!$H:$H,""))</f>
        <v/>
      </c>
      <c r="F791" t="str">
        <f>IF(B791="","",_xlfn.XLOOKUP(B791,'Orders Ledger'!$A:$A,'Orders Ledger'!$F:$F,""))</f>
        <v/>
      </c>
      <c r="G791" t="str">
        <f>IF(B791="","",_xlfn.XLOOKUP(B791,'Orders Ledger'!$A:$A,'Orders Ledger'!$N:$N,0))</f>
        <v/>
      </c>
    </row>
    <row r="792" spans="2:7" x14ac:dyDescent="0.3">
      <c r="B792" t="str">
        <f t="array" ref="B792">IFERROR(INDEX('Orders Ledger'!$A$2:$A$1501, SMALL(IF(('Orders Ledger'!$J$2:$J$1501="disputed")+('Orders Ledger'!$J$2:$J$1501="PENDING_REVIEW"), ROW('Orders Ledger'!$A$2:$A$1501)-ROW('Orders Ledger'!$A$2)+1), ROW(734:734))), "")</f>
        <v/>
      </c>
      <c r="C792" s="11" t="str">
        <f>IF(B792="","",_xlfn.XLOOKUP(B792,'Orders Ledger'!$A:$A,'Orders Ledger'!$B:$B,""))</f>
        <v/>
      </c>
      <c r="D792" t="str">
        <f>IF(B792="","",_xlfn.XLOOKUP(B792,'Orders Ledger'!$A:$A,'Orders Ledger'!$G:$G,""))</f>
        <v/>
      </c>
      <c r="E792" t="str">
        <f>IF(B792="","",_xlfn.XLOOKUP(B792,'Orders Ledger'!$A:$A,'Orders Ledger'!$H:$H,""))</f>
        <v/>
      </c>
      <c r="F792" t="str">
        <f>IF(B792="","",_xlfn.XLOOKUP(B792,'Orders Ledger'!$A:$A,'Orders Ledger'!$F:$F,""))</f>
        <v/>
      </c>
      <c r="G792" t="str">
        <f>IF(B792="","",_xlfn.XLOOKUP(B792,'Orders Ledger'!$A:$A,'Orders Ledger'!$N:$N,0))</f>
        <v/>
      </c>
    </row>
    <row r="793" spans="2:7" x14ac:dyDescent="0.3">
      <c r="B793" t="str">
        <f t="array" ref="B793">IFERROR(INDEX('Orders Ledger'!$A$2:$A$1501, SMALL(IF(('Orders Ledger'!$J$2:$J$1501="disputed")+('Orders Ledger'!$J$2:$J$1501="PENDING_REVIEW"), ROW('Orders Ledger'!$A$2:$A$1501)-ROW('Orders Ledger'!$A$2)+1), ROW(735:735))), "")</f>
        <v/>
      </c>
      <c r="C793" s="11" t="str">
        <f>IF(B793="","",_xlfn.XLOOKUP(B793,'Orders Ledger'!$A:$A,'Orders Ledger'!$B:$B,""))</f>
        <v/>
      </c>
      <c r="D793" t="str">
        <f>IF(B793="","",_xlfn.XLOOKUP(B793,'Orders Ledger'!$A:$A,'Orders Ledger'!$G:$G,""))</f>
        <v/>
      </c>
      <c r="E793" t="str">
        <f>IF(B793="","",_xlfn.XLOOKUP(B793,'Orders Ledger'!$A:$A,'Orders Ledger'!$H:$H,""))</f>
        <v/>
      </c>
      <c r="F793" t="str">
        <f>IF(B793="","",_xlfn.XLOOKUP(B793,'Orders Ledger'!$A:$A,'Orders Ledger'!$F:$F,""))</f>
        <v/>
      </c>
      <c r="G793" t="str">
        <f>IF(B793="","",_xlfn.XLOOKUP(B793,'Orders Ledger'!$A:$A,'Orders Ledger'!$N:$N,0))</f>
        <v/>
      </c>
    </row>
    <row r="794" spans="2:7" x14ac:dyDescent="0.3">
      <c r="B794" t="str">
        <f t="array" ref="B794">IFERROR(INDEX('Orders Ledger'!$A$2:$A$1501, SMALL(IF(('Orders Ledger'!$J$2:$J$1501="disputed")+('Orders Ledger'!$J$2:$J$1501="PENDING_REVIEW"), ROW('Orders Ledger'!$A$2:$A$1501)-ROW('Orders Ledger'!$A$2)+1), ROW(736:736))), "")</f>
        <v/>
      </c>
      <c r="C794" s="11" t="str">
        <f>IF(B794="","",_xlfn.XLOOKUP(B794,'Orders Ledger'!$A:$A,'Orders Ledger'!$B:$B,""))</f>
        <v/>
      </c>
      <c r="D794" t="str">
        <f>IF(B794="","",_xlfn.XLOOKUP(B794,'Orders Ledger'!$A:$A,'Orders Ledger'!$G:$G,""))</f>
        <v/>
      </c>
      <c r="E794" t="str">
        <f>IF(B794="","",_xlfn.XLOOKUP(B794,'Orders Ledger'!$A:$A,'Orders Ledger'!$H:$H,""))</f>
        <v/>
      </c>
      <c r="F794" t="str">
        <f>IF(B794="","",_xlfn.XLOOKUP(B794,'Orders Ledger'!$A:$A,'Orders Ledger'!$F:$F,""))</f>
        <v/>
      </c>
      <c r="G794" t="str">
        <f>IF(B794="","",_xlfn.XLOOKUP(B794,'Orders Ledger'!$A:$A,'Orders Ledger'!$N:$N,0))</f>
        <v/>
      </c>
    </row>
    <row r="795" spans="2:7" x14ac:dyDescent="0.3">
      <c r="B795" t="str">
        <f t="array" ref="B795">IFERROR(INDEX('Orders Ledger'!$A$2:$A$1501, SMALL(IF(('Orders Ledger'!$J$2:$J$1501="disputed")+('Orders Ledger'!$J$2:$J$1501="PENDING_REVIEW"), ROW('Orders Ledger'!$A$2:$A$1501)-ROW('Orders Ledger'!$A$2)+1), ROW(737:737))), "")</f>
        <v/>
      </c>
      <c r="C795" s="11" t="str">
        <f>IF(B795="","",_xlfn.XLOOKUP(B795,'Orders Ledger'!$A:$A,'Orders Ledger'!$B:$B,""))</f>
        <v/>
      </c>
      <c r="D795" t="str">
        <f>IF(B795="","",_xlfn.XLOOKUP(B795,'Orders Ledger'!$A:$A,'Orders Ledger'!$G:$G,""))</f>
        <v/>
      </c>
      <c r="E795" t="str">
        <f>IF(B795="","",_xlfn.XLOOKUP(B795,'Orders Ledger'!$A:$A,'Orders Ledger'!$H:$H,""))</f>
        <v/>
      </c>
      <c r="F795" t="str">
        <f>IF(B795="","",_xlfn.XLOOKUP(B795,'Orders Ledger'!$A:$A,'Orders Ledger'!$F:$F,""))</f>
        <v/>
      </c>
      <c r="G795" t="str">
        <f>IF(B795="","",_xlfn.XLOOKUP(B795,'Orders Ledger'!$A:$A,'Orders Ledger'!$N:$N,0))</f>
        <v/>
      </c>
    </row>
    <row r="796" spans="2:7" x14ac:dyDescent="0.3">
      <c r="B796" t="str">
        <f t="array" ref="B796">IFERROR(INDEX('Orders Ledger'!$A$2:$A$1501, SMALL(IF(('Orders Ledger'!$J$2:$J$1501="disputed")+('Orders Ledger'!$J$2:$J$1501="PENDING_REVIEW"), ROW('Orders Ledger'!$A$2:$A$1501)-ROW('Orders Ledger'!$A$2)+1), ROW(738:738))), "")</f>
        <v/>
      </c>
      <c r="C796" s="11" t="str">
        <f>IF(B796="","",_xlfn.XLOOKUP(B796,'Orders Ledger'!$A:$A,'Orders Ledger'!$B:$B,""))</f>
        <v/>
      </c>
      <c r="D796" t="str">
        <f>IF(B796="","",_xlfn.XLOOKUP(B796,'Orders Ledger'!$A:$A,'Orders Ledger'!$G:$G,""))</f>
        <v/>
      </c>
      <c r="E796" t="str">
        <f>IF(B796="","",_xlfn.XLOOKUP(B796,'Orders Ledger'!$A:$A,'Orders Ledger'!$H:$H,""))</f>
        <v/>
      </c>
      <c r="F796" t="str">
        <f>IF(B796="","",_xlfn.XLOOKUP(B796,'Orders Ledger'!$A:$A,'Orders Ledger'!$F:$F,""))</f>
        <v/>
      </c>
      <c r="G796" t="str">
        <f>IF(B796="","",_xlfn.XLOOKUP(B796,'Orders Ledger'!$A:$A,'Orders Ledger'!$N:$N,0))</f>
        <v/>
      </c>
    </row>
    <row r="797" spans="2:7" x14ac:dyDescent="0.3">
      <c r="B797" t="str">
        <f t="array" ref="B797">IFERROR(INDEX('Orders Ledger'!$A$2:$A$1501, SMALL(IF(('Orders Ledger'!$J$2:$J$1501="disputed")+('Orders Ledger'!$J$2:$J$1501="PENDING_REVIEW"), ROW('Orders Ledger'!$A$2:$A$1501)-ROW('Orders Ledger'!$A$2)+1), ROW(739:739))), "")</f>
        <v/>
      </c>
      <c r="C797" s="11" t="str">
        <f>IF(B797="","",_xlfn.XLOOKUP(B797,'Orders Ledger'!$A:$A,'Orders Ledger'!$B:$B,""))</f>
        <v/>
      </c>
      <c r="D797" t="str">
        <f>IF(B797="","",_xlfn.XLOOKUP(B797,'Orders Ledger'!$A:$A,'Orders Ledger'!$G:$G,""))</f>
        <v/>
      </c>
      <c r="E797" t="str">
        <f>IF(B797="","",_xlfn.XLOOKUP(B797,'Orders Ledger'!$A:$A,'Orders Ledger'!$H:$H,""))</f>
        <v/>
      </c>
      <c r="F797" t="str">
        <f>IF(B797="","",_xlfn.XLOOKUP(B797,'Orders Ledger'!$A:$A,'Orders Ledger'!$F:$F,""))</f>
        <v/>
      </c>
      <c r="G797" t="str">
        <f>IF(B797="","",_xlfn.XLOOKUP(B797,'Orders Ledger'!$A:$A,'Orders Ledger'!$N:$N,0))</f>
        <v/>
      </c>
    </row>
    <row r="798" spans="2:7" x14ac:dyDescent="0.3">
      <c r="B798" t="str">
        <f t="array" ref="B798">IFERROR(INDEX('Orders Ledger'!$A$2:$A$1501, SMALL(IF(('Orders Ledger'!$J$2:$J$1501="disputed")+('Orders Ledger'!$J$2:$J$1501="PENDING_REVIEW"), ROW('Orders Ledger'!$A$2:$A$1501)-ROW('Orders Ledger'!$A$2)+1), ROW(740:740))), "")</f>
        <v/>
      </c>
      <c r="C798" s="11" t="str">
        <f>IF(B798="","",_xlfn.XLOOKUP(B798,'Orders Ledger'!$A:$A,'Orders Ledger'!$B:$B,""))</f>
        <v/>
      </c>
      <c r="D798" t="str">
        <f>IF(B798="","",_xlfn.XLOOKUP(B798,'Orders Ledger'!$A:$A,'Orders Ledger'!$G:$G,""))</f>
        <v/>
      </c>
      <c r="E798" t="str">
        <f>IF(B798="","",_xlfn.XLOOKUP(B798,'Orders Ledger'!$A:$A,'Orders Ledger'!$H:$H,""))</f>
        <v/>
      </c>
      <c r="F798" t="str">
        <f>IF(B798="","",_xlfn.XLOOKUP(B798,'Orders Ledger'!$A:$A,'Orders Ledger'!$F:$F,""))</f>
        <v/>
      </c>
      <c r="G798" t="str">
        <f>IF(B798="","",_xlfn.XLOOKUP(B798,'Orders Ledger'!$A:$A,'Orders Ledger'!$N:$N,0))</f>
        <v/>
      </c>
    </row>
    <row r="799" spans="2:7" x14ac:dyDescent="0.3">
      <c r="B799" t="str">
        <f t="array" ref="B799">IFERROR(INDEX('Orders Ledger'!$A$2:$A$1501, SMALL(IF(('Orders Ledger'!$J$2:$J$1501="disputed")+('Orders Ledger'!$J$2:$J$1501="PENDING_REVIEW"), ROW('Orders Ledger'!$A$2:$A$1501)-ROW('Orders Ledger'!$A$2)+1), ROW(741:741))), "")</f>
        <v/>
      </c>
      <c r="C799" s="11" t="str">
        <f>IF(B799="","",_xlfn.XLOOKUP(B799,'Orders Ledger'!$A:$A,'Orders Ledger'!$B:$B,""))</f>
        <v/>
      </c>
      <c r="D799" t="str">
        <f>IF(B799="","",_xlfn.XLOOKUP(B799,'Orders Ledger'!$A:$A,'Orders Ledger'!$G:$G,""))</f>
        <v/>
      </c>
      <c r="E799" t="str">
        <f>IF(B799="","",_xlfn.XLOOKUP(B799,'Orders Ledger'!$A:$A,'Orders Ledger'!$H:$H,""))</f>
        <v/>
      </c>
      <c r="F799" t="str">
        <f>IF(B799="","",_xlfn.XLOOKUP(B799,'Orders Ledger'!$A:$A,'Orders Ledger'!$F:$F,""))</f>
        <v/>
      </c>
      <c r="G799" t="str">
        <f>IF(B799="","",_xlfn.XLOOKUP(B799,'Orders Ledger'!$A:$A,'Orders Ledger'!$N:$N,0))</f>
        <v/>
      </c>
    </row>
    <row r="800" spans="2:7" x14ac:dyDescent="0.3">
      <c r="B800" t="str">
        <f t="array" ref="B800">IFERROR(INDEX('Orders Ledger'!$A$2:$A$1501, SMALL(IF(('Orders Ledger'!$J$2:$J$1501="disputed")+('Orders Ledger'!$J$2:$J$1501="PENDING_REVIEW"), ROW('Orders Ledger'!$A$2:$A$1501)-ROW('Orders Ledger'!$A$2)+1), ROW(742:742))), "")</f>
        <v/>
      </c>
      <c r="C800" s="11" t="str">
        <f>IF(B800="","",_xlfn.XLOOKUP(B800,'Orders Ledger'!$A:$A,'Orders Ledger'!$B:$B,""))</f>
        <v/>
      </c>
      <c r="D800" t="str">
        <f>IF(B800="","",_xlfn.XLOOKUP(B800,'Orders Ledger'!$A:$A,'Orders Ledger'!$G:$G,""))</f>
        <v/>
      </c>
      <c r="E800" t="str">
        <f>IF(B800="","",_xlfn.XLOOKUP(B800,'Orders Ledger'!$A:$A,'Orders Ledger'!$H:$H,""))</f>
        <v/>
      </c>
      <c r="F800" t="str">
        <f>IF(B800="","",_xlfn.XLOOKUP(B800,'Orders Ledger'!$A:$A,'Orders Ledger'!$F:$F,""))</f>
        <v/>
      </c>
      <c r="G800" t="str">
        <f>IF(B800="","",_xlfn.XLOOKUP(B800,'Orders Ledger'!$A:$A,'Orders Ledger'!$N:$N,0))</f>
        <v/>
      </c>
    </row>
    <row r="801" spans="2:7" x14ac:dyDescent="0.3">
      <c r="B801" t="str">
        <f t="array" ref="B801">IFERROR(INDEX('Orders Ledger'!$A$2:$A$1501, SMALL(IF(('Orders Ledger'!$J$2:$J$1501="disputed")+('Orders Ledger'!$J$2:$J$1501="PENDING_REVIEW"), ROW('Orders Ledger'!$A$2:$A$1501)-ROW('Orders Ledger'!$A$2)+1), ROW(743:743))), "")</f>
        <v/>
      </c>
      <c r="C801" s="11" t="str">
        <f>IF(B801="","",_xlfn.XLOOKUP(B801,'Orders Ledger'!$A:$A,'Orders Ledger'!$B:$B,""))</f>
        <v/>
      </c>
      <c r="D801" t="str">
        <f>IF(B801="","",_xlfn.XLOOKUP(B801,'Orders Ledger'!$A:$A,'Orders Ledger'!$G:$G,""))</f>
        <v/>
      </c>
      <c r="E801" t="str">
        <f>IF(B801="","",_xlfn.XLOOKUP(B801,'Orders Ledger'!$A:$A,'Orders Ledger'!$H:$H,""))</f>
        <v/>
      </c>
      <c r="F801" t="str">
        <f>IF(B801="","",_xlfn.XLOOKUP(B801,'Orders Ledger'!$A:$A,'Orders Ledger'!$F:$F,""))</f>
        <v/>
      </c>
      <c r="G801" t="str">
        <f>IF(B801="","",_xlfn.XLOOKUP(B801,'Orders Ledger'!$A:$A,'Orders Ledger'!$N:$N,0))</f>
        <v/>
      </c>
    </row>
    <row r="802" spans="2:7" x14ac:dyDescent="0.3">
      <c r="B802" t="str">
        <f t="array" ref="B802">IFERROR(INDEX('Orders Ledger'!$A$2:$A$1501, SMALL(IF(('Orders Ledger'!$J$2:$J$1501="disputed")+('Orders Ledger'!$J$2:$J$1501="PENDING_REVIEW"), ROW('Orders Ledger'!$A$2:$A$1501)-ROW('Orders Ledger'!$A$2)+1), ROW(744:744))), "")</f>
        <v/>
      </c>
      <c r="C802" s="11" t="str">
        <f>IF(B802="","",_xlfn.XLOOKUP(B802,'Orders Ledger'!$A:$A,'Orders Ledger'!$B:$B,""))</f>
        <v/>
      </c>
      <c r="D802" t="str">
        <f>IF(B802="","",_xlfn.XLOOKUP(B802,'Orders Ledger'!$A:$A,'Orders Ledger'!$G:$G,""))</f>
        <v/>
      </c>
      <c r="E802" t="str">
        <f>IF(B802="","",_xlfn.XLOOKUP(B802,'Orders Ledger'!$A:$A,'Orders Ledger'!$H:$H,""))</f>
        <v/>
      </c>
      <c r="F802" t="str">
        <f>IF(B802="","",_xlfn.XLOOKUP(B802,'Orders Ledger'!$A:$A,'Orders Ledger'!$F:$F,""))</f>
        <v/>
      </c>
      <c r="G802" t="str">
        <f>IF(B802="","",_xlfn.XLOOKUP(B802,'Orders Ledger'!$A:$A,'Orders Ledger'!$N:$N,0))</f>
        <v/>
      </c>
    </row>
    <row r="803" spans="2:7" x14ac:dyDescent="0.3">
      <c r="B803" t="str">
        <f t="array" ref="B803">IFERROR(INDEX('Orders Ledger'!$A$2:$A$1501, SMALL(IF(('Orders Ledger'!$J$2:$J$1501="disputed")+('Orders Ledger'!$J$2:$J$1501="PENDING_REVIEW"), ROW('Orders Ledger'!$A$2:$A$1501)-ROW('Orders Ledger'!$A$2)+1), ROW(745:745))), "")</f>
        <v/>
      </c>
      <c r="C803" s="11" t="str">
        <f>IF(B803="","",_xlfn.XLOOKUP(B803,'Orders Ledger'!$A:$A,'Orders Ledger'!$B:$B,""))</f>
        <v/>
      </c>
      <c r="D803" t="str">
        <f>IF(B803="","",_xlfn.XLOOKUP(B803,'Orders Ledger'!$A:$A,'Orders Ledger'!$G:$G,""))</f>
        <v/>
      </c>
      <c r="E803" t="str">
        <f>IF(B803="","",_xlfn.XLOOKUP(B803,'Orders Ledger'!$A:$A,'Orders Ledger'!$H:$H,""))</f>
        <v/>
      </c>
      <c r="F803" t="str">
        <f>IF(B803="","",_xlfn.XLOOKUP(B803,'Orders Ledger'!$A:$A,'Orders Ledger'!$F:$F,""))</f>
        <v/>
      </c>
      <c r="G803" t="str">
        <f>IF(B803="","",_xlfn.XLOOKUP(B803,'Orders Ledger'!$A:$A,'Orders Ledger'!$N:$N,0))</f>
        <v/>
      </c>
    </row>
    <row r="804" spans="2:7" x14ac:dyDescent="0.3">
      <c r="B804" t="str">
        <f t="array" ref="B804">IFERROR(INDEX('Orders Ledger'!$A$2:$A$1501, SMALL(IF(('Orders Ledger'!$J$2:$J$1501="disputed")+('Orders Ledger'!$J$2:$J$1501="PENDING_REVIEW"), ROW('Orders Ledger'!$A$2:$A$1501)-ROW('Orders Ledger'!$A$2)+1), ROW(746:746))), "")</f>
        <v/>
      </c>
      <c r="C804" s="11" t="str">
        <f>IF(B804="","",_xlfn.XLOOKUP(B804,'Orders Ledger'!$A:$A,'Orders Ledger'!$B:$B,""))</f>
        <v/>
      </c>
      <c r="D804" t="str">
        <f>IF(B804="","",_xlfn.XLOOKUP(B804,'Orders Ledger'!$A:$A,'Orders Ledger'!$G:$G,""))</f>
        <v/>
      </c>
      <c r="E804" t="str">
        <f>IF(B804="","",_xlfn.XLOOKUP(B804,'Orders Ledger'!$A:$A,'Orders Ledger'!$H:$H,""))</f>
        <v/>
      </c>
      <c r="F804" t="str">
        <f>IF(B804="","",_xlfn.XLOOKUP(B804,'Orders Ledger'!$A:$A,'Orders Ledger'!$F:$F,""))</f>
        <v/>
      </c>
      <c r="G804" t="str">
        <f>IF(B804="","",_xlfn.XLOOKUP(B804,'Orders Ledger'!$A:$A,'Orders Ledger'!$N:$N,0))</f>
        <v/>
      </c>
    </row>
    <row r="805" spans="2:7" x14ac:dyDescent="0.3">
      <c r="B805" t="str">
        <f t="array" ref="B805">IFERROR(INDEX('Orders Ledger'!$A$2:$A$1501, SMALL(IF(('Orders Ledger'!$J$2:$J$1501="disputed")+('Orders Ledger'!$J$2:$J$1501="PENDING_REVIEW"), ROW('Orders Ledger'!$A$2:$A$1501)-ROW('Orders Ledger'!$A$2)+1), ROW(747:747))), "")</f>
        <v/>
      </c>
      <c r="C805" s="11" t="str">
        <f>IF(B805="","",_xlfn.XLOOKUP(B805,'Orders Ledger'!$A:$A,'Orders Ledger'!$B:$B,""))</f>
        <v/>
      </c>
      <c r="D805" t="str">
        <f>IF(B805="","",_xlfn.XLOOKUP(B805,'Orders Ledger'!$A:$A,'Orders Ledger'!$G:$G,""))</f>
        <v/>
      </c>
      <c r="E805" t="str">
        <f>IF(B805="","",_xlfn.XLOOKUP(B805,'Orders Ledger'!$A:$A,'Orders Ledger'!$H:$H,""))</f>
        <v/>
      </c>
      <c r="F805" t="str">
        <f>IF(B805="","",_xlfn.XLOOKUP(B805,'Orders Ledger'!$A:$A,'Orders Ledger'!$F:$F,""))</f>
        <v/>
      </c>
      <c r="G805" t="str">
        <f>IF(B805="","",_xlfn.XLOOKUP(B805,'Orders Ledger'!$A:$A,'Orders Ledger'!$N:$N,0))</f>
        <v/>
      </c>
    </row>
    <row r="806" spans="2:7" x14ac:dyDescent="0.3">
      <c r="B806" t="str">
        <f t="array" ref="B806">IFERROR(INDEX('Orders Ledger'!$A$2:$A$1501, SMALL(IF(('Orders Ledger'!$J$2:$J$1501="disputed")+('Orders Ledger'!$J$2:$J$1501="PENDING_REVIEW"), ROW('Orders Ledger'!$A$2:$A$1501)-ROW('Orders Ledger'!$A$2)+1), ROW(748:748))), "")</f>
        <v/>
      </c>
      <c r="C806" s="11" t="str">
        <f>IF(B806="","",_xlfn.XLOOKUP(B806,'Orders Ledger'!$A:$A,'Orders Ledger'!$B:$B,""))</f>
        <v/>
      </c>
      <c r="D806" t="str">
        <f>IF(B806="","",_xlfn.XLOOKUP(B806,'Orders Ledger'!$A:$A,'Orders Ledger'!$G:$G,""))</f>
        <v/>
      </c>
      <c r="E806" t="str">
        <f>IF(B806="","",_xlfn.XLOOKUP(B806,'Orders Ledger'!$A:$A,'Orders Ledger'!$H:$H,""))</f>
        <v/>
      </c>
      <c r="F806" t="str">
        <f>IF(B806="","",_xlfn.XLOOKUP(B806,'Orders Ledger'!$A:$A,'Orders Ledger'!$F:$F,""))</f>
        <v/>
      </c>
      <c r="G806" t="str">
        <f>IF(B806="","",_xlfn.XLOOKUP(B806,'Orders Ledger'!$A:$A,'Orders Ledger'!$N:$N,0))</f>
        <v/>
      </c>
    </row>
    <row r="807" spans="2:7" x14ac:dyDescent="0.3">
      <c r="B807" t="str">
        <f t="array" ref="B807">IFERROR(INDEX('Orders Ledger'!$A$2:$A$1501, SMALL(IF(('Orders Ledger'!$J$2:$J$1501="disputed")+('Orders Ledger'!$J$2:$J$1501="PENDING_REVIEW"), ROW('Orders Ledger'!$A$2:$A$1501)-ROW('Orders Ledger'!$A$2)+1), ROW(749:749))), "")</f>
        <v/>
      </c>
      <c r="C807" s="11" t="str">
        <f>IF(B807="","",_xlfn.XLOOKUP(B807,'Orders Ledger'!$A:$A,'Orders Ledger'!$B:$B,""))</f>
        <v/>
      </c>
      <c r="D807" t="str">
        <f>IF(B807="","",_xlfn.XLOOKUP(B807,'Orders Ledger'!$A:$A,'Orders Ledger'!$G:$G,""))</f>
        <v/>
      </c>
      <c r="E807" t="str">
        <f>IF(B807="","",_xlfn.XLOOKUP(B807,'Orders Ledger'!$A:$A,'Orders Ledger'!$H:$H,""))</f>
        <v/>
      </c>
      <c r="F807" t="str">
        <f>IF(B807="","",_xlfn.XLOOKUP(B807,'Orders Ledger'!$A:$A,'Orders Ledger'!$F:$F,""))</f>
        <v/>
      </c>
      <c r="G807" t="str">
        <f>IF(B807="","",_xlfn.XLOOKUP(B807,'Orders Ledger'!$A:$A,'Orders Ledger'!$N:$N,0))</f>
        <v/>
      </c>
    </row>
    <row r="808" spans="2:7" x14ac:dyDescent="0.3">
      <c r="B808" t="str">
        <f t="array" ref="B808">IFERROR(INDEX('Orders Ledger'!$A$2:$A$1501, SMALL(IF(('Orders Ledger'!$J$2:$J$1501="disputed")+('Orders Ledger'!$J$2:$J$1501="PENDING_REVIEW"), ROW('Orders Ledger'!$A$2:$A$1501)-ROW('Orders Ledger'!$A$2)+1), ROW(750:750))), "")</f>
        <v/>
      </c>
      <c r="C808" s="11" t="str">
        <f>IF(B808="","",_xlfn.XLOOKUP(B808,'Orders Ledger'!$A:$A,'Orders Ledger'!$B:$B,""))</f>
        <v/>
      </c>
      <c r="D808" t="str">
        <f>IF(B808="","",_xlfn.XLOOKUP(B808,'Orders Ledger'!$A:$A,'Orders Ledger'!$G:$G,""))</f>
        <v/>
      </c>
      <c r="E808" t="str">
        <f>IF(B808="","",_xlfn.XLOOKUP(B808,'Orders Ledger'!$A:$A,'Orders Ledger'!$H:$H,""))</f>
        <v/>
      </c>
      <c r="F808" t="str">
        <f>IF(B808="","",_xlfn.XLOOKUP(B808,'Orders Ledger'!$A:$A,'Orders Ledger'!$F:$F,""))</f>
        <v/>
      </c>
      <c r="G808" t="str">
        <f>IF(B808="","",_xlfn.XLOOKUP(B808,'Orders Ledger'!$A:$A,'Orders Ledger'!$N:$N,0))</f>
        <v/>
      </c>
    </row>
    <row r="809" spans="2:7" x14ac:dyDescent="0.3">
      <c r="B809" t="str">
        <f t="array" ref="B809">IFERROR(INDEX('Orders Ledger'!$A$2:$A$1501, SMALL(IF(('Orders Ledger'!$J$2:$J$1501="disputed")+('Orders Ledger'!$J$2:$J$1501="PENDING_REVIEW"), ROW('Orders Ledger'!$A$2:$A$1501)-ROW('Orders Ledger'!$A$2)+1), ROW(751:751))), "")</f>
        <v/>
      </c>
      <c r="C809" s="11" t="str">
        <f>IF(B809="","",_xlfn.XLOOKUP(B809,'Orders Ledger'!$A:$A,'Orders Ledger'!$B:$B,""))</f>
        <v/>
      </c>
      <c r="D809" t="str">
        <f>IF(B809="","",_xlfn.XLOOKUP(B809,'Orders Ledger'!$A:$A,'Orders Ledger'!$G:$G,""))</f>
        <v/>
      </c>
      <c r="E809" t="str">
        <f>IF(B809="","",_xlfn.XLOOKUP(B809,'Orders Ledger'!$A:$A,'Orders Ledger'!$H:$H,""))</f>
        <v/>
      </c>
      <c r="F809" t="str">
        <f>IF(B809="","",_xlfn.XLOOKUP(B809,'Orders Ledger'!$A:$A,'Orders Ledger'!$F:$F,""))</f>
        <v/>
      </c>
      <c r="G809" t="str">
        <f>IF(B809="","",_xlfn.XLOOKUP(B809,'Orders Ledger'!$A:$A,'Orders Ledger'!$N:$N,0))</f>
        <v/>
      </c>
    </row>
    <row r="810" spans="2:7" x14ac:dyDescent="0.3">
      <c r="B810" t="str">
        <f t="array" ref="B810">IFERROR(INDEX('Orders Ledger'!$A$2:$A$1501, SMALL(IF(('Orders Ledger'!$J$2:$J$1501="disputed")+('Orders Ledger'!$J$2:$J$1501="PENDING_REVIEW"), ROW('Orders Ledger'!$A$2:$A$1501)-ROW('Orders Ledger'!$A$2)+1), ROW(752:752))), "")</f>
        <v/>
      </c>
      <c r="C810" s="11" t="str">
        <f>IF(B810="","",_xlfn.XLOOKUP(B810,'Orders Ledger'!$A:$A,'Orders Ledger'!$B:$B,""))</f>
        <v/>
      </c>
      <c r="D810" t="str">
        <f>IF(B810="","",_xlfn.XLOOKUP(B810,'Orders Ledger'!$A:$A,'Orders Ledger'!$G:$G,""))</f>
        <v/>
      </c>
      <c r="E810" t="str">
        <f>IF(B810="","",_xlfn.XLOOKUP(B810,'Orders Ledger'!$A:$A,'Orders Ledger'!$H:$H,""))</f>
        <v/>
      </c>
      <c r="F810" t="str">
        <f>IF(B810="","",_xlfn.XLOOKUP(B810,'Orders Ledger'!$A:$A,'Orders Ledger'!$F:$F,""))</f>
        <v/>
      </c>
      <c r="G810" t="str">
        <f>IF(B810="","",_xlfn.XLOOKUP(B810,'Orders Ledger'!$A:$A,'Orders Ledger'!$N:$N,0))</f>
        <v/>
      </c>
    </row>
    <row r="811" spans="2:7" x14ac:dyDescent="0.3">
      <c r="B811" t="str">
        <f t="array" ref="B811">IFERROR(INDEX('Orders Ledger'!$A$2:$A$1501, SMALL(IF(('Orders Ledger'!$J$2:$J$1501="disputed")+('Orders Ledger'!$J$2:$J$1501="PENDING_REVIEW"), ROW('Orders Ledger'!$A$2:$A$1501)-ROW('Orders Ledger'!$A$2)+1), ROW(753:753))), "")</f>
        <v/>
      </c>
      <c r="C811" s="11" t="str">
        <f>IF(B811="","",_xlfn.XLOOKUP(B811,'Orders Ledger'!$A:$A,'Orders Ledger'!$B:$B,""))</f>
        <v/>
      </c>
      <c r="D811" t="str">
        <f>IF(B811="","",_xlfn.XLOOKUP(B811,'Orders Ledger'!$A:$A,'Orders Ledger'!$G:$G,""))</f>
        <v/>
      </c>
      <c r="E811" t="str">
        <f>IF(B811="","",_xlfn.XLOOKUP(B811,'Orders Ledger'!$A:$A,'Orders Ledger'!$H:$H,""))</f>
        <v/>
      </c>
      <c r="F811" t="str">
        <f>IF(B811="","",_xlfn.XLOOKUP(B811,'Orders Ledger'!$A:$A,'Orders Ledger'!$F:$F,""))</f>
        <v/>
      </c>
      <c r="G811" t="str">
        <f>IF(B811="","",_xlfn.XLOOKUP(B811,'Orders Ledger'!$A:$A,'Orders Ledger'!$N:$N,0))</f>
        <v/>
      </c>
    </row>
    <row r="812" spans="2:7" x14ac:dyDescent="0.3">
      <c r="B812" t="str">
        <f t="array" ref="B812">IFERROR(INDEX('Orders Ledger'!$A$2:$A$1501, SMALL(IF(('Orders Ledger'!$J$2:$J$1501="disputed")+('Orders Ledger'!$J$2:$J$1501="PENDING_REVIEW"), ROW('Orders Ledger'!$A$2:$A$1501)-ROW('Orders Ledger'!$A$2)+1), ROW(754:754))), "")</f>
        <v/>
      </c>
      <c r="C812" s="11" t="str">
        <f>IF(B812="","",_xlfn.XLOOKUP(B812,'Orders Ledger'!$A:$A,'Orders Ledger'!$B:$B,""))</f>
        <v/>
      </c>
      <c r="D812" t="str">
        <f>IF(B812="","",_xlfn.XLOOKUP(B812,'Orders Ledger'!$A:$A,'Orders Ledger'!$G:$G,""))</f>
        <v/>
      </c>
      <c r="E812" t="str">
        <f>IF(B812="","",_xlfn.XLOOKUP(B812,'Orders Ledger'!$A:$A,'Orders Ledger'!$H:$H,""))</f>
        <v/>
      </c>
      <c r="F812" t="str">
        <f>IF(B812="","",_xlfn.XLOOKUP(B812,'Orders Ledger'!$A:$A,'Orders Ledger'!$F:$F,""))</f>
        <v/>
      </c>
      <c r="G812" t="str">
        <f>IF(B812="","",_xlfn.XLOOKUP(B812,'Orders Ledger'!$A:$A,'Orders Ledger'!$N:$N,0))</f>
        <v/>
      </c>
    </row>
    <row r="813" spans="2:7" x14ac:dyDescent="0.3">
      <c r="B813" t="str">
        <f t="array" ref="B813">IFERROR(INDEX('Orders Ledger'!$A$2:$A$1501, SMALL(IF(('Orders Ledger'!$J$2:$J$1501="disputed")+('Orders Ledger'!$J$2:$J$1501="PENDING_REVIEW"), ROW('Orders Ledger'!$A$2:$A$1501)-ROW('Orders Ledger'!$A$2)+1), ROW(755:755))), "")</f>
        <v/>
      </c>
      <c r="C813" s="11" t="str">
        <f>IF(B813="","",_xlfn.XLOOKUP(B813,'Orders Ledger'!$A:$A,'Orders Ledger'!$B:$B,""))</f>
        <v/>
      </c>
      <c r="D813" t="str">
        <f>IF(B813="","",_xlfn.XLOOKUP(B813,'Orders Ledger'!$A:$A,'Orders Ledger'!$G:$G,""))</f>
        <v/>
      </c>
      <c r="E813" t="str">
        <f>IF(B813="","",_xlfn.XLOOKUP(B813,'Orders Ledger'!$A:$A,'Orders Ledger'!$H:$H,""))</f>
        <v/>
      </c>
      <c r="F813" t="str">
        <f>IF(B813="","",_xlfn.XLOOKUP(B813,'Orders Ledger'!$A:$A,'Orders Ledger'!$F:$F,""))</f>
        <v/>
      </c>
      <c r="G813" t="str">
        <f>IF(B813="","",_xlfn.XLOOKUP(B813,'Orders Ledger'!$A:$A,'Orders Ledger'!$N:$N,0))</f>
        <v/>
      </c>
    </row>
    <row r="814" spans="2:7" x14ac:dyDescent="0.3">
      <c r="B814" t="str">
        <f t="array" ref="B814">IFERROR(INDEX('Orders Ledger'!$A$2:$A$1501, SMALL(IF(('Orders Ledger'!$J$2:$J$1501="disputed")+('Orders Ledger'!$J$2:$J$1501="PENDING_REVIEW"), ROW('Orders Ledger'!$A$2:$A$1501)-ROW('Orders Ledger'!$A$2)+1), ROW(756:756))), "")</f>
        <v/>
      </c>
      <c r="C814" s="11" t="str">
        <f>IF(B814="","",_xlfn.XLOOKUP(B814,'Orders Ledger'!$A:$A,'Orders Ledger'!$B:$B,""))</f>
        <v/>
      </c>
      <c r="D814" t="str">
        <f>IF(B814="","",_xlfn.XLOOKUP(B814,'Orders Ledger'!$A:$A,'Orders Ledger'!$G:$G,""))</f>
        <v/>
      </c>
      <c r="E814" t="str">
        <f>IF(B814="","",_xlfn.XLOOKUP(B814,'Orders Ledger'!$A:$A,'Orders Ledger'!$H:$H,""))</f>
        <v/>
      </c>
      <c r="F814" t="str">
        <f>IF(B814="","",_xlfn.XLOOKUP(B814,'Orders Ledger'!$A:$A,'Orders Ledger'!$F:$F,""))</f>
        <v/>
      </c>
      <c r="G814" t="str">
        <f>IF(B814="","",_xlfn.XLOOKUP(B814,'Orders Ledger'!$A:$A,'Orders Ledger'!$N:$N,0))</f>
        <v/>
      </c>
    </row>
    <row r="815" spans="2:7" x14ac:dyDescent="0.3">
      <c r="B815" t="str">
        <f t="array" ref="B815">IFERROR(INDEX('Orders Ledger'!$A$2:$A$1501, SMALL(IF(('Orders Ledger'!$J$2:$J$1501="disputed")+('Orders Ledger'!$J$2:$J$1501="PENDING_REVIEW"), ROW('Orders Ledger'!$A$2:$A$1501)-ROW('Orders Ledger'!$A$2)+1), ROW(757:757))), "")</f>
        <v/>
      </c>
      <c r="C815" s="11" t="str">
        <f>IF(B815="","",_xlfn.XLOOKUP(B815,'Orders Ledger'!$A:$A,'Orders Ledger'!$B:$B,""))</f>
        <v/>
      </c>
      <c r="D815" t="str">
        <f>IF(B815="","",_xlfn.XLOOKUP(B815,'Orders Ledger'!$A:$A,'Orders Ledger'!$G:$G,""))</f>
        <v/>
      </c>
      <c r="E815" t="str">
        <f>IF(B815="","",_xlfn.XLOOKUP(B815,'Orders Ledger'!$A:$A,'Orders Ledger'!$H:$H,""))</f>
        <v/>
      </c>
      <c r="F815" t="str">
        <f>IF(B815="","",_xlfn.XLOOKUP(B815,'Orders Ledger'!$A:$A,'Orders Ledger'!$F:$F,""))</f>
        <v/>
      </c>
      <c r="G815" t="str">
        <f>IF(B815="","",_xlfn.XLOOKUP(B815,'Orders Ledger'!$A:$A,'Orders Ledger'!$N:$N,0))</f>
        <v/>
      </c>
    </row>
    <row r="816" spans="2:7" x14ac:dyDescent="0.3">
      <c r="B816" t="str">
        <f t="array" ref="B816">IFERROR(INDEX('Orders Ledger'!$A$2:$A$1501, SMALL(IF(('Orders Ledger'!$J$2:$J$1501="disputed")+('Orders Ledger'!$J$2:$J$1501="PENDING_REVIEW"), ROW('Orders Ledger'!$A$2:$A$1501)-ROW('Orders Ledger'!$A$2)+1), ROW(758:758))), "")</f>
        <v/>
      </c>
      <c r="C816" s="11" t="str">
        <f>IF(B816="","",_xlfn.XLOOKUP(B816,'Orders Ledger'!$A:$A,'Orders Ledger'!$B:$B,""))</f>
        <v/>
      </c>
      <c r="D816" t="str">
        <f>IF(B816="","",_xlfn.XLOOKUP(B816,'Orders Ledger'!$A:$A,'Orders Ledger'!$G:$G,""))</f>
        <v/>
      </c>
      <c r="E816" t="str">
        <f>IF(B816="","",_xlfn.XLOOKUP(B816,'Orders Ledger'!$A:$A,'Orders Ledger'!$H:$H,""))</f>
        <v/>
      </c>
      <c r="F816" t="str">
        <f>IF(B816="","",_xlfn.XLOOKUP(B816,'Orders Ledger'!$A:$A,'Orders Ledger'!$F:$F,""))</f>
        <v/>
      </c>
      <c r="G816" t="str">
        <f>IF(B816="","",_xlfn.XLOOKUP(B816,'Orders Ledger'!$A:$A,'Orders Ledger'!$N:$N,0))</f>
        <v/>
      </c>
    </row>
    <row r="817" spans="2:7" x14ac:dyDescent="0.3">
      <c r="B817" t="str">
        <f t="array" ref="B817">IFERROR(INDEX('Orders Ledger'!$A$2:$A$1501, SMALL(IF(('Orders Ledger'!$J$2:$J$1501="disputed")+('Orders Ledger'!$J$2:$J$1501="PENDING_REVIEW"), ROW('Orders Ledger'!$A$2:$A$1501)-ROW('Orders Ledger'!$A$2)+1), ROW(759:759))), "")</f>
        <v/>
      </c>
      <c r="C817" s="11" t="str">
        <f>IF(B817="","",_xlfn.XLOOKUP(B817,'Orders Ledger'!$A:$A,'Orders Ledger'!$B:$B,""))</f>
        <v/>
      </c>
      <c r="D817" t="str">
        <f>IF(B817="","",_xlfn.XLOOKUP(B817,'Orders Ledger'!$A:$A,'Orders Ledger'!$G:$G,""))</f>
        <v/>
      </c>
      <c r="E817" t="str">
        <f>IF(B817="","",_xlfn.XLOOKUP(B817,'Orders Ledger'!$A:$A,'Orders Ledger'!$H:$H,""))</f>
        <v/>
      </c>
      <c r="F817" t="str">
        <f>IF(B817="","",_xlfn.XLOOKUP(B817,'Orders Ledger'!$A:$A,'Orders Ledger'!$F:$F,""))</f>
        <v/>
      </c>
      <c r="G817" t="str">
        <f>IF(B817="","",_xlfn.XLOOKUP(B817,'Orders Ledger'!$A:$A,'Orders Ledger'!$N:$N,0))</f>
        <v/>
      </c>
    </row>
    <row r="818" spans="2:7" x14ac:dyDescent="0.3">
      <c r="B818" t="str">
        <f t="array" ref="B818">IFERROR(INDEX('Orders Ledger'!$A$2:$A$1501, SMALL(IF(('Orders Ledger'!$J$2:$J$1501="disputed")+('Orders Ledger'!$J$2:$J$1501="PENDING_REVIEW"), ROW('Orders Ledger'!$A$2:$A$1501)-ROW('Orders Ledger'!$A$2)+1), ROW(760:760))), "")</f>
        <v/>
      </c>
      <c r="C818" s="11" t="str">
        <f>IF(B818="","",_xlfn.XLOOKUP(B818,'Orders Ledger'!$A:$A,'Orders Ledger'!$B:$B,""))</f>
        <v/>
      </c>
      <c r="D818" t="str">
        <f>IF(B818="","",_xlfn.XLOOKUP(B818,'Orders Ledger'!$A:$A,'Orders Ledger'!$G:$G,""))</f>
        <v/>
      </c>
      <c r="E818" t="str">
        <f>IF(B818="","",_xlfn.XLOOKUP(B818,'Orders Ledger'!$A:$A,'Orders Ledger'!$H:$H,""))</f>
        <v/>
      </c>
      <c r="F818" t="str">
        <f>IF(B818="","",_xlfn.XLOOKUP(B818,'Orders Ledger'!$A:$A,'Orders Ledger'!$F:$F,""))</f>
        <v/>
      </c>
      <c r="G818" t="str">
        <f>IF(B818="","",_xlfn.XLOOKUP(B818,'Orders Ledger'!$A:$A,'Orders Ledger'!$N:$N,0))</f>
        <v/>
      </c>
    </row>
    <row r="819" spans="2:7" x14ac:dyDescent="0.3">
      <c r="B819" t="str">
        <f t="array" ref="B819">IFERROR(INDEX('Orders Ledger'!$A$2:$A$1501, SMALL(IF(('Orders Ledger'!$J$2:$J$1501="disputed")+('Orders Ledger'!$J$2:$J$1501="PENDING_REVIEW"), ROW('Orders Ledger'!$A$2:$A$1501)-ROW('Orders Ledger'!$A$2)+1), ROW(761:761))), "")</f>
        <v/>
      </c>
      <c r="C819" s="11" t="str">
        <f>IF(B819="","",_xlfn.XLOOKUP(B819,'Orders Ledger'!$A:$A,'Orders Ledger'!$B:$B,""))</f>
        <v/>
      </c>
      <c r="D819" t="str">
        <f>IF(B819="","",_xlfn.XLOOKUP(B819,'Orders Ledger'!$A:$A,'Orders Ledger'!$G:$G,""))</f>
        <v/>
      </c>
      <c r="E819" t="str">
        <f>IF(B819="","",_xlfn.XLOOKUP(B819,'Orders Ledger'!$A:$A,'Orders Ledger'!$H:$H,""))</f>
        <v/>
      </c>
      <c r="F819" t="str">
        <f>IF(B819="","",_xlfn.XLOOKUP(B819,'Orders Ledger'!$A:$A,'Orders Ledger'!$F:$F,""))</f>
        <v/>
      </c>
      <c r="G819" t="str">
        <f>IF(B819="","",_xlfn.XLOOKUP(B819,'Orders Ledger'!$A:$A,'Orders Ledger'!$N:$N,0))</f>
        <v/>
      </c>
    </row>
    <row r="820" spans="2:7" x14ac:dyDescent="0.3">
      <c r="B820" t="str">
        <f t="array" ref="B820">IFERROR(INDEX('Orders Ledger'!$A$2:$A$1501, SMALL(IF(('Orders Ledger'!$J$2:$J$1501="disputed")+('Orders Ledger'!$J$2:$J$1501="PENDING_REVIEW"), ROW('Orders Ledger'!$A$2:$A$1501)-ROW('Orders Ledger'!$A$2)+1), ROW(762:762))), "")</f>
        <v/>
      </c>
      <c r="C820" s="11" t="str">
        <f>IF(B820="","",_xlfn.XLOOKUP(B820,'Orders Ledger'!$A:$A,'Orders Ledger'!$B:$B,""))</f>
        <v/>
      </c>
      <c r="D820" t="str">
        <f>IF(B820="","",_xlfn.XLOOKUP(B820,'Orders Ledger'!$A:$A,'Orders Ledger'!$G:$G,""))</f>
        <v/>
      </c>
      <c r="E820" t="str">
        <f>IF(B820="","",_xlfn.XLOOKUP(B820,'Orders Ledger'!$A:$A,'Orders Ledger'!$H:$H,""))</f>
        <v/>
      </c>
      <c r="F820" t="str">
        <f>IF(B820="","",_xlfn.XLOOKUP(B820,'Orders Ledger'!$A:$A,'Orders Ledger'!$F:$F,""))</f>
        <v/>
      </c>
      <c r="G820" t="str">
        <f>IF(B820="","",_xlfn.XLOOKUP(B820,'Orders Ledger'!$A:$A,'Orders Ledger'!$N:$N,0))</f>
        <v/>
      </c>
    </row>
    <row r="821" spans="2:7" x14ac:dyDescent="0.3">
      <c r="B821" t="str">
        <f t="array" ref="B821">IFERROR(INDEX('Orders Ledger'!$A$2:$A$1501, SMALL(IF(('Orders Ledger'!$J$2:$J$1501="disputed")+('Orders Ledger'!$J$2:$J$1501="PENDING_REVIEW"), ROW('Orders Ledger'!$A$2:$A$1501)-ROW('Orders Ledger'!$A$2)+1), ROW(763:763))), "")</f>
        <v/>
      </c>
      <c r="C821" s="11" t="str">
        <f>IF(B821="","",_xlfn.XLOOKUP(B821,'Orders Ledger'!$A:$A,'Orders Ledger'!$B:$B,""))</f>
        <v/>
      </c>
      <c r="D821" t="str">
        <f>IF(B821="","",_xlfn.XLOOKUP(B821,'Orders Ledger'!$A:$A,'Orders Ledger'!$G:$G,""))</f>
        <v/>
      </c>
      <c r="E821" t="str">
        <f>IF(B821="","",_xlfn.XLOOKUP(B821,'Orders Ledger'!$A:$A,'Orders Ledger'!$H:$H,""))</f>
        <v/>
      </c>
      <c r="F821" t="str">
        <f>IF(B821="","",_xlfn.XLOOKUP(B821,'Orders Ledger'!$A:$A,'Orders Ledger'!$F:$F,""))</f>
        <v/>
      </c>
      <c r="G821" t="str">
        <f>IF(B821="","",_xlfn.XLOOKUP(B821,'Orders Ledger'!$A:$A,'Orders Ledger'!$N:$N,0))</f>
        <v/>
      </c>
    </row>
    <row r="822" spans="2:7" x14ac:dyDescent="0.3">
      <c r="B822" t="str">
        <f t="array" ref="B822">IFERROR(INDEX('Orders Ledger'!$A$2:$A$1501, SMALL(IF(('Orders Ledger'!$J$2:$J$1501="disputed")+('Orders Ledger'!$J$2:$J$1501="PENDING_REVIEW"), ROW('Orders Ledger'!$A$2:$A$1501)-ROW('Orders Ledger'!$A$2)+1), ROW(764:764))), "")</f>
        <v/>
      </c>
      <c r="C822" s="11" t="str">
        <f>IF(B822="","",_xlfn.XLOOKUP(B822,'Orders Ledger'!$A:$A,'Orders Ledger'!$B:$B,""))</f>
        <v/>
      </c>
      <c r="D822" t="str">
        <f>IF(B822="","",_xlfn.XLOOKUP(B822,'Orders Ledger'!$A:$A,'Orders Ledger'!$G:$G,""))</f>
        <v/>
      </c>
      <c r="E822" t="str">
        <f>IF(B822="","",_xlfn.XLOOKUP(B822,'Orders Ledger'!$A:$A,'Orders Ledger'!$H:$H,""))</f>
        <v/>
      </c>
      <c r="F822" t="str">
        <f>IF(B822="","",_xlfn.XLOOKUP(B822,'Orders Ledger'!$A:$A,'Orders Ledger'!$F:$F,""))</f>
        <v/>
      </c>
      <c r="G822" t="str">
        <f>IF(B822="","",_xlfn.XLOOKUP(B822,'Orders Ledger'!$A:$A,'Orders Ledger'!$N:$N,0))</f>
        <v/>
      </c>
    </row>
    <row r="823" spans="2:7" x14ac:dyDescent="0.3">
      <c r="B823" t="str">
        <f t="array" ref="B823">IFERROR(INDEX('Orders Ledger'!$A$2:$A$1501, SMALL(IF(('Orders Ledger'!$J$2:$J$1501="disputed")+('Orders Ledger'!$J$2:$J$1501="PENDING_REVIEW"), ROW('Orders Ledger'!$A$2:$A$1501)-ROW('Orders Ledger'!$A$2)+1), ROW(765:765))), "")</f>
        <v/>
      </c>
      <c r="C823" s="11" t="str">
        <f>IF(B823="","",_xlfn.XLOOKUP(B823,'Orders Ledger'!$A:$A,'Orders Ledger'!$B:$B,""))</f>
        <v/>
      </c>
      <c r="D823" t="str">
        <f>IF(B823="","",_xlfn.XLOOKUP(B823,'Orders Ledger'!$A:$A,'Orders Ledger'!$G:$G,""))</f>
        <v/>
      </c>
      <c r="E823" t="str">
        <f>IF(B823="","",_xlfn.XLOOKUP(B823,'Orders Ledger'!$A:$A,'Orders Ledger'!$H:$H,""))</f>
        <v/>
      </c>
      <c r="F823" t="str">
        <f>IF(B823="","",_xlfn.XLOOKUP(B823,'Orders Ledger'!$A:$A,'Orders Ledger'!$F:$F,""))</f>
        <v/>
      </c>
      <c r="G823" t="str">
        <f>IF(B823="","",_xlfn.XLOOKUP(B823,'Orders Ledger'!$A:$A,'Orders Ledger'!$N:$N,0))</f>
        <v/>
      </c>
    </row>
    <row r="824" spans="2:7" x14ac:dyDescent="0.3">
      <c r="B824" t="str">
        <f t="array" ref="B824">IFERROR(INDEX('Orders Ledger'!$A$2:$A$1501, SMALL(IF(('Orders Ledger'!$J$2:$J$1501="disputed")+('Orders Ledger'!$J$2:$J$1501="PENDING_REVIEW"), ROW('Orders Ledger'!$A$2:$A$1501)-ROW('Orders Ledger'!$A$2)+1), ROW(766:766))), "")</f>
        <v/>
      </c>
      <c r="C824" s="11" t="str">
        <f>IF(B824="","",_xlfn.XLOOKUP(B824,'Orders Ledger'!$A:$A,'Orders Ledger'!$B:$B,""))</f>
        <v/>
      </c>
      <c r="D824" t="str">
        <f>IF(B824="","",_xlfn.XLOOKUP(B824,'Orders Ledger'!$A:$A,'Orders Ledger'!$G:$G,""))</f>
        <v/>
      </c>
      <c r="E824" t="str">
        <f>IF(B824="","",_xlfn.XLOOKUP(B824,'Orders Ledger'!$A:$A,'Orders Ledger'!$H:$H,""))</f>
        <v/>
      </c>
      <c r="F824" t="str">
        <f>IF(B824="","",_xlfn.XLOOKUP(B824,'Orders Ledger'!$A:$A,'Orders Ledger'!$F:$F,""))</f>
        <v/>
      </c>
      <c r="G824" t="str">
        <f>IF(B824="","",_xlfn.XLOOKUP(B824,'Orders Ledger'!$A:$A,'Orders Ledger'!$N:$N,0))</f>
        <v/>
      </c>
    </row>
    <row r="825" spans="2:7" x14ac:dyDescent="0.3">
      <c r="B825" t="str">
        <f t="array" ref="B825">IFERROR(INDEX('Orders Ledger'!$A$2:$A$1501, SMALL(IF(('Orders Ledger'!$J$2:$J$1501="disputed")+('Orders Ledger'!$J$2:$J$1501="PENDING_REVIEW"), ROW('Orders Ledger'!$A$2:$A$1501)-ROW('Orders Ledger'!$A$2)+1), ROW(767:767))), "")</f>
        <v/>
      </c>
      <c r="C825" s="11" t="str">
        <f>IF(B825="","",_xlfn.XLOOKUP(B825,'Orders Ledger'!$A:$A,'Orders Ledger'!$B:$B,""))</f>
        <v/>
      </c>
      <c r="D825" t="str">
        <f>IF(B825="","",_xlfn.XLOOKUP(B825,'Orders Ledger'!$A:$A,'Orders Ledger'!$G:$G,""))</f>
        <v/>
      </c>
      <c r="E825" t="str">
        <f>IF(B825="","",_xlfn.XLOOKUP(B825,'Orders Ledger'!$A:$A,'Orders Ledger'!$H:$H,""))</f>
        <v/>
      </c>
      <c r="F825" t="str">
        <f>IF(B825="","",_xlfn.XLOOKUP(B825,'Orders Ledger'!$A:$A,'Orders Ledger'!$F:$F,""))</f>
        <v/>
      </c>
      <c r="G825" t="str">
        <f>IF(B825="","",_xlfn.XLOOKUP(B825,'Orders Ledger'!$A:$A,'Orders Ledger'!$N:$N,0))</f>
        <v/>
      </c>
    </row>
    <row r="826" spans="2:7" x14ac:dyDescent="0.3">
      <c r="B826" t="str">
        <f t="array" ref="B826">IFERROR(INDEX('Orders Ledger'!$A$2:$A$1501, SMALL(IF(('Orders Ledger'!$J$2:$J$1501="disputed")+('Orders Ledger'!$J$2:$J$1501="PENDING_REVIEW"), ROW('Orders Ledger'!$A$2:$A$1501)-ROW('Orders Ledger'!$A$2)+1), ROW(768:768))), "")</f>
        <v/>
      </c>
      <c r="C826" s="11" t="str">
        <f>IF(B826="","",_xlfn.XLOOKUP(B826,'Orders Ledger'!$A:$A,'Orders Ledger'!$B:$B,""))</f>
        <v/>
      </c>
      <c r="D826" t="str">
        <f>IF(B826="","",_xlfn.XLOOKUP(B826,'Orders Ledger'!$A:$A,'Orders Ledger'!$G:$G,""))</f>
        <v/>
      </c>
      <c r="E826" t="str">
        <f>IF(B826="","",_xlfn.XLOOKUP(B826,'Orders Ledger'!$A:$A,'Orders Ledger'!$H:$H,""))</f>
        <v/>
      </c>
      <c r="F826" t="str">
        <f>IF(B826="","",_xlfn.XLOOKUP(B826,'Orders Ledger'!$A:$A,'Orders Ledger'!$F:$F,""))</f>
        <v/>
      </c>
      <c r="G826" t="str">
        <f>IF(B826="","",_xlfn.XLOOKUP(B826,'Orders Ledger'!$A:$A,'Orders Ledger'!$N:$N,0))</f>
        <v/>
      </c>
    </row>
    <row r="827" spans="2:7" x14ac:dyDescent="0.3">
      <c r="B827" t="str">
        <f t="array" ref="B827">IFERROR(INDEX('Orders Ledger'!$A$2:$A$1501, SMALL(IF(('Orders Ledger'!$J$2:$J$1501="disputed")+('Orders Ledger'!$J$2:$J$1501="PENDING_REVIEW"), ROW('Orders Ledger'!$A$2:$A$1501)-ROW('Orders Ledger'!$A$2)+1), ROW(769:769))), "")</f>
        <v/>
      </c>
      <c r="C827" s="11" t="str">
        <f>IF(B827="","",_xlfn.XLOOKUP(B827,'Orders Ledger'!$A:$A,'Orders Ledger'!$B:$B,""))</f>
        <v/>
      </c>
      <c r="D827" t="str">
        <f>IF(B827="","",_xlfn.XLOOKUP(B827,'Orders Ledger'!$A:$A,'Orders Ledger'!$G:$G,""))</f>
        <v/>
      </c>
      <c r="E827" t="str">
        <f>IF(B827="","",_xlfn.XLOOKUP(B827,'Orders Ledger'!$A:$A,'Orders Ledger'!$H:$H,""))</f>
        <v/>
      </c>
      <c r="F827" t="str">
        <f>IF(B827="","",_xlfn.XLOOKUP(B827,'Orders Ledger'!$A:$A,'Orders Ledger'!$F:$F,""))</f>
        <v/>
      </c>
      <c r="G827" t="str">
        <f>IF(B827="","",_xlfn.XLOOKUP(B827,'Orders Ledger'!$A:$A,'Orders Ledger'!$N:$N,0))</f>
        <v/>
      </c>
    </row>
    <row r="828" spans="2:7" x14ac:dyDescent="0.3">
      <c r="B828" t="str">
        <f t="array" ref="B828">IFERROR(INDEX('Orders Ledger'!$A$2:$A$1501, SMALL(IF(('Orders Ledger'!$J$2:$J$1501="disputed")+('Orders Ledger'!$J$2:$J$1501="PENDING_REVIEW"), ROW('Orders Ledger'!$A$2:$A$1501)-ROW('Orders Ledger'!$A$2)+1), ROW(770:770))), "")</f>
        <v/>
      </c>
      <c r="C828" s="11" t="str">
        <f>IF(B828="","",_xlfn.XLOOKUP(B828,'Orders Ledger'!$A:$A,'Orders Ledger'!$B:$B,""))</f>
        <v/>
      </c>
      <c r="D828" t="str">
        <f>IF(B828="","",_xlfn.XLOOKUP(B828,'Orders Ledger'!$A:$A,'Orders Ledger'!$G:$G,""))</f>
        <v/>
      </c>
      <c r="E828" t="str">
        <f>IF(B828="","",_xlfn.XLOOKUP(B828,'Orders Ledger'!$A:$A,'Orders Ledger'!$H:$H,""))</f>
        <v/>
      </c>
      <c r="F828" t="str">
        <f>IF(B828="","",_xlfn.XLOOKUP(B828,'Orders Ledger'!$A:$A,'Orders Ledger'!$F:$F,""))</f>
        <v/>
      </c>
      <c r="G828" t="str">
        <f>IF(B828="","",_xlfn.XLOOKUP(B828,'Orders Ledger'!$A:$A,'Orders Ledger'!$N:$N,0))</f>
        <v/>
      </c>
    </row>
    <row r="829" spans="2:7" x14ac:dyDescent="0.3">
      <c r="B829" t="str">
        <f t="array" ref="B829">IFERROR(INDEX('Orders Ledger'!$A$2:$A$1501, SMALL(IF(('Orders Ledger'!$J$2:$J$1501="disputed")+('Orders Ledger'!$J$2:$J$1501="PENDING_REVIEW"), ROW('Orders Ledger'!$A$2:$A$1501)-ROW('Orders Ledger'!$A$2)+1), ROW(771:771))), "")</f>
        <v/>
      </c>
      <c r="C829" s="11" t="str">
        <f>IF(B829="","",_xlfn.XLOOKUP(B829,'Orders Ledger'!$A:$A,'Orders Ledger'!$B:$B,""))</f>
        <v/>
      </c>
      <c r="D829" t="str">
        <f>IF(B829="","",_xlfn.XLOOKUP(B829,'Orders Ledger'!$A:$A,'Orders Ledger'!$G:$G,""))</f>
        <v/>
      </c>
      <c r="E829" t="str">
        <f>IF(B829="","",_xlfn.XLOOKUP(B829,'Orders Ledger'!$A:$A,'Orders Ledger'!$H:$H,""))</f>
        <v/>
      </c>
      <c r="F829" t="str">
        <f>IF(B829="","",_xlfn.XLOOKUP(B829,'Orders Ledger'!$A:$A,'Orders Ledger'!$F:$F,""))</f>
        <v/>
      </c>
      <c r="G829" t="str">
        <f>IF(B829="","",_xlfn.XLOOKUP(B829,'Orders Ledger'!$A:$A,'Orders Ledger'!$N:$N,0))</f>
        <v/>
      </c>
    </row>
    <row r="830" spans="2:7" x14ac:dyDescent="0.3">
      <c r="B830" t="str">
        <f t="array" ref="B830">IFERROR(INDEX('Orders Ledger'!$A$2:$A$1501, SMALL(IF(('Orders Ledger'!$J$2:$J$1501="disputed")+('Orders Ledger'!$J$2:$J$1501="PENDING_REVIEW"), ROW('Orders Ledger'!$A$2:$A$1501)-ROW('Orders Ledger'!$A$2)+1), ROW(772:772))), "")</f>
        <v/>
      </c>
      <c r="C830" s="11" t="str">
        <f>IF(B830="","",_xlfn.XLOOKUP(B830,'Orders Ledger'!$A:$A,'Orders Ledger'!$B:$B,""))</f>
        <v/>
      </c>
      <c r="D830" t="str">
        <f>IF(B830="","",_xlfn.XLOOKUP(B830,'Orders Ledger'!$A:$A,'Orders Ledger'!$G:$G,""))</f>
        <v/>
      </c>
      <c r="E830" t="str">
        <f>IF(B830="","",_xlfn.XLOOKUP(B830,'Orders Ledger'!$A:$A,'Orders Ledger'!$H:$H,""))</f>
        <v/>
      </c>
      <c r="F830" t="str">
        <f>IF(B830="","",_xlfn.XLOOKUP(B830,'Orders Ledger'!$A:$A,'Orders Ledger'!$F:$F,""))</f>
        <v/>
      </c>
      <c r="G830" t="str">
        <f>IF(B830="","",_xlfn.XLOOKUP(B830,'Orders Ledger'!$A:$A,'Orders Ledger'!$N:$N,0))</f>
        <v/>
      </c>
    </row>
    <row r="831" spans="2:7" x14ac:dyDescent="0.3">
      <c r="B831" t="str">
        <f t="array" ref="B831">IFERROR(INDEX('Orders Ledger'!$A$2:$A$1501, SMALL(IF(('Orders Ledger'!$J$2:$J$1501="disputed")+('Orders Ledger'!$J$2:$J$1501="PENDING_REVIEW"), ROW('Orders Ledger'!$A$2:$A$1501)-ROW('Orders Ledger'!$A$2)+1), ROW(773:773))), "")</f>
        <v/>
      </c>
      <c r="C831" s="11" t="str">
        <f>IF(B831="","",_xlfn.XLOOKUP(B831,'Orders Ledger'!$A:$A,'Orders Ledger'!$B:$B,""))</f>
        <v/>
      </c>
      <c r="D831" t="str">
        <f>IF(B831="","",_xlfn.XLOOKUP(B831,'Orders Ledger'!$A:$A,'Orders Ledger'!$G:$G,""))</f>
        <v/>
      </c>
      <c r="E831" t="str">
        <f>IF(B831="","",_xlfn.XLOOKUP(B831,'Orders Ledger'!$A:$A,'Orders Ledger'!$H:$H,""))</f>
        <v/>
      </c>
      <c r="F831" t="str">
        <f>IF(B831="","",_xlfn.XLOOKUP(B831,'Orders Ledger'!$A:$A,'Orders Ledger'!$F:$F,""))</f>
        <v/>
      </c>
      <c r="G831" t="str">
        <f>IF(B831="","",_xlfn.XLOOKUP(B831,'Orders Ledger'!$A:$A,'Orders Ledger'!$N:$N,0))</f>
        <v/>
      </c>
    </row>
    <row r="832" spans="2:7" x14ac:dyDescent="0.3">
      <c r="B832" t="str">
        <f t="array" ref="B832">IFERROR(INDEX('Orders Ledger'!$A$2:$A$1501, SMALL(IF(('Orders Ledger'!$J$2:$J$1501="disputed")+('Orders Ledger'!$J$2:$J$1501="PENDING_REVIEW"), ROW('Orders Ledger'!$A$2:$A$1501)-ROW('Orders Ledger'!$A$2)+1), ROW(774:774))), "")</f>
        <v/>
      </c>
      <c r="C832" s="11" t="str">
        <f>IF(B832="","",_xlfn.XLOOKUP(B832,'Orders Ledger'!$A:$A,'Orders Ledger'!$B:$B,""))</f>
        <v/>
      </c>
      <c r="D832" t="str">
        <f>IF(B832="","",_xlfn.XLOOKUP(B832,'Orders Ledger'!$A:$A,'Orders Ledger'!$G:$G,""))</f>
        <v/>
      </c>
      <c r="E832" t="str">
        <f>IF(B832="","",_xlfn.XLOOKUP(B832,'Orders Ledger'!$A:$A,'Orders Ledger'!$H:$H,""))</f>
        <v/>
      </c>
      <c r="F832" t="str">
        <f>IF(B832="","",_xlfn.XLOOKUP(B832,'Orders Ledger'!$A:$A,'Orders Ledger'!$F:$F,""))</f>
        <v/>
      </c>
      <c r="G832" t="str">
        <f>IF(B832="","",_xlfn.XLOOKUP(B832,'Orders Ledger'!$A:$A,'Orders Ledger'!$N:$N,0))</f>
        <v/>
      </c>
    </row>
    <row r="833" spans="2:7" x14ac:dyDescent="0.3">
      <c r="B833" t="str">
        <f t="array" ref="B833">IFERROR(INDEX('Orders Ledger'!$A$2:$A$1501, SMALL(IF(('Orders Ledger'!$J$2:$J$1501="disputed")+('Orders Ledger'!$J$2:$J$1501="PENDING_REVIEW"), ROW('Orders Ledger'!$A$2:$A$1501)-ROW('Orders Ledger'!$A$2)+1), ROW(775:775))), "")</f>
        <v/>
      </c>
      <c r="C833" s="11" t="str">
        <f>IF(B833="","",_xlfn.XLOOKUP(B833,'Orders Ledger'!$A:$A,'Orders Ledger'!$B:$B,""))</f>
        <v/>
      </c>
      <c r="D833" t="str">
        <f>IF(B833="","",_xlfn.XLOOKUP(B833,'Orders Ledger'!$A:$A,'Orders Ledger'!$G:$G,""))</f>
        <v/>
      </c>
      <c r="E833" t="str">
        <f>IF(B833="","",_xlfn.XLOOKUP(B833,'Orders Ledger'!$A:$A,'Orders Ledger'!$H:$H,""))</f>
        <v/>
      </c>
      <c r="F833" t="str">
        <f>IF(B833="","",_xlfn.XLOOKUP(B833,'Orders Ledger'!$A:$A,'Orders Ledger'!$F:$F,""))</f>
        <v/>
      </c>
      <c r="G833" t="str">
        <f>IF(B833="","",_xlfn.XLOOKUP(B833,'Orders Ledger'!$A:$A,'Orders Ledger'!$N:$N,0))</f>
        <v/>
      </c>
    </row>
    <row r="834" spans="2:7" x14ac:dyDescent="0.3">
      <c r="B834" t="str">
        <f t="array" ref="B834">IFERROR(INDEX('Orders Ledger'!$A$2:$A$1501, SMALL(IF(('Orders Ledger'!$J$2:$J$1501="disputed")+('Orders Ledger'!$J$2:$J$1501="PENDING_REVIEW"), ROW('Orders Ledger'!$A$2:$A$1501)-ROW('Orders Ledger'!$A$2)+1), ROW(776:776))), "")</f>
        <v/>
      </c>
      <c r="C834" s="11" t="str">
        <f>IF(B834="","",_xlfn.XLOOKUP(B834,'Orders Ledger'!$A:$A,'Orders Ledger'!$B:$B,""))</f>
        <v/>
      </c>
      <c r="D834" t="str">
        <f>IF(B834="","",_xlfn.XLOOKUP(B834,'Orders Ledger'!$A:$A,'Orders Ledger'!$G:$G,""))</f>
        <v/>
      </c>
      <c r="E834" t="str">
        <f>IF(B834="","",_xlfn.XLOOKUP(B834,'Orders Ledger'!$A:$A,'Orders Ledger'!$H:$H,""))</f>
        <v/>
      </c>
      <c r="F834" t="str">
        <f>IF(B834="","",_xlfn.XLOOKUP(B834,'Orders Ledger'!$A:$A,'Orders Ledger'!$F:$F,""))</f>
        <v/>
      </c>
      <c r="G834" t="str">
        <f>IF(B834="","",_xlfn.XLOOKUP(B834,'Orders Ledger'!$A:$A,'Orders Ledger'!$N:$N,0))</f>
        <v/>
      </c>
    </row>
    <row r="835" spans="2:7" x14ac:dyDescent="0.3">
      <c r="B835" t="str">
        <f t="array" ref="B835">IFERROR(INDEX('Orders Ledger'!$A$2:$A$1501, SMALL(IF(('Orders Ledger'!$J$2:$J$1501="disputed")+('Orders Ledger'!$J$2:$J$1501="PENDING_REVIEW"), ROW('Orders Ledger'!$A$2:$A$1501)-ROW('Orders Ledger'!$A$2)+1), ROW(777:777))), "")</f>
        <v/>
      </c>
      <c r="C835" s="11" t="str">
        <f>IF(B835="","",_xlfn.XLOOKUP(B835,'Orders Ledger'!$A:$A,'Orders Ledger'!$B:$B,""))</f>
        <v/>
      </c>
      <c r="D835" t="str">
        <f>IF(B835="","",_xlfn.XLOOKUP(B835,'Orders Ledger'!$A:$A,'Orders Ledger'!$G:$G,""))</f>
        <v/>
      </c>
      <c r="E835" t="str">
        <f>IF(B835="","",_xlfn.XLOOKUP(B835,'Orders Ledger'!$A:$A,'Orders Ledger'!$H:$H,""))</f>
        <v/>
      </c>
      <c r="F835" t="str">
        <f>IF(B835="","",_xlfn.XLOOKUP(B835,'Orders Ledger'!$A:$A,'Orders Ledger'!$F:$F,""))</f>
        <v/>
      </c>
      <c r="G835" t="str">
        <f>IF(B835="","",_xlfn.XLOOKUP(B835,'Orders Ledger'!$A:$A,'Orders Ledger'!$N:$N,0))</f>
        <v/>
      </c>
    </row>
    <row r="836" spans="2:7" x14ac:dyDescent="0.3">
      <c r="B836" t="str">
        <f t="array" ref="B836">IFERROR(INDEX('Orders Ledger'!$A$2:$A$1501, SMALL(IF(('Orders Ledger'!$J$2:$J$1501="disputed")+('Orders Ledger'!$J$2:$J$1501="PENDING_REVIEW"), ROW('Orders Ledger'!$A$2:$A$1501)-ROW('Orders Ledger'!$A$2)+1), ROW(778:778))), "")</f>
        <v/>
      </c>
      <c r="C836" s="11" t="str">
        <f>IF(B836="","",_xlfn.XLOOKUP(B836,'Orders Ledger'!$A:$A,'Orders Ledger'!$B:$B,""))</f>
        <v/>
      </c>
      <c r="D836" t="str">
        <f>IF(B836="","",_xlfn.XLOOKUP(B836,'Orders Ledger'!$A:$A,'Orders Ledger'!$G:$G,""))</f>
        <v/>
      </c>
      <c r="E836" t="str">
        <f>IF(B836="","",_xlfn.XLOOKUP(B836,'Orders Ledger'!$A:$A,'Orders Ledger'!$H:$H,""))</f>
        <v/>
      </c>
      <c r="F836" t="str">
        <f>IF(B836="","",_xlfn.XLOOKUP(B836,'Orders Ledger'!$A:$A,'Orders Ledger'!$F:$F,""))</f>
        <v/>
      </c>
      <c r="G836" t="str">
        <f>IF(B836="","",_xlfn.XLOOKUP(B836,'Orders Ledger'!$A:$A,'Orders Ledger'!$N:$N,0))</f>
        <v/>
      </c>
    </row>
    <row r="837" spans="2:7" x14ac:dyDescent="0.3">
      <c r="B837" t="str">
        <f t="array" ref="B837">IFERROR(INDEX('Orders Ledger'!$A$2:$A$1501, SMALL(IF(('Orders Ledger'!$J$2:$J$1501="disputed")+('Orders Ledger'!$J$2:$J$1501="PENDING_REVIEW"), ROW('Orders Ledger'!$A$2:$A$1501)-ROW('Orders Ledger'!$A$2)+1), ROW(779:779))), "")</f>
        <v/>
      </c>
      <c r="C837" s="11" t="str">
        <f>IF(B837="","",_xlfn.XLOOKUP(B837,'Orders Ledger'!$A:$A,'Orders Ledger'!$B:$B,""))</f>
        <v/>
      </c>
      <c r="D837" t="str">
        <f>IF(B837="","",_xlfn.XLOOKUP(B837,'Orders Ledger'!$A:$A,'Orders Ledger'!$G:$G,""))</f>
        <v/>
      </c>
      <c r="E837" t="str">
        <f>IF(B837="","",_xlfn.XLOOKUP(B837,'Orders Ledger'!$A:$A,'Orders Ledger'!$H:$H,""))</f>
        <v/>
      </c>
      <c r="F837" t="str">
        <f>IF(B837="","",_xlfn.XLOOKUP(B837,'Orders Ledger'!$A:$A,'Orders Ledger'!$F:$F,""))</f>
        <v/>
      </c>
      <c r="G837" t="str">
        <f>IF(B837="","",_xlfn.XLOOKUP(B837,'Orders Ledger'!$A:$A,'Orders Ledger'!$N:$N,0))</f>
        <v/>
      </c>
    </row>
    <row r="838" spans="2:7" x14ac:dyDescent="0.3">
      <c r="B838" t="str">
        <f t="array" ref="B838">IFERROR(INDEX('Orders Ledger'!$A$2:$A$1501, SMALL(IF(('Orders Ledger'!$J$2:$J$1501="disputed")+('Orders Ledger'!$J$2:$J$1501="PENDING_REVIEW"), ROW('Orders Ledger'!$A$2:$A$1501)-ROW('Orders Ledger'!$A$2)+1), ROW(780:780))), "")</f>
        <v/>
      </c>
      <c r="C838" s="11" t="str">
        <f>IF(B838="","",_xlfn.XLOOKUP(B838,'Orders Ledger'!$A:$A,'Orders Ledger'!$B:$B,""))</f>
        <v/>
      </c>
      <c r="D838" t="str">
        <f>IF(B838="","",_xlfn.XLOOKUP(B838,'Orders Ledger'!$A:$A,'Orders Ledger'!$G:$G,""))</f>
        <v/>
      </c>
      <c r="E838" t="str">
        <f>IF(B838="","",_xlfn.XLOOKUP(B838,'Orders Ledger'!$A:$A,'Orders Ledger'!$H:$H,""))</f>
        <v/>
      </c>
      <c r="F838" t="str">
        <f>IF(B838="","",_xlfn.XLOOKUP(B838,'Orders Ledger'!$A:$A,'Orders Ledger'!$F:$F,""))</f>
        <v/>
      </c>
      <c r="G838" t="str">
        <f>IF(B838="","",_xlfn.XLOOKUP(B838,'Orders Ledger'!$A:$A,'Orders Ledger'!$N:$N,0))</f>
        <v/>
      </c>
    </row>
    <row r="839" spans="2:7" x14ac:dyDescent="0.3">
      <c r="B839" t="str">
        <f t="array" ref="B839">IFERROR(INDEX('Orders Ledger'!$A$2:$A$1501, SMALL(IF(('Orders Ledger'!$J$2:$J$1501="disputed")+('Orders Ledger'!$J$2:$J$1501="PENDING_REVIEW"), ROW('Orders Ledger'!$A$2:$A$1501)-ROW('Orders Ledger'!$A$2)+1), ROW(781:781))), "")</f>
        <v/>
      </c>
      <c r="C839" s="11" t="str">
        <f>IF(B839="","",_xlfn.XLOOKUP(B839,'Orders Ledger'!$A:$A,'Orders Ledger'!$B:$B,""))</f>
        <v/>
      </c>
      <c r="D839" t="str">
        <f>IF(B839="","",_xlfn.XLOOKUP(B839,'Orders Ledger'!$A:$A,'Orders Ledger'!$G:$G,""))</f>
        <v/>
      </c>
      <c r="E839" t="str">
        <f>IF(B839="","",_xlfn.XLOOKUP(B839,'Orders Ledger'!$A:$A,'Orders Ledger'!$H:$H,""))</f>
        <v/>
      </c>
      <c r="F839" t="str">
        <f>IF(B839="","",_xlfn.XLOOKUP(B839,'Orders Ledger'!$A:$A,'Orders Ledger'!$F:$F,""))</f>
        <v/>
      </c>
      <c r="G839" t="str">
        <f>IF(B839="","",_xlfn.XLOOKUP(B839,'Orders Ledger'!$A:$A,'Orders Ledger'!$N:$N,0))</f>
        <v/>
      </c>
    </row>
    <row r="840" spans="2:7" x14ac:dyDescent="0.3">
      <c r="B840" t="str">
        <f t="array" ref="B840">IFERROR(INDEX('Orders Ledger'!$A$2:$A$1501, SMALL(IF(('Orders Ledger'!$J$2:$J$1501="disputed")+('Orders Ledger'!$J$2:$J$1501="PENDING_REVIEW"), ROW('Orders Ledger'!$A$2:$A$1501)-ROW('Orders Ledger'!$A$2)+1), ROW(782:782))), "")</f>
        <v/>
      </c>
      <c r="C840" s="11" t="str">
        <f>IF(B840="","",_xlfn.XLOOKUP(B840,'Orders Ledger'!$A:$A,'Orders Ledger'!$B:$B,""))</f>
        <v/>
      </c>
      <c r="D840" t="str">
        <f>IF(B840="","",_xlfn.XLOOKUP(B840,'Orders Ledger'!$A:$A,'Orders Ledger'!$G:$G,""))</f>
        <v/>
      </c>
      <c r="E840" t="str">
        <f>IF(B840="","",_xlfn.XLOOKUP(B840,'Orders Ledger'!$A:$A,'Orders Ledger'!$H:$H,""))</f>
        <v/>
      </c>
      <c r="F840" t="str">
        <f>IF(B840="","",_xlfn.XLOOKUP(B840,'Orders Ledger'!$A:$A,'Orders Ledger'!$F:$F,""))</f>
        <v/>
      </c>
      <c r="G840" t="str">
        <f>IF(B840="","",_xlfn.XLOOKUP(B840,'Orders Ledger'!$A:$A,'Orders Ledger'!$N:$N,0))</f>
        <v/>
      </c>
    </row>
    <row r="841" spans="2:7" x14ac:dyDescent="0.3">
      <c r="B841" t="str">
        <f t="array" ref="B841">IFERROR(INDEX('Orders Ledger'!$A$2:$A$1501, SMALL(IF(('Orders Ledger'!$J$2:$J$1501="disputed")+('Orders Ledger'!$J$2:$J$1501="PENDING_REVIEW"), ROW('Orders Ledger'!$A$2:$A$1501)-ROW('Orders Ledger'!$A$2)+1), ROW(783:783))), "")</f>
        <v/>
      </c>
      <c r="C841" s="11" t="str">
        <f>IF(B841="","",_xlfn.XLOOKUP(B841,'Orders Ledger'!$A:$A,'Orders Ledger'!$B:$B,""))</f>
        <v/>
      </c>
      <c r="D841" t="str">
        <f>IF(B841="","",_xlfn.XLOOKUP(B841,'Orders Ledger'!$A:$A,'Orders Ledger'!$G:$G,""))</f>
        <v/>
      </c>
      <c r="E841" t="str">
        <f>IF(B841="","",_xlfn.XLOOKUP(B841,'Orders Ledger'!$A:$A,'Orders Ledger'!$H:$H,""))</f>
        <v/>
      </c>
      <c r="F841" t="str">
        <f>IF(B841="","",_xlfn.XLOOKUP(B841,'Orders Ledger'!$A:$A,'Orders Ledger'!$F:$F,""))</f>
        <v/>
      </c>
      <c r="G841" t="str">
        <f>IF(B841="","",_xlfn.XLOOKUP(B841,'Orders Ledger'!$A:$A,'Orders Ledger'!$N:$N,0))</f>
        <v/>
      </c>
    </row>
    <row r="842" spans="2:7" x14ac:dyDescent="0.3">
      <c r="B842" t="str">
        <f t="array" ref="B842">IFERROR(INDEX('Orders Ledger'!$A$2:$A$1501, SMALL(IF(('Orders Ledger'!$J$2:$J$1501="disputed")+('Orders Ledger'!$J$2:$J$1501="PENDING_REVIEW"), ROW('Orders Ledger'!$A$2:$A$1501)-ROW('Orders Ledger'!$A$2)+1), ROW(784:784))), "")</f>
        <v/>
      </c>
      <c r="C842" s="11" t="str">
        <f>IF(B842="","",_xlfn.XLOOKUP(B842,'Orders Ledger'!$A:$A,'Orders Ledger'!$B:$B,""))</f>
        <v/>
      </c>
      <c r="D842" t="str">
        <f>IF(B842="","",_xlfn.XLOOKUP(B842,'Orders Ledger'!$A:$A,'Orders Ledger'!$G:$G,""))</f>
        <v/>
      </c>
      <c r="E842" t="str">
        <f>IF(B842="","",_xlfn.XLOOKUP(B842,'Orders Ledger'!$A:$A,'Orders Ledger'!$H:$H,""))</f>
        <v/>
      </c>
      <c r="F842" t="str">
        <f>IF(B842="","",_xlfn.XLOOKUP(B842,'Orders Ledger'!$A:$A,'Orders Ledger'!$F:$F,""))</f>
        <v/>
      </c>
      <c r="G842" t="str">
        <f>IF(B842="","",_xlfn.XLOOKUP(B842,'Orders Ledger'!$A:$A,'Orders Ledger'!$N:$N,0))</f>
        <v/>
      </c>
    </row>
    <row r="843" spans="2:7" x14ac:dyDescent="0.3">
      <c r="B843" t="str">
        <f t="array" ref="B843">IFERROR(INDEX('Orders Ledger'!$A$2:$A$1501, SMALL(IF(('Orders Ledger'!$J$2:$J$1501="disputed")+('Orders Ledger'!$J$2:$J$1501="PENDING_REVIEW"), ROW('Orders Ledger'!$A$2:$A$1501)-ROW('Orders Ledger'!$A$2)+1), ROW(785:785))), "")</f>
        <v/>
      </c>
      <c r="C843" s="11" t="str">
        <f>IF(B843="","",_xlfn.XLOOKUP(B843,'Orders Ledger'!$A:$A,'Orders Ledger'!$B:$B,""))</f>
        <v/>
      </c>
      <c r="D843" t="str">
        <f>IF(B843="","",_xlfn.XLOOKUP(B843,'Orders Ledger'!$A:$A,'Orders Ledger'!$G:$G,""))</f>
        <v/>
      </c>
      <c r="E843" t="str">
        <f>IF(B843="","",_xlfn.XLOOKUP(B843,'Orders Ledger'!$A:$A,'Orders Ledger'!$H:$H,""))</f>
        <v/>
      </c>
      <c r="F843" t="str">
        <f>IF(B843="","",_xlfn.XLOOKUP(B843,'Orders Ledger'!$A:$A,'Orders Ledger'!$F:$F,""))</f>
        <v/>
      </c>
      <c r="G843" t="str">
        <f>IF(B843="","",_xlfn.XLOOKUP(B843,'Orders Ledger'!$A:$A,'Orders Ledger'!$N:$N,0))</f>
        <v/>
      </c>
    </row>
    <row r="844" spans="2:7" x14ac:dyDescent="0.3">
      <c r="B844" t="str">
        <f t="array" ref="B844">IFERROR(INDEX('Orders Ledger'!$A$2:$A$1501, SMALL(IF(('Orders Ledger'!$J$2:$J$1501="disputed")+('Orders Ledger'!$J$2:$J$1501="PENDING_REVIEW"), ROW('Orders Ledger'!$A$2:$A$1501)-ROW('Orders Ledger'!$A$2)+1), ROW(786:786))), "")</f>
        <v/>
      </c>
      <c r="C844" s="11" t="str">
        <f>IF(B844="","",_xlfn.XLOOKUP(B844,'Orders Ledger'!$A:$A,'Orders Ledger'!$B:$B,""))</f>
        <v/>
      </c>
      <c r="D844" t="str">
        <f>IF(B844="","",_xlfn.XLOOKUP(B844,'Orders Ledger'!$A:$A,'Orders Ledger'!$G:$G,""))</f>
        <v/>
      </c>
      <c r="E844" t="str">
        <f>IF(B844="","",_xlfn.XLOOKUP(B844,'Orders Ledger'!$A:$A,'Orders Ledger'!$H:$H,""))</f>
        <v/>
      </c>
      <c r="F844" t="str">
        <f>IF(B844="","",_xlfn.XLOOKUP(B844,'Orders Ledger'!$A:$A,'Orders Ledger'!$F:$F,""))</f>
        <v/>
      </c>
      <c r="G844" t="str">
        <f>IF(B844="","",_xlfn.XLOOKUP(B844,'Orders Ledger'!$A:$A,'Orders Ledger'!$N:$N,0))</f>
        <v/>
      </c>
    </row>
    <row r="845" spans="2:7" x14ac:dyDescent="0.3">
      <c r="B845" t="str">
        <f t="array" ref="B845">IFERROR(INDEX('Orders Ledger'!$A$2:$A$1501, SMALL(IF(('Orders Ledger'!$J$2:$J$1501="disputed")+('Orders Ledger'!$J$2:$J$1501="PENDING_REVIEW"), ROW('Orders Ledger'!$A$2:$A$1501)-ROW('Orders Ledger'!$A$2)+1), ROW(787:787))), "")</f>
        <v/>
      </c>
      <c r="C845" s="11" t="str">
        <f>IF(B845="","",_xlfn.XLOOKUP(B845,'Orders Ledger'!$A:$A,'Orders Ledger'!$B:$B,""))</f>
        <v/>
      </c>
      <c r="D845" t="str">
        <f>IF(B845="","",_xlfn.XLOOKUP(B845,'Orders Ledger'!$A:$A,'Orders Ledger'!$G:$G,""))</f>
        <v/>
      </c>
      <c r="E845" t="str">
        <f>IF(B845="","",_xlfn.XLOOKUP(B845,'Orders Ledger'!$A:$A,'Orders Ledger'!$H:$H,""))</f>
        <v/>
      </c>
      <c r="F845" t="str">
        <f>IF(B845="","",_xlfn.XLOOKUP(B845,'Orders Ledger'!$A:$A,'Orders Ledger'!$F:$F,""))</f>
        <v/>
      </c>
      <c r="G845" t="str">
        <f>IF(B845="","",_xlfn.XLOOKUP(B845,'Orders Ledger'!$A:$A,'Orders Ledger'!$N:$N,0))</f>
        <v/>
      </c>
    </row>
    <row r="846" spans="2:7" x14ac:dyDescent="0.3">
      <c r="B846" t="str">
        <f t="array" ref="B846">IFERROR(INDEX('Orders Ledger'!$A$2:$A$1501, SMALL(IF(('Orders Ledger'!$J$2:$J$1501="disputed")+('Orders Ledger'!$J$2:$J$1501="PENDING_REVIEW"), ROW('Orders Ledger'!$A$2:$A$1501)-ROW('Orders Ledger'!$A$2)+1), ROW(788:788))), "")</f>
        <v/>
      </c>
      <c r="C846" s="11" t="str">
        <f>IF(B846="","",_xlfn.XLOOKUP(B846,'Orders Ledger'!$A:$A,'Orders Ledger'!$B:$B,""))</f>
        <v/>
      </c>
      <c r="D846" t="str">
        <f>IF(B846="","",_xlfn.XLOOKUP(B846,'Orders Ledger'!$A:$A,'Orders Ledger'!$G:$G,""))</f>
        <v/>
      </c>
      <c r="E846" t="str">
        <f>IF(B846="","",_xlfn.XLOOKUP(B846,'Orders Ledger'!$A:$A,'Orders Ledger'!$H:$H,""))</f>
        <v/>
      </c>
      <c r="F846" t="str">
        <f>IF(B846="","",_xlfn.XLOOKUP(B846,'Orders Ledger'!$A:$A,'Orders Ledger'!$F:$F,""))</f>
        <v/>
      </c>
      <c r="G846" t="str">
        <f>IF(B846="","",_xlfn.XLOOKUP(B846,'Orders Ledger'!$A:$A,'Orders Ledger'!$N:$N,0))</f>
        <v/>
      </c>
    </row>
    <row r="847" spans="2:7" x14ac:dyDescent="0.3">
      <c r="B847" t="str">
        <f t="array" ref="B847">IFERROR(INDEX('Orders Ledger'!$A$2:$A$1501, SMALL(IF(('Orders Ledger'!$J$2:$J$1501="disputed")+('Orders Ledger'!$J$2:$J$1501="PENDING_REVIEW"), ROW('Orders Ledger'!$A$2:$A$1501)-ROW('Orders Ledger'!$A$2)+1), ROW(789:789))), "")</f>
        <v/>
      </c>
      <c r="C847" s="11" t="str">
        <f>IF(B847="","",_xlfn.XLOOKUP(B847,'Orders Ledger'!$A:$A,'Orders Ledger'!$B:$B,""))</f>
        <v/>
      </c>
      <c r="D847" t="str">
        <f>IF(B847="","",_xlfn.XLOOKUP(B847,'Orders Ledger'!$A:$A,'Orders Ledger'!$G:$G,""))</f>
        <v/>
      </c>
      <c r="E847" t="str">
        <f>IF(B847="","",_xlfn.XLOOKUP(B847,'Orders Ledger'!$A:$A,'Orders Ledger'!$H:$H,""))</f>
        <v/>
      </c>
      <c r="F847" t="str">
        <f>IF(B847="","",_xlfn.XLOOKUP(B847,'Orders Ledger'!$A:$A,'Orders Ledger'!$F:$F,""))</f>
        <v/>
      </c>
      <c r="G847" t="str">
        <f>IF(B847="","",_xlfn.XLOOKUP(B847,'Orders Ledger'!$A:$A,'Orders Ledger'!$N:$N,0))</f>
        <v/>
      </c>
    </row>
    <row r="848" spans="2:7" x14ac:dyDescent="0.3">
      <c r="B848" t="str">
        <f t="array" ref="B848">IFERROR(INDEX('Orders Ledger'!$A$2:$A$1501, SMALL(IF(('Orders Ledger'!$J$2:$J$1501="disputed")+('Orders Ledger'!$J$2:$J$1501="PENDING_REVIEW"), ROW('Orders Ledger'!$A$2:$A$1501)-ROW('Orders Ledger'!$A$2)+1), ROW(790:790))), "")</f>
        <v/>
      </c>
      <c r="C848" s="11" t="str">
        <f>IF(B848="","",_xlfn.XLOOKUP(B848,'Orders Ledger'!$A:$A,'Orders Ledger'!$B:$B,""))</f>
        <v/>
      </c>
      <c r="D848" t="str">
        <f>IF(B848="","",_xlfn.XLOOKUP(B848,'Orders Ledger'!$A:$A,'Orders Ledger'!$G:$G,""))</f>
        <v/>
      </c>
      <c r="E848" t="str">
        <f>IF(B848="","",_xlfn.XLOOKUP(B848,'Orders Ledger'!$A:$A,'Orders Ledger'!$H:$H,""))</f>
        <v/>
      </c>
      <c r="F848" t="str">
        <f>IF(B848="","",_xlfn.XLOOKUP(B848,'Orders Ledger'!$A:$A,'Orders Ledger'!$F:$F,""))</f>
        <v/>
      </c>
      <c r="G848" t="str">
        <f>IF(B848="","",_xlfn.XLOOKUP(B848,'Orders Ledger'!$A:$A,'Orders Ledger'!$N:$N,0))</f>
        <v/>
      </c>
    </row>
    <row r="849" spans="2:7" x14ac:dyDescent="0.3">
      <c r="B849" t="str">
        <f t="array" ref="B849">IFERROR(INDEX('Orders Ledger'!$A$2:$A$1501, SMALL(IF(('Orders Ledger'!$J$2:$J$1501="disputed")+('Orders Ledger'!$J$2:$J$1501="PENDING_REVIEW"), ROW('Orders Ledger'!$A$2:$A$1501)-ROW('Orders Ledger'!$A$2)+1), ROW(791:791))), "")</f>
        <v/>
      </c>
      <c r="C849" s="11" t="str">
        <f>IF(B849="","",_xlfn.XLOOKUP(B849,'Orders Ledger'!$A:$A,'Orders Ledger'!$B:$B,""))</f>
        <v/>
      </c>
      <c r="D849" t="str">
        <f>IF(B849="","",_xlfn.XLOOKUP(B849,'Orders Ledger'!$A:$A,'Orders Ledger'!$G:$G,""))</f>
        <v/>
      </c>
      <c r="E849" t="str">
        <f>IF(B849="","",_xlfn.XLOOKUP(B849,'Orders Ledger'!$A:$A,'Orders Ledger'!$H:$H,""))</f>
        <v/>
      </c>
      <c r="F849" t="str">
        <f>IF(B849="","",_xlfn.XLOOKUP(B849,'Orders Ledger'!$A:$A,'Orders Ledger'!$F:$F,""))</f>
        <v/>
      </c>
      <c r="G849" t="str">
        <f>IF(B849="","",_xlfn.XLOOKUP(B849,'Orders Ledger'!$A:$A,'Orders Ledger'!$N:$N,0))</f>
        <v/>
      </c>
    </row>
    <row r="850" spans="2:7" x14ac:dyDescent="0.3">
      <c r="B850" t="str">
        <f t="array" ref="B850">IFERROR(INDEX('Orders Ledger'!$A$2:$A$1501, SMALL(IF(('Orders Ledger'!$J$2:$J$1501="disputed")+('Orders Ledger'!$J$2:$J$1501="PENDING_REVIEW"), ROW('Orders Ledger'!$A$2:$A$1501)-ROW('Orders Ledger'!$A$2)+1), ROW(792:792))), "")</f>
        <v/>
      </c>
      <c r="C850" s="11" t="str">
        <f>IF(B850="","",_xlfn.XLOOKUP(B850,'Orders Ledger'!$A:$A,'Orders Ledger'!$B:$B,""))</f>
        <v/>
      </c>
      <c r="D850" t="str">
        <f>IF(B850="","",_xlfn.XLOOKUP(B850,'Orders Ledger'!$A:$A,'Orders Ledger'!$G:$G,""))</f>
        <v/>
      </c>
      <c r="E850" t="str">
        <f>IF(B850="","",_xlfn.XLOOKUP(B850,'Orders Ledger'!$A:$A,'Orders Ledger'!$H:$H,""))</f>
        <v/>
      </c>
      <c r="F850" t="str">
        <f>IF(B850="","",_xlfn.XLOOKUP(B850,'Orders Ledger'!$A:$A,'Orders Ledger'!$F:$F,""))</f>
        <v/>
      </c>
      <c r="G850" t="str">
        <f>IF(B850="","",_xlfn.XLOOKUP(B850,'Orders Ledger'!$A:$A,'Orders Ledger'!$N:$N,0))</f>
        <v/>
      </c>
    </row>
    <row r="851" spans="2:7" x14ac:dyDescent="0.3">
      <c r="B851" t="str">
        <f t="array" ref="B851">IFERROR(INDEX('Orders Ledger'!$A$2:$A$1501, SMALL(IF(('Orders Ledger'!$J$2:$J$1501="disputed")+('Orders Ledger'!$J$2:$J$1501="PENDING_REVIEW"), ROW('Orders Ledger'!$A$2:$A$1501)-ROW('Orders Ledger'!$A$2)+1), ROW(793:793))), "")</f>
        <v/>
      </c>
      <c r="C851" s="11" t="str">
        <f>IF(B851="","",_xlfn.XLOOKUP(B851,'Orders Ledger'!$A:$A,'Orders Ledger'!$B:$B,""))</f>
        <v/>
      </c>
      <c r="D851" t="str">
        <f>IF(B851="","",_xlfn.XLOOKUP(B851,'Orders Ledger'!$A:$A,'Orders Ledger'!$G:$G,""))</f>
        <v/>
      </c>
      <c r="E851" t="str">
        <f>IF(B851="","",_xlfn.XLOOKUP(B851,'Orders Ledger'!$A:$A,'Orders Ledger'!$H:$H,""))</f>
        <v/>
      </c>
      <c r="F851" t="str">
        <f>IF(B851="","",_xlfn.XLOOKUP(B851,'Orders Ledger'!$A:$A,'Orders Ledger'!$F:$F,""))</f>
        <v/>
      </c>
      <c r="G851" t="str">
        <f>IF(B851="","",_xlfn.XLOOKUP(B851,'Orders Ledger'!$A:$A,'Orders Ledger'!$N:$N,0))</f>
        <v/>
      </c>
    </row>
    <row r="852" spans="2:7" x14ac:dyDescent="0.3">
      <c r="B852" t="str">
        <f t="array" ref="B852">IFERROR(INDEX('Orders Ledger'!$A$2:$A$1501, SMALL(IF(('Orders Ledger'!$J$2:$J$1501="disputed")+('Orders Ledger'!$J$2:$J$1501="PENDING_REVIEW"), ROW('Orders Ledger'!$A$2:$A$1501)-ROW('Orders Ledger'!$A$2)+1), ROW(794:794))), "")</f>
        <v/>
      </c>
      <c r="C852" s="11" t="str">
        <f>IF(B852="","",_xlfn.XLOOKUP(B852,'Orders Ledger'!$A:$A,'Orders Ledger'!$B:$B,""))</f>
        <v/>
      </c>
      <c r="D852" t="str">
        <f>IF(B852="","",_xlfn.XLOOKUP(B852,'Orders Ledger'!$A:$A,'Orders Ledger'!$G:$G,""))</f>
        <v/>
      </c>
      <c r="E852" t="str">
        <f>IF(B852="","",_xlfn.XLOOKUP(B852,'Orders Ledger'!$A:$A,'Orders Ledger'!$H:$H,""))</f>
        <v/>
      </c>
      <c r="F852" t="str">
        <f>IF(B852="","",_xlfn.XLOOKUP(B852,'Orders Ledger'!$A:$A,'Orders Ledger'!$F:$F,""))</f>
        <v/>
      </c>
      <c r="G852" t="str">
        <f>IF(B852="","",_xlfn.XLOOKUP(B852,'Orders Ledger'!$A:$A,'Orders Ledger'!$N:$N,0))</f>
        <v/>
      </c>
    </row>
    <row r="853" spans="2:7" x14ac:dyDescent="0.3">
      <c r="B853" t="str">
        <f t="array" ref="B853">IFERROR(INDEX('Orders Ledger'!$A$2:$A$1501, SMALL(IF(('Orders Ledger'!$J$2:$J$1501="disputed")+('Orders Ledger'!$J$2:$J$1501="PENDING_REVIEW"), ROW('Orders Ledger'!$A$2:$A$1501)-ROW('Orders Ledger'!$A$2)+1), ROW(795:795))), "")</f>
        <v/>
      </c>
      <c r="C853" s="11" t="str">
        <f>IF(B853="","",_xlfn.XLOOKUP(B853,'Orders Ledger'!$A:$A,'Orders Ledger'!$B:$B,""))</f>
        <v/>
      </c>
      <c r="D853" t="str">
        <f>IF(B853="","",_xlfn.XLOOKUP(B853,'Orders Ledger'!$A:$A,'Orders Ledger'!$G:$G,""))</f>
        <v/>
      </c>
      <c r="E853" t="str">
        <f>IF(B853="","",_xlfn.XLOOKUP(B853,'Orders Ledger'!$A:$A,'Orders Ledger'!$H:$H,""))</f>
        <v/>
      </c>
      <c r="F853" t="str">
        <f>IF(B853="","",_xlfn.XLOOKUP(B853,'Orders Ledger'!$A:$A,'Orders Ledger'!$F:$F,""))</f>
        <v/>
      </c>
      <c r="G853" t="str">
        <f>IF(B853="","",_xlfn.XLOOKUP(B853,'Orders Ledger'!$A:$A,'Orders Ledger'!$N:$N,0))</f>
        <v/>
      </c>
    </row>
    <row r="854" spans="2:7" x14ac:dyDescent="0.3">
      <c r="B854" t="str">
        <f t="array" ref="B854">IFERROR(INDEX('Orders Ledger'!$A$2:$A$1501, SMALL(IF(('Orders Ledger'!$J$2:$J$1501="disputed")+('Orders Ledger'!$J$2:$J$1501="PENDING_REVIEW"), ROW('Orders Ledger'!$A$2:$A$1501)-ROW('Orders Ledger'!$A$2)+1), ROW(796:796))), "")</f>
        <v/>
      </c>
      <c r="C854" s="11" t="str">
        <f>IF(B854="","",_xlfn.XLOOKUP(B854,'Orders Ledger'!$A:$A,'Orders Ledger'!$B:$B,""))</f>
        <v/>
      </c>
      <c r="D854" t="str">
        <f>IF(B854="","",_xlfn.XLOOKUP(B854,'Orders Ledger'!$A:$A,'Orders Ledger'!$G:$G,""))</f>
        <v/>
      </c>
      <c r="E854" t="str">
        <f>IF(B854="","",_xlfn.XLOOKUP(B854,'Orders Ledger'!$A:$A,'Orders Ledger'!$H:$H,""))</f>
        <v/>
      </c>
      <c r="F854" t="str">
        <f>IF(B854="","",_xlfn.XLOOKUP(B854,'Orders Ledger'!$A:$A,'Orders Ledger'!$F:$F,""))</f>
        <v/>
      </c>
      <c r="G854" t="str">
        <f>IF(B854="","",_xlfn.XLOOKUP(B854,'Orders Ledger'!$A:$A,'Orders Ledger'!$N:$N,0))</f>
        <v/>
      </c>
    </row>
    <row r="855" spans="2:7" x14ac:dyDescent="0.3">
      <c r="B855" t="str">
        <f t="array" ref="B855">IFERROR(INDEX('Orders Ledger'!$A$2:$A$1501, SMALL(IF(('Orders Ledger'!$J$2:$J$1501="disputed")+('Orders Ledger'!$J$2:$J$1501="PENDING_REVIEW"), ROW('Orders Ledger'!$A$2:$A$1501)-ROW('Orders Ledger'!$A$2)+1), ROW(797:797))), "")</f>
        <v/>
      </c>
      <c r="C855" s="11" t="str">
        <f>IF(B855="","",_xlfn.XLOOKUP(B855,'Orders Ledger'!$A:$A,'Orders Ledger'!$B:$B,""))</f>
        <v/>
      </c>
      <c r="D855" t="str">
        <f>IF(B855="","",_xlfn.XLOOKUP(B855,'Orders Ledger'!$A:$A,'Orders Ledger'!$G:$G,""))</f>
        <v/>
      </c>
      <c r="E855" t="str">
        <f>IF(B855="","",_xlfn.XLOOKUP(B855,'Orders Ledger'!$A:$A,'Orders Ledger'!$H:$H,""))</f>
        <v/>
      </c>
      <c r="F855" t="str">
        <f>IF(B855="","",_xlfn.XLOOKUP(B855,'Orders Ledger'!$A:$A,'Orders Ledger'!$F:$F,""))</f>
        <v/>
      </c>
      <c r="G855" t="str">
        <f>IF(B855="","",_xlfn.XLOOKUP(B855,'Orders Ledger'!$A:$A,'Orders Ledger'!$N:$N,0))</f>
        <v/>
      </c>
    </row>
    <row r="856" spans="2:7" x14ac:dyDescent="0.3">
      <c r="B856" t="str">
        <f t="array" ref="B856">IFERROR(INDEX('Orders Ledger'!$A$2:$A$1501, SMALL(IF(('Orders Ledger'!$J$2:$J$1501="disputed")+('Orders Ledger'!$J$2:$J$1501="PENDING_REVIEW"), ROW('Orders Ledger'!$A$2:$A$1501)-ROW('Orders Ledger'!$A$2)+1), ROW(798:798))), "")</f>
        <v/>
      </c>
      <c r="C856" s="11" t="str">
        <f>IF(B856="","",_xlfn.XLOOKUP(B856,'Orders Ledger'!$A:$A,'Orders Ledger'!$B:$B,""))</f>
        <v/>
      </c>
      <c r="D856" t="str">
        <f>IF(B856="","",_xlfn.XLOOKUP(B856,'Orders Ledger'!$A:$A,'Orders Ledger'!$G:$G,""))</f>
        <v/>
      </c>
      <c r="E856" t="str">
        <f>IF(B856="","",_xlfn.XLOOKUP(B856,'Orders Ledger'!$A:$A,'Orders Ledger'!$H:$H,""))</f>
        <v/>
      </c>
      <c r="F856" t="str">
        <f>IF(B856="","",_xlfn.XLOOKUP(B856,'Orders Ledger'!$A:$A,'Orders Ledger'!$F:$F,""))</f>
        <v/>
      </c>
      <c r="G856" t="str">
        <f>IF(B856="","",_xlfn.XLOOKUP(B856,'Orders Ledger'!$A:$A,'Orders Ledger'!$N:$N,0))</f>
        <v/>
      </c>
    </row>
    <row r="857" spans="2:7" x14ac:dyDescent="0.3">
      <c r="B857" t="str">
        <f t="array" ref="B857">IFERROR(INDEX('Orders Ledger'!$A$2:$A$1501, SMALL(IF(('Orders Ledger'!$J$2:$J$1501="disputed")+('Orders Ledger'!$J$2:$J$1501="PENDING_REVIEW"), ROW('Orders Ledger'!$A$2:$A$1501)-ROW('Orders Ledger'!$A$2)+1), ROW(799:799))), "")</f>
        <v/>
      </c>
      <c r="C857" s="11" t="str">
        <f>IF(B857="","",_xlfn.XLOOKUP(B857,'Orders Ledger'!$A:$A,'Orders Ledger'!$B:$B,""))</f>
        <v/>
      </c>
      <c r="D857" t="str">
        <f>IF(B857="","",_xlfn.XLOOKUP(B857,'Orders Ledger'!$A:$A,'Orders Ledger'!$G:$G,""))</f>
        <v/>
      </c>
      <c r="E857" t="str">
        <f>IF(B857="","",_xlfn.XLOOKUP(B857,'Orders Ledger'!$A:$A,'Orders Ledger'!$H:$H,""))</f>
        <v/>
      </c>
      <c r="F857" t="str">
        <f>IF(B857="","",_xlfn.XLOOKUP(B857,'Orders Ledger'!$A:$A,'Orders Ledger'!$F:$F,""))</f>
        <v/>
      </c>
      <c r="G857" t="str">
        <f>IF(B857="","",_xlfn.XLOOKUP(B857,'Orders Ledger'!$A:$A,'Orders Ledger'!$N:$N,0))</f>
        <v/>
      </c>
    </row>
    <row r="858" spans="2:7" x14ac:dyDescent="0.3">
      <c r="B858" t="str">
        <f t="array" ref="B858">IFERROR(INDEX('Orders Ledger'!$A$2:$A$1501, SMALL(IF(('Orders Ledger'!$J$2:$J$1501="disputed")+('Orders Ledger'!$J$2:$J$1501="PENDING_REVIEW"), ROW('Orders Ledger'!$A$2:$A$1501)-ROW('Orders Ledger'!$A$2)+1), ROW(800:800))), "")</f>
        <v/>
      </c>
      <c r="C858" s="11" t="str">
        <f>IF(B858="","",_xlfn.XLOOKUP(B858,'Orders Ledger'!$A:$A,'Orders Ledger'!$B:$B,""))</f>
        <v/>
      </c>
      <c r="D858" t="str">
        <f>IF(B858="","",_xlfn.XLOOKUP(B858,'Orders Ledger'!$A:$A,'Orders Ledger'!$G:$G,""))</f>
        <v/>
      </c>
      <c r="E858" t="str">
        <f>IF(B858="","",_xlfn.XLOOKUP(B858,'Orders Ledger'!$A:$A,'Orders Ledger'!$H:$H,""))</f>
        <v/>
      </c>
      <c r="F858" t="str">
        <f>IF(B858="","",_xlfn.XLOOKUP(B858,'Orders Ledger'!$A:$A,'Orders Ledger'!$F:$F,""))</f>
        <v/>
      </c>
      <c r="G858" t="str">
        <f>IF(B858="","",_xlfn.XLOOKUP(B858,'Orders Ledger'!$A:$A,'Orders Ledger'!$N:$N,0))</f>
        <v/>
      </c>
    </row>
    <row r="859" spans="2:7" x14ac:dyDescent="0.3">
      <c r="B859" t="str">
        <f t="array" ref="B859">IFERROR(INDEX('Orders Ledger'!$A$2:$A$1501, SMALL(IF(('Orders Ledger'!$J$2:$J$1501="disputed")+('Orders Ledger'!$J$2:$J$1501="PENDING_REVIEW"), ROW('Orders Ledger'!$A$2:$A$1501)-ROW('Orders Ledger'!$A$2)+1), ROW(801:801))), "")</f>
        <v/>
      </c>
      <c r="C859" s="11" t="str">
        <f>IF(B859="","",_xlfn.XLOOKUP(B859,'Orders Ledger'!$A:$A,'Orders Ledger'!$B:$B,""))</f>
        <v/>
      </c>
      <c r="D859" t="str">
        <f>IF(B859="","",_xlfn.XLOOKUP(B859,'Orders Ledger'!$A:$A,'Orders Ledger'!$G:$G,""))</f>
        <v/>
      </c>
      <c r="E859" t="str">
        <f>IF(B859="","",_xlfn.XLOOKUP(B859,'Orders Ledger'!$A:$A,'Orders Ledger'!$H:$H,""))</f>
        <v/>
      </c>
      <c r="F859" t="str">
        <f>IF(B859="","",_xlfn.XLOOKUP(B859,'Orders Ledger'!$A:$A,'Orders Ledger'!$F:$F,""))</f>
        <v/>
      </c>
      <c r="G859" t="str">
        <f>IF(B859="","",_xlfn.XLOOKUP(B859,'Orders Ledger'!$A:$A,'Orders Ledger'!$N:$N,0))</f>
        <v/>
      </c>
    </row>
    <row r="860" spans="2:7" x14ac:dyDescent="0.3">
      <c r="B860" t="str">
        <f t="array" ref="B860">IFERROR(INDEX('Orders Ledger'!$A$2:$A$1501, SMALL(IF(('Orders Ledger'!$J$2:$J$1501="disputed")+('Orders Ledger'!$J$2:$J$1501="PENDING_REVIEW"), ROW('Orders Ledger'!$A$2:$A$1501)-ROW('Orders Ledger'!$A$2)+1), ROW(802:802))), "")</f>
        <v/>
      </c>
      <c r="C860" s="11" t="str">
        <f>IF(B860="","",_xlfn.XLOOKUP(B860,'Orders Ledger'!$A:$A,'Orders Ledger'!$B:$B,""))</f>
        <v/>
      </c>
      <c r="D860" t="str">
        <f>IF(B860="","",_xlfn.XLOOKUP(B860,'Orders Ledger'!$A:$A,'Orders Ledger'!$G:$G,""))</f>
        <v/>
      </c>
      <c r="E860" t="str">
        <f>IF(B860="","",_xlfn.XLOOKUP(B860,'Orders Ledger'!$A:$A,'Orders Ledger'!$H:$H,""))</f>
        <v/>
      </c>
      <c r="F860" t="str">
        <f>IF(B860="","",_xlfn.XLOOKUP(B860,'Orders Ledger'!$A:$A,'Orders Ledger'!$F:$F,""))</f>
        <v/>
      </c>
      <c r="G860" t="str">
        <f>IF(B860="","",_xlfn.XLOOKUP(B860,'Orders Ledger'!$A:$A,'Orders Ledger'!$N:$N,0))</f>
        <v/>
      </c>
    </row>
    <row r="861" spans="2:7" x14ac:dyDescent="0.3">
      <c r="B861" t="str">
        <f t="array" ref="B861">IFERROR(INDEX('Orders Ledger'!$A$2:$A$1501, SMALL(IF(('Orders Ledger'!$J$2:$J$1501="disputed")+('Orders Ledger'!$J$2:$J$1501="PENDING_REVIEW"), ROW('Orders Ledger'!$A$2:$A$1501)-ROW('Orders Ledger'!$A$2)+1), ROW(803:803))), "")</f>
        <v/>
      </c>
      <c r="C861" s="11" t="str">
        <f>IF(B861="","",_xlfn.XLOOKUP(B861,'Orders Ledger'!$A:$A,'Orders Ledger'!$B:$B,""))</f>
        <v/>
      </c>
      <c r="D861" t="str">
        <f>IF(B861="","",_xlfn.XLOOKUP(B861,'Orders Ledger'!$A:$A,'Orders Ledger'!$G:$G,""))</f>
        <v/>
      </c>
      <c r="E861" t="str">
        <f>IF(B861="","",_xlfn.XLOOKUP(B861,'Orders Ledger'!$A:$A,'Orders Ledger'!$H:$H,""))</f>
        <v/>
      </c>
      <c r="F861" t="str">
        <f>IF(B861="","",_xlfn.XLOOKUP(B861,'Orders Ledger'!$A:$A,'Orders Ledger'!$F:$F,""))</f>
        <v/>
      </c>
      <c r="G861" t="str">
        <f>IF(B861="","",_xlfn.XLOOKUP(B861,'Orders Ledger'!$A:$A,'Orders Ledger'!$N:$N,0))</f>
        <v/>
      </c>
    </row>
    <row r="862" spans="2:7" x14ac:dyDescent="0.3">
      <c r="B862" t="str">
        <f t="array" ref="B862">IFERROR(INDEX('Orders Ledger'!$A$2:$A$1501, SMALL(IF(('Orders Ledger'!$J$2:$J$1501="disputed")+('Orders Ledger'!$J$2:$J$1501="PENDING_REVIEW"), ROW('Orders Ledger'!$A$2:$A$1501)-ROW('Orders Ledger'!$A$2)+1), ROW(804:804))), "")</f>
        <v/>
      </c>
      <c r="C862" s="11" t="str">
        <f>IF(B862="","",_xlfn.XLOOKUP(B862,'Orders Ledger'!$A:$A,'Orders Ledger'!$B:$B,""))</f>
        <v/>
      </c>
      <c r="D862" t="str">
        <f>IF(B862="","",_xlfn.XLOOKUP(B862,'Orders Ledger'!$A:$A,'Orders Ledger'!$G:$G,""))</f>
        <v/>
      </c>
      <c r="E862" t="str">
        <f>IF(B862="","",_xlfn.XLOOKUP(B862,'Orders Ledger'!$A:$A,'Orders Ledger'!$H:$H,""))</f>
        <v/>
      </c>
      <c r="F862" t="str">
        <f>IF(B862="","",_xlfn.XLOOKUP(B862,'Orders Ledger'!$A:$A,'Orders Ledger'!$F:$F,""))</f>
        <v/>
      </c>
      <c r="G862" t="str">
        <f>IF(B862="","",_xlfn.XLOOKUP(B862,'Orders Ledger'!$A:$A,'Orders Ledger'!$N:$N,0))</f>
        <v/>
      </c>
    </row>
    <row r="863" spans="2:7" x14ac:dyDescent="0.3">
      <c r="B863" t="str">
        <f t="array" ref="B863">IFERROR(INDEX('Orders Ledger'!$A$2:$A$1501, SMALL(IF(('Orders Ledger'!$J$2:$J$1501="disputed")+('Orders Ledger'!$J$2:$J$1501="PENDING_REVIEW"), ROW('Orders Ledger'!$A$2:$A$1501)-ROW('Orders Ledger'!$A$2)+1), ROW(805:805))), "")</f>
        <v/>
      </c>
      <c r="C863" s="11" t="str">
        <f>IF(B863="","",_xlfn.XLOOKUP(B863,'Orders Ledger'!$A:$A,'Orders Ledger'!$B:$B,""))</f>
        <v/>
      </c>
      <c r="D863" t="str">
        <f>IF(B863="","",_xlfn.XLOOKUP(B863,'Orders Ledger'!$A:$A,'Orders Ledger'!$G:$G,""))</f>
        <v/>
      </c>
      <c r="E863" t="str">
        <f>IF(B863="","",_xlfn.XLOOKUP(B863,'Orders Ledger'!$A:$A,'Orders Ledger'!$H:$H,""))</f>
        <v/>
      </c>
      <c r="F863" t="str">
        <f>IF(B863="","",_xlfn.XLOOKUP(B863,'Orders Ledger'!$A:$A,'Orders Ledger'!$F:$F,""))</f>
        <v/>
      </c>
      <c r="G863" t="str">
        <f>IF(B863="","",_xlfn.XLOOKUP(B863,'Orders Ledger'!$A:$A,'Orders Ledger'!$N:$N,0))</f>
        <v/>
      </c>
    </row>
    <row r="864" spans="2:7" x14ac:dyDescent="0.3">
      <c r="B864" t="str">
        <f t="array" ref="B864">IFERROR(INDEX('Orders Ledger'!$A$2:$A$1501, SMALL(IF(('Orders Ledger'!$J$2:$J$1501="disputed")+('Orders Ledger'!$J$2:$J$1501="PENDING_REVIEW"), ROW('Orders Ledger'!$A$2:$A$1501)-ROW('Orders Ledger'!$A$2)+1), ROW(806:806))), "")</f>
        <v/>
      </c>
      <c r="C864" s="11" t="str">
        <f>IF(B864="","",_xlfn.XLOOKUP(B864,'Orders Ledger'!$A:$A,'Orders Ledger'!$B:$B,""))</f>
        <v/>
      </c>
      <c r="D864" t="str">
        <f>IF(B864="","",_xlfn.XLOOKUP(B864,'Orders Ledger'!$A:$A,'Orders Ledger'!$G:$G,""))</f>
        <v/>
      </c>
      <c r="E864" t="str">
        <f>IF(B864="","",_xlfn.XLOOKUP(B864,'Orders Ledger'!$A:$A,'Orders Ledger'!$H:$H,""))</f>
        <v/>
      </c>
      <c r="F864" t="str">
        <f>IF(B864="","",_xlfn.XLOOKUP(B864,'Orders Ledger'!$A:$A,'Orders Ledger'!$F:$F,""))</f>
        <v/>
      </c>
      <c r="G864" t="str">
        <f>IF(B864="","",_xlfn.XLOOKUP(B864,'Orders Ledger'!$A:$A,'Orders Ledger'!$N:$N,0))</f>
        <v/>
      </c>
    </row>
    <row r="865" spans="2:7" x14ac:dyDescent="0.3">
      <c r="B865" t="str">
        <f t="array" ref="B865">IFERROR(INDEX('Orders Ledger'!$A$2:$A$1501, SMALL(IF(('Orders Ledger'!$J$2:$J$1501="disputed")+('Orders Ledger'!$J$2:$J$1501="PENDING_REVIEW"), ROW('Orders Ledger'!$A$2:$A$1501)-ROW('Orders Ledger'!$A$2)+1), ROW(807:807))), "")</f>
        <v/>
      </c>
      <c r="C865" s="11" t="str">
        <f>IF(B865="","",_xlfn.XLOOKUP(B865,'Orders Ledger'!$A:$A,'Orders Ledger'!$B:$B,""))</f>
        <v/>
      </c>
      <c r="D865" t="str">
        <f>IF(B865="","",_xlfn.XLOOKUP(B865,'Orders Ledger'!$A:$A,'Orders Ledger'!$G:$G,""))</f>
        <v/>
      </c>
      <c r="E865" t="str">
        <f>IF(B865="","",_xlfn.XLOOKUP(B865,'Orders Ledger'!$A:$A,'Orders Ledger'!$H:$H,""))</f>
        <v/>
      </c>
      <c r="F865" t="str">
        <f>IF(B865="","",_xlfn.XLOOKUP(B865,'Orders Ledger'!$A:$A,'Orders Ledger'!$F:$F,""))</f>
        <v/>
      </c>
      <c r="G865" t="str">
        <f>IF(B865="","",_xlfn.XLOOKUP(B865,'Orders Ledger'!$A:$A,'Orders Ledger'!$N:$N,0))</f>
        <v/>
      </c>
    </row>
    <row r="866" spans="2:7" x14ac:dyDescent="0.3">
      <c r="B866" t="str">
        <f t="array" ref="B866">IFERROR(INDEX('Orders Ledger'!$A$2:$A$1501, SMALL(IF(('Orders Ledger'!$J$2:$J$1501="disputed")+('Orders Ledger'!$J$2:$J$1501="PENDING_REVIEW"), ROW('Orders Ledger'!$A$2:$A$1501)-ROW('Orders Ledger'!$A$2)+1), ROW(808:808))), "")</f>
        <v/>
      </c>
      <c r="C866" s="11" t="str">
        <f>IF(B866="","",_xlfn.XLOOKUP(B866,'Orders Ledger'!$A:$A,'Orders Ledger'!$B:$B,""))</f>
        <v/>
      </c>
      <c r="D866" t="str">
        <f>IF(B866="","",_xlfn.XLOOKUP(B866,'Orders Ledger'!$A:$A,'Orders Ledger'!$G:$G,""))</f>
        <v/>
      </c>
      <c r="E866" t="str">
        <f>IF(B866="","",_xlfn.XLOOKUP(B866,'Orders Ledger'!$A:$A,'Orders Ledger'!$H:$H,""))</f>
        <v/>
      </c>
      <c r="F866" t="str">
        <f>IF(B866="","",_xlfn.XLOOKUP(B866,'Orders Ledger'!$A:$A,'Orders Ledger'!$F:$F,""))</f>
        <v/>
      </c>
      <c r="G866" t="str">
        <f>IF(B866="","",_xlfn.XLOOKUP(B866,'Orders Ledger'!$A:$A,'Orders Ledger'!$N:$N,0))</f>
        <v/>
      </c>
    </row>
    <row r="867" spans="2:7" x14ac:dyDescent="0.3">
      <c r="B867" t="str">
        <f t="array" ref="B867">IFERROR(INDEX('Orders Ledger'!$A$2:$A$1501, SMALL(IF(('Orders Ledger'!$J$2:$J$1501="disputed")+('Orders Ledger'!$J$2:$J$1501="PENDING_REVIEW"), ROW('Orders Ledger'!$A$2:$A$1501)-ROW('Orders Ledger'!$A$2)+1), ROW(809:809))), "")</f>
        <v/>
      </c>
      <c r="C867" s="11" t="str">
        <f>IF(B867="","",_xlfn.XLOOKUP(B867,'Orders Ledger'!$A:$A,'Orders Ledger'!$B:$B,""))</f>
        <v/>
      </c>
      <c r="D867" t="str">
        <f>IF(B867="","",_xlfn.XLOOKUP(B867,'Orders Ledger'!$A:$A,'Orders Ledger'!$G:$G,""))</f>
        <v/>
      </c>
      <c r="E867" t="str">
        <f>IF(B867="","",_xlfn.XLOOKUP(B867,'Orders Ledger'!$A:$A,'Orders Ledger'!$H:$H,""))</f>
        <v/>
      </c>
      <c r="F867" t="str">
        <f>IF(B867="","",_xlfn.XLOOKUP(B867,'Orders Ledger'!$A:$A,'Orders Ledger'!$F:$F,""))</f>
        <v/>
      </c>
      <c r="G867" t="str">
        <f>IF(B867="","",_xlfn.XLOOKUP(B867,'Orders Ledger'!$A:$A,'Orders Ledger'!$N:$N,0))</f>
        <v/>
      </c>
    </row>
    <row r="868" spans="2:7" x14ac:dyDescent="0.3">
      <c r="B868" t="str">
        <f t="array" ref="B868">IFERROR(INDEX('Orders Ledger'!$A$2:$A$1501, SMALL(IF(('Orders Ledger'!$J$2:$J$1501="disputed")+('Orders Ledger'!$J$2:$J$1501="PENDING_REVIEW"), ROW('Orders Ledger'!$A$2:$A$1501)-ROW('Orders Ledger'!$A$2)+1), ROW(810:810))), "")</f>
        <v/>
      </c>
      <c r="C868" s="11" t="str">
        <f>IF(B868="","",_xlfn.XLOOKUP(B868,'Orders Ledger'!$A:$A,'Orders Ledger'!$B:$B,""))</f>
        <v/>
      </c>
      <c r="D868" t="str">
        <f>IF(B868="","",_xlfn.XLOOKUP(B868,'Orders Ledger'!$A:$A,'Orders Ledger'!$G:$G,""))</f>
        <v/>
      </c>
      <c r="E868" t="str">
        <f>IF(B868="","",_xlfn.XLOOKUP(B868,'Orders Ledger'!$A:$A,'Orders Ledger'!$H:$H,""))</f>
        <v/>
      </c>
      <c r="F868" t="str">
        <f>IF(B868="","",_xlfn.XLOOKUP(B868,'Orders Ledger'!$A:$A,'Orders Ledger'!$F:$F,""))</f>
        <v/>
      </c>
      <c r="G868" t="str">
        <f>IF(B868="","",_xlfn.XLOOKUP(B868,'Orders Ledger'!$A:$A,'Orders Ledger'!$N:$N,0))</f>
        <v/>
      </c>
    </row>
    <row r="869" spans="2:7" x14ac:dyDescent="0.3">
      <c r="B869" t="str">
        <f t="array" ref="B869">IFERROR(INDEX('Orders Ledger'!$A$2:$A$1501, SMALL(IF(('Orders Ledger'!$J$2:$J$1501="disputed")+('Orders Ledger'!$J$2:$J$1501="PENDING_REVIEW"), ROW('Orders Ledger'!$A$2:$A$1501)-ROW('Orders Ledger'!$A$2)+1), ROW(811:811))), "")</f>
        <v/>
      </c>
      <c r="C869" s="11" t="str">
        <f>IF(B869="","",_xlfn.XLOOKUP(B869,'Orders Ledger'!$A:$A,'Orders Ledger'!$B:$B,""))</f>
        <v/>
      </c>
      <c r="D869" t="str">
        <f>IF(B869="","",_xlfn.XLOOKUP(B869,'Orders Ledger'!$A:$A,'Orders Ledger'!$G:$G,""))</f>
        <v/>
      </c>
      <c r="E869" t="str">
        <f>IF(B869="","",_xlfn.XLOOKUP(B869,'Orders Ledger'!$A:$A,'Orders Ledger'!$H:$H,""))</f>
        <v/>
      </c>
      <c r="F869" t="str">
        <f>IF(B869="","",_xlfn.XLOOKUP(B869,'Orders Ledger'!$A:$A,'Orders Ledger'!$F:$F,""))</f>
        <v/>
      </c>
      <c r="G869" t="str">
        <f>IF(B869="","",_xlfn.XLOOKUP(B869,'Orders Ledger'!$A:$A,'Orders Ledger'!$N:$N,0))</f>
        <v/>
      </c>
    </row>
    <row r="870" spans="2:7" x14ac:dyDescent="0.3">
      <c r="B870" t="str">
        <f t="array" ref="B870">IFERROR(INDEX('Orders Ledger'!$A$2:$A$1501, SMALL(IF(('Orders Ledger'!$J$2:$J$1501="disputed")+('Orders Ledger'!$J$2:$J$1501="PENDING_REVIEW"), ROW('Orders Ledger'!$A$2:$A$1501)-ROW('Orders Ledger'!$A$2)+1), ROW(812:812))), "")</f>
        <v/>
      </c>
      <c r="C870" s="11" t="str">
        <f>IF(B870="","",_xlfn.XLOOKUP(B870,'Orders Ledger'!$A:$A,'Orders Ledger'!$B:$B,""))</f>
        <v/>
      </c>
      <c r="D870" t="str">
        <f>IF(B870="","",_xlfn.XLOOKUP(B870,'Orders Ledger'!$A:$A,'Orders Ledger'!$G:$G,""))</f>
        <v/>
      </c>
      <c r="E870" t="str">
        <f>IF(B870="","",_xlfn.XLOOKUP(B870,'Orders Ledger'!$A:$A,'Orders Ledger'!$H:$H,""))</f>
        <v/>
      </c>
      <c r="F870" t="str">
        <f>IF(B870="","",_xlfn.XLOOKUP(B870,'Orders Ledger'!$A:$A,'Orders Ledger'!$F:$F,""))</f>
        <v/>
      </c>
      <c r="G870" t="str">
        <f>IF(B870="","",_xlfn.XLOOKUP(B870,'Orders Ledger'!$A:$A,'Orders Ledger'!$N:$N,0))</f>
        <v/>
      </c>
    </row>
    <row r="871" spans="2:7" x14ac:dyDescent="0.3">
      <c r="B871" t="str">
        <f t="array" ref="B871">IFERROR(INDEX('Orders Ledger'!$A$2:$A$1501, SMALL(IF(('Orders Ledger'!$J$2:$J$1501="disputed")+('Orders Ledger'!$J$2:$J$1501="PENDING_REVIEW"), ROW('Orders Ledger'!$A$2:$A$1501)-ROW('Orders Ledger'!$A$2)+1), ROW(813:813))), "")</f>
        <v/>
      </c>
      <c r="C871" s="11" t="str">
        <f>IF(B871="","",_xlfn.XLOOKUP(B871,'Orders Ledger'!$A:$A,'Orders Ledger'!$B:$B,""))</f>
        <v/>
      </c>
      <c r="D871" t="str">
        <f>IF(B871="","",_xlfn.XLOOKUP(B871,'Orders Ledger'!$A:$A,'Orders Ledger'!$G:$G,""))</f>
        <v/>
      </c>
      <c r="E871" t="str">
        <f>IF(B871="","",_xlfn.XLOOKUP(B871,'Orders Ledger'!$A:$A,'Orders Ledger'!$H:$H,""))</f>
        <v/>
      </c>
      <c r="F871" t="str">
        <f>IF(B871="","",_xlfn.XLOOKUP(B871,'Orders Ledger'!$A:$A,'Orders Ledger'!$F:$F,""))</f>
        <v/>
      </c>
      <c r="G871" t="str">
        <f>IF(B871="","",_xlfn.XLOOKUP(B871,'Orders Ledger'!$A:$A,'Orders Ledger'!$N:$N,0))</f>
        <v/>
      </c>
    </row>
    <row r="872" spans="2:7" x14ac:dyDescent="0.3">
      <c r="B872" t="str">
        <f t="array" ref="B872">IFERROR(INDEX('Orders Ledger'!$A$2:$A$1501, SMALL(IF(('Orders Ledger'!$J$2:$J$1501="disputed")+('Orders Ledger'!$J$2:$J$1501="PENDING_REVIEW"), ROW('Orders Ledger'!$A$2:$A$1501)-ROW('Orders Ledger'!$A$2)+1), ROW(814:814))), "")</f>
        <v/>
      </c>
      <c r="C872" s="11" t="str">
        <f>IF(B872="","",_xlfn.XLOOKUP(B872,'Orders Ledger'!$A:$A,'Orders Ledger'!$B:$B,""))</f>
        <v/>
      </c>
      <c r="D872" t="str">
        <f>IF(B872="","",_xlfn.XLOOKUP(B872,'Orders Ledger'!$A:$A,'Orders Ledger'!$G:$G,""))</f>
        <v/>
      </c>
      <c r="E872" t="str">
        <f>IF(B872="","",_xlfn.XLOOKUP(B872,'Orders Ledger'!$A:$A,'Orders Ledger'!$H:$H,""))</f>
        <v/>
      </c>
      <c r="F872" t="str">
        <f>IF(B872="","",_xlfn.XLOOKUP(B872,'Orders Ledger'!$A:$A,'Orders Ledger'!$F:$F,""))</f>
        <v/>
      </c>
      <c r="G872" t="str">
        <f>IF(B872="","",_xlfn.XLOOKUP(B872,'Orders Ledger'!$A:$A,'Orders Ledger'!$N:$N,0))</f>
        <v/>
      </c>
    </row>
    <row r="873" spans="2:7" x14ac:dyDescent="0.3">
      <c r="B873" t="str">
        <f t="array" ref="B873">IFERROR(INDEX('Orders Ledger'!$A$2:$A$1501, SMALL(IF(('Orders Ledger'!$J$2:$J$1501="disputed")+('Orders Ledger'!$J$2:$J$1501="PENDING_REVIEW"), ROW('Orders Ledger'!$A$2:$A$1501)-ROW('Orders Ledger'!$A$2)+1), ROW(815:815))), "")</f>
        <v/>
      </c>
      <c r="C873" s="11" t="str">
        <f>IF(B873="","",_xlfn.XLOOKUP(B873,'Orders Ledger'!$A:$A,'Orders Ledger'!$B:$B,""))</f>
        <v/>
      </c>
      <c r="D873" t="str">
        <f>IF(B873="","",_xlfn.XLOOKUP(B873,'Orders Ledger'!$A:$A,'Orders Ledger'!$G:$G,""))</f>
        <v/>
      </c>
      <c r="E873" t="str">
        <f>IF(B873="","",_xlfn.XLOOKUP(B873,'Orders Ledger'!$A:$A,'Orders Ledger'!$H:$H,""))</f>
        <v/>
      </c>
      <c r="F873" t="str">
        <f>IF(B873="","",_xlfn.XLOOKUP(B873,'Orders Ledger'!$A:$A,'Orders Ledger'!$F:$F,""))</f>
        <v/>
      </c>
      <c r="G873" t="str">
        <f>IF(B873="","",_xlfn.XLOOKUP(B873,'Orders Ledger'!$A:$A,'Orders Ledger'!$N:$N,0))</f>
        <v/>
      </c>
    </row>
    <row r="874" spans="2:7" x14ac:dyDescent="0.3">
      <c r="B874" t="str">
        <f t="array" ref="B874">IFERROR(INDEX('Orders Ledger'!$A$2:$A$1501, SMALL(IF(('Orders Ledger'!$J$2:$J$1501="disputed")+('Orders Ledger'!$J$2:$J$1501="PENDING_REVIEW"), ROW('Orders Ledger'!$A$2:$A$1501)-ROW('Orders Ledger'!$A$2)+1), ROW(816:816))), "")</f>
        <v/>
      </c>
      <c r="C874" s="11" t="str">
        <f>IF(B874="","",_xlfn.XLOOKUP(B874,'Orders Ledger'!$A:$A,'Orders Ledger'!$B:$B,""))</f>
        <v/>
      </c>
      <c r="D874" t="str">
        <f>IF(B874="","",_xlfn.XLOOKUP(B874,'Orders Ledger'!$A:$A,'Orders Ledger'!$G:$G,""))</f>
        <v/>
      </c>
      <c r="E874" t="str">
        <f>IF(B874="","",_xlfn.XLOOKUP(B874,'Orders Ledger'!$A:$A,'Orders Ledger'!$H:$H,""))</f>
        <v/>
      </c>
      <c r="F874" t="str">
        <f>IF(B874="","",_xlfn.XLOOKUP(B874,'Orders Ledger'!$A:$A,'Orders Ledger'!$F:$F,""))</f>
        <v/>
      </c>
      <c r="G874" t="str">
        <f>IF(B874="","",_xlfn.XLOOKUP(B874,'Orders Ledger'!$A:$A,'Orders Ledger'!$N:$N,0))</f>
        <v/>
      </c>
    </row>
    <row r="875" spans="2:7" x14ac:dyDescent="0.3">
      <c r="B875" t="str">
        <f t="array" ref="B875">IFERROR(INDEX('Orders Ledger'!$A$2:$A$1501, SMALL(IF(('Orders Ledger'!$J$2:$J$1501="disputed")+('Orders Ledger'!$J$2:$J$1501="PENDING_REVIEW"), ROW('Orders Ledger'!$A$2:$A$1501)-ROW('Orders Ledger'!$A$2)+1), ROW(817:817))), "")</f>
        <v/>
      </c>
      <c r="C875" s="11" t="str">
        <f>IF(B875="","",_xlfn.XLOOKUP(B875,'Orders Ledger'!$A:$A,'Orders Ledger'!$B:$B,""))</f>
        <v/>
      </c>
      <c r="D875" t="str">
        <f>IF(B875="","",_xlfn.XLOOKUP(B875,'Orders Ledger'!$A:$A,'Orders Ledger'!$G:$G,""))</f>
        <v/>
      </c>
      <c r="E875" t="str">
        <f>IF(B875="","",_xlfn.XLOOKUP(B875,'Orders Ledger'!$A:$A,'Orders Ledger'!$H:$H,""))</f>
        <v/>
      </c>
      <c r="F875" t="str">
        <f>IF(B875="","",_xlfn.XLOOKUP(B875,'Orders Ledger'!$A:$A,'Orders Ledger'!$F:$F,""))</f>
        <v/>
      </c>
      <c r="G875" t="str">
        <f>IF(B875="","",_xlfn.XLOOKUP(B875,'Orders Ledger'!$A:$A,'Orders Ledger'!$N:$N,0))</f>
        <v/>
      </c>
    </row>
    <row r="876" spans="2:7" x14ac:dyDescent="0.3">
      <c r="B876" t="str">
        <f t="array" ref="B876">IFERROR(INDEX('Orders Ledger'!$A$2:$A$1501, SMALL(IF(('Orders Ledger'!$J$2:$J$1501="disputed")+('Orders Ledger'!$J$2:$J$1501="PENDING_REVIEW"), ROW('Orders Ledger'!$A$2:$A$1501)-ROW('Orders Ledger'!$A$2)+1), ROW(818:818))), "")</f>
        <v/>
      </c>
      <c r="C876" s="11" t="str">
        <f>IF(B876="","",_xlfn.XLOOKUP(B876,'Orders Ledger'!$A:$A,'Orders Ledger'!$B:$B,""))</f>
        <v/>
      </c>
      <c r="D876" t="str">
        <f>IF(B876="","",_xlfn.XLOOKUP(B876,'Orders Ledger'!$A:$A,'Orders Ledger'!$G:$G,""))</f>
        <v/>
      </c>
      <c r="E876" t="str">
        <f>IF(B876="","",_xlfn.XLOOKUP(B876,'Orders Ledger'!$A:$A,'Orders Ledger'!$H:$H,""))</f>
        <v/>
      </c>
      <c r="F876" t="str">
        <f>IF(B876="","",_xlfn.XLOOKUP(B876,'Orders Ledger'!$A:$A,'Orders Ledger'!$F:$F,""))</f>
        <v/>
      </c>
      <c r="G876" t="str">
        <f>IF(B876="","",_xlfn.XLOOKUP(B876,'Orders Ledger'!$A:$A,'Orders Ledger'!$N:$N,0))</f>
        <v/>
      </c>
    </row>
    <row r="877" spans="2:7" x14ac:dyDescent="0.3">
      <c r="B877" t="str">
        <f t="array" ref="B877">IFERROR(INDEX('Orders Ledger'!$A$2:$A$1501, SMALL(IF(('Orders Ledger'!$J$2:$J$1501="disputed")+('Orders Ledger'!$J$2:$J$1501="PENDING_REVIEW"), ROW('Orders Ledger'!$A$2:$A$1501)-ROW('Orders Ledger'!$A$2)+1), ROW(819:819))), "")</f>
        <v/>
      </c>
      <c r="C877" s="11" t="str">
        <f>IF(B877="","",_xlfn.XLOOKUP(B877,'Orders Ledger'!$A:$A,'Orders Ledger'!$B:$B,""))</f>
        <v/>
      </c>
      <c r="D877" t="str">
        <f>IF(B877="","",_xlfn.XLOOKUP(B877,'Orders Ledger'!$A:$A,'Orders Ledger'!$G:$G,""))</f>
        <v/>
      </c>
      <c r="E877" t="str">
        <f>IF(B877="","",_xlfn.XLOOKUP(B877,'Orders Ledger'!$A:$A,'Orders Ledger'!$H:$H,""))</f>
        <v/>
      </c>
      <c r="F877" t="str">
        <f>IF(B877="","",_xlfn.XLOOKUP(B877,'Orders Ledger'!$A:$A,'Orders Ledger'!$F:$F,""))</f>
        <v/>
      </c>
      <c r="G877" t="str">
        <f>IF(B877="","",_xlfn.XLOOKUP(B877,'Orders Ledger'!$A:$A,'Orders Ledger'!$N:$N,0))</f>
        <v/>
      </c>
    </row>
    <row r="878" spans="2:7" x14ac:dyDescent="0.3">
      <c r="B878" t="str">
        <f t="array" ref="B878">IFERROR(INDEX('Orders Ledger'!$A$2:$A$1501, SMALL(IF(('Orders Ledger'!$J$2:$J$1501="disputed")+('Orders Ledger'!$J$2:$J$1501="PENDING_REVIEW"), ROW('Orders Ledger'!$A$2:$A$1501)-ROW('Orders Ledger'!$A$2)+1), ROW(820:820))), "")</f>
        <v/>
      </c>
      <c r="C878" s="11" t="str">
        <f>IF(B878="","",_xlfn.XLOOKUP(B878,'Orders Ledger'!$A:$A,'Orders Ledger'!$B:$B,""))</f>
        <v/>
      </c>
      <c r="D878" t="str">
        <f>IF(B878="","",_xlfn.XLOOKUP(B878,'Orders Ledger'!$A:$A,'Orders Ledger'!$G:$G,""))</f>
        <v/>
      </c>
      <c r="E878" t="str">
        <f>IF(B878="","",_xlfn.XLOOKUP(B878,'Orders Ledger'!$A:$A,'Orders Ledger'!$H:$H,""))</f>
        <v/>
      </c>
      <c r="F878" t="str">
        <f>IF(B878="","",_xlfn.XLOOKUP(B878,'Orders Ledger'!$A:$A,'Orders Ledger'!$F:$F,""))</f>
        <v/>
      </c>
      <c r="G878" t="str">
        <f>IF(B878="","",_xlfn.XLOOKUP(B878,'Orders Ledger'!$A:$A,'Orders Ledger'!$N:$N,0))</f>
        <v/>
      </c>
    </row>
    <row r="879" spans="2:7" x14ac:dyDescent="0.3">
      <c r="B879" t="str">
        <f t="array" ref="B879">IFERROR(INDEX('Orders Ledger'!$A$2:$A$1501, SMALL(IF(('Orders Ledger'!$J$2:$J$1501="disputed")+('Orders Ledger'!$J$2:$J$1501="PENDING_REVIEW"), ROW('Orders Ledger'!$A$2:$A$1501)-ROW('Orders Ledger'!$A$2)+1), ROW(821:821))), "")</f>
        <v/>
      </c>
      <c r="C879" s="11" t="str">
        <f>IF(B879="","",_xlfn.XLOOKUP(B879,'Orders Ledger'!$A:$A,'Orders Ledger'!$B:$B,""))</f>
        <v/>
      </c>
      <c r="D879" t="str">
        <f>IF(B879="","",_xlfn.XLOOKUP(B879,'Orders Ledger'!$A:$A,'Orders Ledger'!$G:$G,""))</f>
        <v/>
      </c>
      <c r="E879" t="str">
        <f>IF(B879="","",_xlfn.XLOOKUP(B879,'Orders Ledger'!$A:$A,'Orders Ledger'!$H:$H,""))</f>
        <v/>
      </c>
      <c r="F879" t="str">
        <f>IF(B879="","",_xlfn.XLOOKUP(B879,'Orders Ledger'!$A:$A,'Orders Ledger'!$F:$F,""))</f>
        <v/>
      </c>
      <c r="G879" t="str">
        <f>IF(B879="","",_xlfn.XLOOKUP(B879,'Orders Ledger'!$A:$A,'Orders Ledger'!$N:$N,0))</f>
        <v/>
      </c>
    </row>
    <row r="880" spans="2:7" x14ac:dyDescent="0.3">
      <c r="B880" t="str">
        <f t="array" ref="B880">IFERROR(INDEX('Orders Ledger'!$A$2:$A$1501, SMALL(IF(('Orders Ledger'!$J$2:$J$1501="disputed")+('Orders Ledger'!$J$2:$J$1501="PENDING_REVIEW"), ROW('Orders Ledger'!$A$2:$A$1501)-ROW('Orders Ledger'!$A$2)+1), ROW(822:822))), "")</f>
        <v/>
      </c>
      <c r="C880" s="11" t="str">
        <f>IF(B880="","",_xlfn.XLOOKUP(B880,'Orders Ledger'!$A:$A,'Orders Ledger'!$B:$B,""))</f>
        <v/>
      </c>
      <c r="D880" t="str">
        <f>IF(B880="","",_xlfn.XLOOKUP(B880,'Orders Ledger'!$A:$A,'Orders Ledger'!$G:$G,""))</f>
        <v/>
      </c>
      <c r="E880" t="str">
        <f>IF(B880="","",_xlfn.XLOOKUP(B880,'Orders Ledger'!$A:$A,'Orders Ledger'!$H:$H,""))</f>
        <v/>
      </c>
      <c r="F880" t="str">
        <f>IF(B880="","",_xlfn.XLOOKUP(B880,'Orders Ledger'!$A:$A,'Orders Ledger'!$F:$F,""))</f>
        <v/>
      </c>
      <c r="G880" t="str">
        <f>IF(B880="","",_xlfn.XLOOKUP(B880,'Orders Ledger'!$A:$A,'Orders Ledger'!$N:$N,0))</f>
        <v/>
      </c>
    </row>
    <row r="881" spans="2:7" x14ac:dyDescent="0.3">
      <c r="B881" t="str">
        <f t="array" ref="B881">IFERROR(INDEX('Orders Ledger'!$A$2:$A$1501, SMALL(IF(('Orders Ledger'!$J$2:$J$1501="disputed")+('Orders Ledger'!$J$2:$J$1501="PENDING_REVIEW"), ROW('Orders Ledger'!$A$2:$A$1501)-ROW('Orders Ledger'!$A$2)+1), ROW(823:823))), "")</f>
        <v/>
      </c>
      <c r="C881" s="11" t="str">
        <f>IF(B881="","",_xlfn.XLOOKUP(B881,'Orders Ledger'!$A:$A,'Orders Ledger'!$B:$B,""))</f>
        <v/>
      </c>
      <c r="D881" t="str">
        <f>IF(B881="","",_xlfn.XLOOKUP(B881,'Orders Ledger'!$A:$A,'Orders Ledger'!$G:$G,""))</f>
        <v/>
      </c>
      <c r="E881" t="str">
        <f>IF(B881="","",_xlfn.XLOOKUP(B881,'Orders Ledger'!$A:$A,'Orders Ledger'!$H:$H,""))</f>
        <v/>
      </c>
      <c r="F881" t="str">
        <f>IF(B881="","",_xlfn.XLOOKUP(B881,'Orders Ledger'!$A:$A,'Orders Ledger'!$F:$F,""))</f>
        <v/>
      </c>
      <c r="G881" t="str">
        <f>IF(B881="","",_xlfn.XLOOKUP(B881,'Orders Ledger'!$A:$A,'Orders Ledger'!$N:$N,0))</f>
        <v/>
      </c>
    </row>
    <row r="882" spans="2:7" x14ac:dyDescent="0.3">
      <c r="B882" t="str">
        <f t="array" ref="B882">IFERROR(INDEX('Orders Ledger'!$A$2:$A$1501, SMALL(IF(('Orders Ledger'!$J$2:$J$1501="disputed")+('Orders Ledger'!$J$2:$J$1501="PENDING_REVIEW"), ROW('Orders Ledger'!$A$2:$A$1501)-ROW('Orders Ledger'!$A$2)+1), ROW(824:824))), "")</f>
        <v/>
      </c>
      <c r="C882" s="11" t="str">
        <f>IF(B882="","",_xlfn.XLOOKUP(B882,'Orders Ledger'!$A:$A,'Orders Ledger'!$B:$B,""))</f>
        <v/>
      </c>
      <c r="D882" t="str">
        <f>IF(B882="","",_xlfn.XLOOKUP(B882,'Orders Ledger'!$A:$A,'Orders Ledger'!$G:$G,""))</f>
        <v/>
      </c>
      <c r="E882" t="str">
        <f>IF(B882="","",_xlfn.XLOOKUP(B882,'Orders Ledger'!$A:$A,'Orders Ledger'!$H:$H,""))</f>
        <v/>
      </c>
      <c r="F882" t="str">
        <f>IF(B882="","",_xlfn.XLOOKUP(B882,'Orders Ledger'!$A:$A,'Orders Ledger'!$F:$F,""))</f>
        <v/>
      </c>
      <c r="G882" t="str">
        <f>IF(B882="","",_xlfn.XLOOKUP(B882,'Orders Ledger'!$A:$A,'Orders Ledger'!$N:$N,0))</f>
        <v/>
      </c>
    </row>
    <row r="883" spans="2:7" x14ac:dyDescent="0.3">
      <c r="B883" t="str">
        <f t="array" ref="B883">IFERROR(INDEX('Orders Ledger'!$A$2:$A$1501, SMALL(IF(('Orders Ledger'!$J$2:$J$1501="disputed")+('Orders Ledger'!$J$2:$J$1501="PENDING_REVIEW"), ROW('Orders Ledger'!$A$2:$A$1501)-ROW('Orders Ledger'!$A$2)+1), ROW(825:825))), "")</f>
        <v/>
      </c>
      <c r="C883" s="11" t="str">
        <f>IF(B883="","",_xlfn.XLOOKUP(B883,'Orders Ledger'!$A:$A,'Orders Ledger'!$B:$B,""))</f>
        <v/>
      </c>
      <c r="D883" t="str">
        <f>IF(B883="","",_xlfn.XLOOKUP(B883,'Orders Ledger'!$A:$A,'Orders Ledger'!$G:$G,""))</f>
        <v/>
      </c>
      <c r="E883" t="str">
        <f>IF(B883="","",_xlfn.XLOOKUP(B883,'Orders Ledger'!$A:$A,'Orders Ledger'!$H:$H,""))</f>
        <v/>
      </c>
      <c r="F883" t="str">
        <f>IF(B883="","",_xlfn.XLOOKUP(B883,'Orders Ledger'!$A:$A,'Orders Ledger'!$F:$F,""))</f>
        <v/>
      </c>
      <c r="G883" t="str">
        <f>IF(B883="","",_xlfn.XLOOKUP(B883,'Orders Ledger'!$A:$A,'Orders Ledger'!$N:$N,0))</f>
        <v/>
      </c>
    </row>
    <row r="884" spans="2:7" x14ac:dyDescent="0.3">
      <c r="B884" t="str">
        <f t="array" ref="B884">IFERROR(INDEX('Orders Ledger'!$A$2:$A$1501, SMALL(IF(('Orders Ledger'!$J$2:$J$1501="disputed")+('Orders Ledger'!$J$2:$J$1501="PENDING_REVIEW"), ROW('Orders Ledger'!$A$2:$A$1501)-ROW('Orders Ledger'!$A$2)+1), ROW(826:826))), "")</f>
        <v/>
      </c>
      <c r="C884" s="11" t="str">
        <f>IF(B884="","",_xlfn.XLOOKUP(B884,'Orders Ledger'!$A:$A,'Orders Ledger'!$B:$B,""))</f>
        <v/>
      </c>
      <c r="D884" t="str">
        <f>IF(B884="","",_xlfn.XLOOKUP(B884,'Orders Ledger'!$A:$A,'Orders Ledger'!$G:$G,""))</f>
        <v/>
      </c>
      <c r="E884" t="str">
        <f>IF(B884="","",_xlfn.XLOOKUP(B884,'Orders Ledger'!$A:$A,'Orders Ledger'!$H:$H,""))</f>
        <v/>
      </c>
      <c r="F884" t="str">
        <f>IF(B884="","",_xlfn.XLOOKUP(B884,'Orders Ledger'!$A:$A,'Orders Ledger'!$F:$F,""))</f>
        <v/>
      </c>
      <c r="G884" t="str">
        <f>IF(B884="","",_xlfn.XLOOKUP(B884,'Orders Ledger'!$A:$A,'Orders Ledger'!$N:$N,0))</f>
        <v/>
      </c>
    </row>
    <row r="885" spans="2:7" x14ac:dyDescent="0.3">
      <c r="B885" t="str">
        <f t="array" ref="B885">IFERROR(INDEX('Orders Ledger'!$A$2:$A$1501, SMALL(IF(('Orders Ledger'!$J$2:$J$1501="disputed")+('Orders Ledger'!$J$2:$J$1501="PENDING_REVIEW"), ROW('Orders Ledger'!$A$2:$A$1501)-ROW('Orders Ledger'!$A$2)+1), ROW(827:827))), "")</f>
        <v/>
      </c>
      <c r="C885" s="11" t="str">
        <f>IF(B885="","",_xlfn.XLOOKUP(B885,'Orders Ledger'!$A:$A,'Orders Ledger'!$B:$B,""))</f>
        <v/>
      </c>
      <c r="D885" t="str">
        <f>IF(B885="","",_xlfn.XLOOKUP(B885,'Orders Ledger'!$A:$A,'Orders Ledger'!$G:$G,""))</f>
        <v/>
      </c>
      <c r="E885" t="str">
        <f>IF(B885="","",_xlfn.XLOOKUP(B885,'Orders Ledger'!$A:$A,'Orders Ledger'!$H:$H,""))</f>
        <v/>
      </c>
      <c r="F885" t="str">
        <f>IF(B885="","",_xlfn.XLOOKUP(B885,'Orders Ledger'!$A:$A,'Orders Ledger'!$F:$F,""))</f>
        <v/>
      </c>
      <c r="G885" t="str">
        <f>IF(B885="","",_xlfn.XLOOKUP(B885,'Orders Ledger'!$A:$A,'Orders Ledger'!$N:$N,0))</f>
        <v/>
      </c>
    </row>
    <row r="886" spans="2:7" x14ac:dyDescent="0.3">
      <c r="B886" t="str">
        <f t="array" ref="B886">IFERROR(INDEX('Orders Ledger'!$A$2:$A$1501, SMALL(IF(('Orders Ledger'!$J$2:$J$1501="disputed")+('Orders Ledger'!$J$2:$J$1501="PENDING_REVIEW"), ROW('Orders Ledger'!$A$2:$A$1501)-ROW('Orders Ledger'!$A$2)+1), ROW(828:828))), "")</f>
        <v/>
      </c>
      <c r="C886" s="11" t="str">
        <f>IF(B886="","",_xlfn.XLOOKUP(B886,'Orders Ledger'!$A:$A,'Orders Ledger'!$B:$B,""))</f>
        <v/>
      </c>
      <c r="D886" t="str">
        <f>IF(B886="","",_xlfn.XLOOKUP(B886,'Orders Ledger'!$A:$A,'Orders Ledger'!$G:$G,""))</f>
        <v/>
      </c>
      <c r="E886" t="str">
        <f>IF(B886="","",_xlfn.XLOOKUP(B886,'Orders Ledger'!$A:$A,'Orders Ledger'!$H:$H,""))</f>
        <v/>
      </c>
      <c r="F886" t="str">
        <f>IF(B886="","",_xlfn.XLOOKUP(B886,'Orders Ledger'!$A:$A,'Orders Ledger'!$F:$F,""))</f>
        <v/>
      </c>
      <c r="G886" t="str">
        <f>IF(B886="","",_xlfn.XLOOKUP(B886,'Orders Ledger'!$A:$A,'Orders Ledger'!$N:$N,0))</f>
        <v/>
      </c>
    </row>
    <row r="887" spans="2:7" x14ac:dyDescent="0.3">
      <c r="B887" t="str">
        <f t="array" ref="B887">IFERROR(INDEX('Orders Ledger'!$A$2:$A$1501, SMALL(IF(('Orders Ledger'!$J$2:$J$1501="disputed")+('Orders Ledger'!$J$2:$J$1501="PENDING_REVIEW"), ROW('Orders Ledger'!$A$2:$A$1501)-ROW('Orders Ledger'!$A$2)+1), ROW(829:829))), "")</f>
        <v/>
      </c>
      <c r="C887" s="11" t="str">
        <f>IF(B887="","",_xlfn.XLOOKUP(B887,'Orders Ledger'!$A:$A,'Orders Ledger'!$B:$B,""))</f>
        <v/>
      </c>
      <c r="D887" t="str">
        <f>IF(B887="","",_xlfn.XLOOKUP(B887,'Orders Ledger'!$A:$A,'Orders Ledger'!$G:$G,""))</f>
        <v/>
      </c>
      <c r="E887" t="str">
        <f>IF(B887="","",_xlfn.XLOOKUP(B887,'Orders Ledger'!$A:$A,'Orders Ledger'!$H:$H,""))</f>
        <v/>
      </c>
      <c r="F887" t="str">
        <f>IF(B887="","",_xlfn.XLOOKUP(B887,'Orders Ledger'!$A:$A,'Orders Ledger'!$F:$F,""))</f>
        <v/>
      </c>
      <c r="G887" t="str">
        <f>IF(B887="","",_xlfn.XLOOKUP(B887,'Orders Ledger'!$A:$A,'Orders Ledger'!$N:$N,0))</f>
        <v/>
      </c>
    </row>
    <row r="888" spans="2:7" x14ac:dyDescent="0.3">
      <c r="B888" t="str">
        <f t="array" ref="B888">IFERROR(INDEX('Orders Ledger'!$A$2:$A$1501, SMALL(IF(('Orders Ledger'!$J$2:$J$1501="disputed")+('Orders Ledger'!$J$2:$J$1501="PENDING_REVIEW"), ROW('Orders Ledger'!$A$2:$A$1501)-ROW('Orders Ledger'!$A$2)+1), ROW(830:830))), "")</f>
        <v/>
      </c>
      <c r="C888" s="11" t="str">
        <f>IF(B888="","",_xlfn.XLOOKUP(B888,'Orders Ledger'!$A:$A,'Orders Ledger'!$B:$B,""))</f>
        <v/>
      </c>
      <c r="D888" t="str">
        <f>IF(B888="","",_xlfn.XLOOKUP(B888,'Orders Ledger'!$A:$A,'Orders Ledger'!$G:$G,""))</f>
        <v/>
      </c>
      <c r="E888" t="str">
        <f>IF(B888="","",_xlfn.XLOOKUP(B888,'Orders Ledger'!$A:$A,'Orders Ledger'!$H:$H,""))</f>
        <v/>
      </c>
      <c r="F888" t="str">
        <f>IF(B888="","",_xlfn.XLOOKUP(B888,'Orders Ledger'!$A:$A,'Orders Ledger'!$F:$F,""))</f>
        <v/>
      </c>
      <c r="G888" t="str">
        <f>IF(B888="","",_xlfn.XLOOKUP(B888,'Orders Ledger'!$A:$A,'Orders Ledger'!$N:$N,0))</f>
        <v/>
      </c>
    </row>
    <row r="889" spans="2:7" x14ac:dyDescent="0.3">
      <c r="B889" t="str">
        <f t="array" ref="B889">IFERROR(INDEX('Orders Ledger'!$A$2:$A$1501, SMALL(IF(('Orders Ledger'!$J$2:$J$1501="disputed")+('Orders Ledger'!$J$2:$J$1501="PENDING_REVIEW"), ROW('Orders Ledger'!$A$2:$A$1501)-ROW('Orders Ledger'!$A$2)+1), ROW(831:831))), "")</f>
        <v/>
      </c>
      <c r="C889" s="11" t="str">
        <f>IF(B889="","",_xlfn.XLOOKUP(B889,'Orders Ledger'!$A:$A,'Orders Ledger'!$B:$B,""))</f>
        <v/>
      </c>
      <c r="D889" t="str">
        <f>IF(B889="","",_xlfn.XLOOKUP(B889,'Orders Ledger'!$A:$A,'Orders Ledger'!$G:$G,""))</f>
        <v/>
      </c>
      <c r="E889" t="str">
        <f>IF(B889="","",_xlfn.XLOOKUP(B889,'Orders Ledger'!$A:$A,'Orders Ledger'!$H:$H,""))</f>
        <v/>
      </c>
      <c r="F889" t="str">
        <f>IF(B889="","",_xlfn.XLOOKUP(B889,'Orders Ledger'!$A:$A,'Orders Ledger'!$F:$F,""))</f>
        <v/>
      </c>
      <c r="G889" t="str">
        <f>IF(B889="","",_xlfn.XLOOKUP(B889,'Orders Ledger'!$A:$A,'Orders Ledger'!$N:$N,0))</f>
        <v/>
      </c>
    </row>
    <row r="890" spans="2:7" x14ac:dyDescent="0.3">
      <c r="B890" t="str">
        <f t="array" ref="B890">IFERROR(INDEX('Orders Ledger'!$A$2:$A$1501, SMALL(IF(('Orders Ledger'!$J$2:$J$1501="disputed")+('Orders Ledger'!$J$2:$J$1501="PENDING_REVIEW"), ROW('Orders Ledger'!$A$2:$A$1501)-ROW('Orders Ledger'!$A$2)+1), ROW(832:832))), "")</f>
        <v/>
      </c>
      <c r="C890" s="11" t="str">
        <f>IF(B890="","",_xlfn.XLOOKUP(B890,'Orders Ledger'!$A:$A,'Orders Ledger'!$B:$B,""))</f>
        <v/>
      </c>
      <c r="D890" t="str">
        <f>IF(B890="","",_xlfn.XLOOKUP(B890,'Orders Ledger'!$A:$A,'Orders Ledger'!$G:$G,""))</f>
        <v/>
      </c>
      <c r="E890" t="str">
        <f>IF(B890="","",_xlfn.XLOOKUP(B890,'Orders Ledger'!$A:$A,'Orders Ledger'!$H:$H,""))</f>
        <v/>
      </c>
      <c r="F890" t="str">
        <f>IF(B890="","",_xlfn.XLOOKUP(B890,'Orders Ledger'!$A:$A,'Orders Ledger'!$F:$F,""))</f>
        <v/>
      </c>
      <c r="G890" t="str">
        <f>IF(B890="","",_xlfn.XLOOKUP(B890,'Orders Ledger'!$A:$A,'Orders Ledger'!$N:$N,0))</f>
        <v/>
      </c>
    </row>
    <row r="891" spans="2:7" x14ac:dyDescent="0.3">
      <c r="B891" t="str">
        <f t="array" ref="B891">IFERROR(INDEX('Orders Ledger'!$A$2:$A$1501, SMALL(IF(('Orders Ledger'!$J$2:$J$1501="disputed")+('Orders Ledger'!$J$2:$J$1501="PENDING_REVIEW"), ROW('Orders Ledger'!$A$2:$A$1501)-ROW('Orders Ledger'!$A$2)+1), ROW(833:833))), "")</f>
        <v/>
      </c>
      <c r="C891" s="11" t="str">
        <f>IF(B891="","",_xlfn.XLOOKUP(B891,'Orders Ledger'!$A:$A,'Orders Ledger'!$B:$B,""))</f>
        <v/>
      </c>
      <c r="D891" t="str">
        <f>IF(B891="","",_xlfn.XLOOKUP(B891,'Orders Ledger'!$A:$A,'Orders Ledger'!$G:$G,""))</f>
        <v/>
      </c>
      <c r="E891" t="str">
        <f>IF(B891="","",_xlfn.XLOOKUP(B891,'Orders Ledger'!$A:$A,'Orders Ledger'!$H:$H,""))</f>
        <v/>
      </c>
      <c r="F891" t="str">
        <f>IF(B891="","",_xlfn.XLOOKUP(B891,'Orders Ledger'!$A:$A,'Orders Ledger'!$F:$F,""))</f>
        <v/>
      </c>
      <c r="G891" t="str">
        <f>IF(B891="","",_xlfn.XLOOKUP(B891,'Orders Ledger'!$A:$A,'Orders Ledger'!$N:$N,0))</f>
        <v/>
      </c>
    </row>
    <row r="892" spans="2:7" x14ac:dyDescent="0.3">
      <c r="B892" t="str">
        <f t="array" ref="B892">IFERROR(INDEX('Orders Ledger'!$A$2:$A$1501, SMALL(IF(('Orders Ledger'!$J$2:$J$1501="disputed")+('Orders Ledger'!$J$2:$J$1501="PENDING_REVIEW"), ROW('Orders Ledger'!$A$2:$A$1501)-ROW('Orders Ledger'!$A$2)+1), ROW(834:834))), "")</f>
        <v/>
      </c>
      <c r="C892" s="11" t="str">
        <f>IF(B892="","",_xlfn.XLOOKUP(B892,'Orders Ledger'!$A:$A,'Orders Ledger'!$B:$B,""))</f>
        <v/>
      </c>
      <c r="D892" t="str">
        <f>IF(B892="","",_xlfn.XLOOKUP(B892,'Orders Ledger'!$A:$A,'Orders Ledger'!$G:$G,""))</f>
        <v/>
      </c>
      <c r="E892" t="str">
        <f>IF(B892="","",_xlfn.XLOOKUP(B892,'Orders Ledger'!$A:$A,'Orders Ledger'!$H:$H,""))</f>
        <v/>
      </c>
      <c r="F892" t="str">
        <f>IF(B892="","",_xlfn.XLOOKUP(B892,'Orders Ledger'!$A:$A,'Orders Ledger'!$F:$F,""))</f>
        <v/>
      </c>
      <c r="G892" t="str">
        <f>IF(B892="","",_xlfn.XLOOKUP(B892,'Orders Ledger'!$A:$A,'Orders Ledger'!$N:$N,0))</f>
        <v/>
      </c>
    </row>
    <row r="893" spans="2:7" x14ac:dyDescent="0.3">
      <c r="B893" t="str">
        <f t="array" ref="B893">IFERROR(INDEX('Orders Ledger'!$A$2:$A$1501, SMALL(IF(('Orders Ledger'!$J$2:$J$1501="disputed")+('Orders Ledger'!$J$2:$J$1501="PENDING_REVIEW"), ROW('Orders Ledger'!$A$2:$A$1501)-ROW('Orders Ledger'!$A$2)+1), ROW(835:835))), "")</f>
        <v/>
      </c>
      <c r="C893" s="11" t="str">
        <f>IF(B893="","",_xlfn.XLOOKUP(B893,'Orders Ledger'!$A:$A,'Orders Ledger'!$B:$B,""))</f>
        <v/>
      </c>
      <c r="D893" t="str">
        <f>IF(B893="","",_xlfn.XLOOKUP(B893,'Orders Ledger'!$A:$A,'Orders Ledger'!$G:$G,""))</f>
        <v/>
      </c>
      <c r="E893" t="str">
        <f>IF(B893="","",_xlfn.XLOOKUP(B893,'Orders Ledger'!$A:$A,'Orders Ledger'!$H:$H,""))</f>
        <v/>
      </c>
      <c r="F893" t="str">
        <f>IF(B893="","",_xlfn.XLOOKUP(B893,'Orders Ledger'!$A:$A,'Orders Ledger'!$F:$F,""))</f>
        <v/>
      </c>
      <c r="G893" t="str">
        <f>IF(B893="","",_xlfn.XLOOKUP(B893,'Orders Ledger'!$A:$A,'Orders Ledger'!$N:$N,0))</f>
        <v/>
      </c>
    </row>
    <row r="894" spans="2:7" x14ac:dyDescent="0.3">
      <c r="B894" t="str">
        <f t="array" ref="B894">IFERROR(INDEX('Orders Ledger'!$A$2:$A$1501, SMALL(IF(('Orders Ledger'!$J$2:$J$1501="disputed")+('Orders Ledger'!$J$2:$J$1501="PENDING_REVIEW"), ROW('Orders Ledger'!$A$2:$A$1501)-ROW('Orders Ledger'!$A$2)+1), ROW(836:836))), "")</f>
        <v/>
      </c>
      <c r="C894" s="11" t="str">
        <f>IF(B894="","",_xlfn.XLOOKUP(B894,'Orders Ledger'!$A:$A,'Orders Ledger'!$B:$B,""))</f>
        <v/>
      </c>
      <c r="D894" t="str">
        <f>IF(B894="","",_xlfn.XLOOKUP(B894,'Orders Ledger'!$A:$A,'Orders Ledger'!$G:$G,""))</f>
        <v/>
      </c>
      <c r="E894" t="str">
        <f>IF(B894="","",_xlfn.XLOOKUP(B894,'Orders Ledger'!$A:$A,'Orders Ledger'!$H:$H,""))</f>
        <v/>
      </c>
      <c r="F894" t="str">
        <f>IF(B894="","",_xlfn.XLOOKUP(B894,'Orders Ledger'!$A:$A,'Orders Ledger'!$F:$F,""))</f>
        <v/>
      </c>
      <c r="G894" t="str">
        <f>IF(B894="","",_xlfn.XLOOKUP(B894,'Orders Ledger'!$A:$A,'Orders Ledger'!$N:$N,0))</f>
        <v/>
      </c>
    </row>
    <row r="895" spans="2:7" x14ac:dyDescent="0.3">
      <c r="B895" t="str">
        <f t="array" ref="B895">IFERROR(INDEX('Orders Ledger'!$A$2:$A$1501, SMALL(IF(('Orders Ledger'!$J$2:$J$1501="disputed")+('Orders Ledger'!$J$2:$J$1501="PENDING_REVIEW"), ROW('Orders Ledger'!$A$2:$A$1501)-ROW('Orders Ledger'!$A$2)+1), ROW(837:837))), "")</f>
        <v/>
      </c>
      <c r="C895" s="11" t="str">
        <f>IF(B895="","",_xlfn.XLOOKUP(B895,'Orders Ledger'!$A:$A,'Orders Ledger'!$B:$B,""))</f>
        <v/>
      </c>
      <c r="D895" t="str">
        <f>IF(B895="","",_xlfn.XLOOKUP(B895,'Orders Ledger'!$A:$A,'Orders Ledger'!$G:$G,""))</f>
        <v/>
      </c>
      <c r="E895" t="str">
        <f>IF(B895="","",_xlfn.XLOOKUP(B895,'Orders Ledger'!$A:$A,'Orders Ledger'!$H:$H,""))</f>
        <v/>
      </c>
      <c r="F895" t="str">
        <f>IF(B895="","",_xlfn.XLOOKUP(B895,'Orders Ledger'!$A:$A,'Orders Ledger'!$F:$F,""))</f>
        <v/>
      </c>
      <c r="G895" t="str">
        <f>IF(B895="","",_xlfn.XLOOKUP(B895,'Orders Ledger'!$A:$A,'Orders Ledger'!$N:$N,0))</f>
        <v/>
      </c>
    </row>
    <row r="896" spans="2:7" x14ac:dyDescent="0.3">
      <c r="B896" t="str">
        <f t="array" ref="B896">IFERROR(INDEX('Orders Ledger'!$A$2:$A$1501, SMALL(IF(('Orders Ledger'!$J$2:$J$1501="disputed")+('Orders Ledger'!$J$2:$J$1501="PENDING_REVIEW"), ROW('Orders Ledger'!$A$2:$A$1501)-ROW('Orders Ledger'!$A$2)+1), ROW(838:838))), "")</f>
        <v/>
      </c>
      <c r="C896" s="11" t="str">
        <f>IF(B896="","",_xlfn.XLOOKUP(B896,'Orders Ledger'!$A:$A,'Orders Ledger'!$B:$B,""))</f>
        <v/>
      </c>
      <c r="D896" t="str">
        <f>IF(B896="","",_xlfn.XLOOKUP(B896,'Orders Ledger'!$A:$A,'Orders Ledger'!$G:$G,""))</f>
        <v/>
      </c>
      <c r="E896" t="str">
        <f>IF(B896="","",_xlfn.XLOOKUP(B896,'Orders Ledger'!$A:$A,'Orders Ledger'!$H:$H,""))</f>
        <v/>
      </c>
      <c r="F896" t="str">
        <f>IF(B896="","",_xlfn.XLOOKUP(B896,'Orders Ledger'!$A:$A,'Orders Ledger'!$F:$F,""))</f>
        <v/>
      </c>
      <c r="G896" t="str">
        <f>IF(B896="","",_xlfn.XLOOKUP(B896,'Orders Ledger'!$A:$A,'Orders Ledger'!$N:$N,0))</f>
        <v/>
      </c>
    </row>
    <row r="897" spans="2:7" x14ac:dyDescent="0.3">
      <c r="B897" t="str">
        <f t="array" ref="B897">IFERROR(INDEX('Orders Ledger'!$A$2:$A$1501, SMALL(IF(('Orders Ledger'!$J$2:$J$1501="disputed")+('Orders Ledger'!$J$2:$J$1501="PENDING_REVIEW"), ROW('Orders Ledger'!$A$2:$A$1501)-ROW('Orders Ledger'!$A$2)+1), ROW(839:839))), "")</f>
        <v/>
      </c>
      <c r="C897" s="11" t="str">
        <f>IF(B897="","",_xlfn.XLOOKUP(B897,'Orders Ledger'!$A:$A,'Orders Ledger'!$B:$B,""))</f>
        <v/>
      </c>
      <c r="D897" t="str">
        <f>IF(B897="","",_xlfn.XLOOKUP(B897,'Orders Ledger'!$A:$A,'Orders Ledger'!$G:$G,""))</f>
        <v/>
      </c>
      <c r="E897" t="str">
        <f>IF(B897="","",_xlfn.XLOOKUP(B897,'Orders Ledger'!$A:$A,'Orders Ledger'!$H:$H,""))</f>
        <v/>
      </c>
      <c r="F897" t="str">
        <f>IF(B897="","",_xlfn.XLOOKUP(B897,'Orders Ledger'!$A:$A,'Orders Ledger'!$F:$F,""))</f>
        <v/>
      </c>
      <c r="G897" t="str">
        <f>IF(B897="","",_xlfn.XLOOKUP(B897,'Orders Ledger'!$A:$A,'Orders Ledger'!$N:$N,0))</f>
        <v/>
      </c>
    </row>
    <row r="898" spans="2:7" x14ac:dyDescent="0.3">
      <c r="B898" t="str">
        <f t="array" ref="B898">IFERROR(INDEX('Orders Ledger'!$A$2:$A$1501, SMALL(IF(('Orders Ledger'!$J$2:$J$1501="disputed")+('Orders Ledger'!$J$2:$J$1501="PENDING_REVIEW"), ROW('Orders Ledger'!$A$2:$A$1501)-ROW('Orders Ledger'!$A$2)+1), ROW(840:840))), "")</f>
        <v/>
      </c>
      <c r="C898" s="11" t="str">
        <f>IF(B898="","",_xlfn.XLOOKUP(B898,'Orders Ledger'!$A:$A,'Orders Ledger'!$B:$B,""))</f>
        <v/>
      </c>
      <c r="D898" t="str">
        <f>IF(B898="","",_xlfn.XLOOKUP(B898,'Orders Ledger'!$A:$A,'Orders Ledger'!$G:$G,""))</f>
        <v/>
      </c>
      <c r="E898" t="str">
        <f>IF(B898="","",_xlfn.XLOOKUP(B898,'Orders Ledger'!$A:$A,'Orders Ledger'!$H:$H,""))</f>
        <v/>
      </c>
      <c r="F898" t="str">
        <f>IF(B898="","",_xlfn.XLOOKUP(B898,'Orders Ledger'!$A:$A,'Orders Ledger'!$F:$F,""))</f>
        <v/>
      </c>
      <c r="G898" t="str">
        <f>IF(B898="","",_xlfn.XLOOKUP(B898,'Orders Ledger'!$A:$A,'Orders Ledger'!$N:$N,0))</f>
        <v/>
      </c>
    </row>
    <row r="899" spans="2:7" x14ac:dyDescent="0.3">
      <c r="B899" t="str">
        <f t="array" ref="B899">IFERROR(INDEX('Orders Ledger'!$A$2:$A$1501, SMALL(IF(('Orders Ledger'!$J$2:$J$1501="disputed")+('Orders Ledger'!$J$2:$J$1501="PENDING_REVIEW"), ROW('Orders Ledger'!$A$2:$A$1501)-ROW('Orders Ledger'!$A$2)+1), ROW(841:841))), "")</f>
        <v/>
      </c>
      <c r="C899" s="11" t="str">
        <f>IF(B899="","",_xlfn.XLOOKUP(B899,'Orders Ledger'!$A:$A,'Orders Ledger'!$B:$B,""))</f>
        <v/>
      </c>
      <c r="D899" t="str">
        <f>IF(B899="","",_xlfn.XLOOKUP(B899,'Orders Ledger'!$A:$A,'Orders Ledger'!$G:$G,""))</f>
        <v/>
      </c>
      <c r="E899" t="str">
        <f>IF(B899="","",_xlfn.XLOOKUP(B899,'Orders Ledger'!$A:$A,'Orders Ledger'!$H:$H,""))</f>
        <v/>
      </c>
      <c r="F899" t="str">
        <f>IF(B899="","",_xlfn.XLOOKUP(B899,'Orders Ledger'!$A:$A,'Orders Ledger'!$F:$F,""))</f>
        <v/>
      </c>
      <c r="G899" t="str">
        <f>IF(B899="","",_xlfn.XLOOKUP(B899,'Orders Ledger'!$A:$A,'Orders Ledger'!$N:$N,0))</f>
        <v/>
      </c>
    </row>
    <row r="900" spans="2:7" x14ac:dyDescent="0.3">
      <c r="B900" t="str">
        <f t="array" ref="B900">IFERROR(INDEX('Orders Ledger'!$A$2:$A$1501, SMALL(IF(('Orders Ledger'!$J$2:$J$1501="disputed")+('Orders Ledger'!$J$2:$J$1501="PENDING_REVIEW"), ROW('Orders Ledger'!$A$2:$A$1501)-ROW('Orders Ledger'!$A$2)+1), ROW(842:842))), "")</f>
        <v/>
      </c>
      <c r="C900" s="11" t="str">
        <f>IF(B900="","",_xlfn.XLOOKUP(B900,'Orders Ledger'!$A:$A,'Orders Ledger'!$B:$B,""))</f>
        <v/>
      </c>
      <c r="D900" t="str">
        <f>IF(B900="","",_xlfn.XLOOKUP(B900,'Orders Ledger'!$A:$A,'Orders Ledger'!$G:$G,""))</f>
        <v/>
      </c>
      <c r="E900" t="str">
        <f>IF(B900="","",_xlfn.XLOOKUP(B900,'Orders Ledger'!$A:$A,'Orders Ledger'!$H:$H,""))</f>
        <v/>
      </c>
      <c r="F900" t="str">
        <f>IF(B900="","",_xlfn.XLOOKUP(B900,'Orders Ledger'!$A:$A,'Orders Ledger'!$F:$F,""))</f>
        <v/>
      </c>
      <c r="G900" t="str">
        <f>IF(B900="","",_xlfn.XLOOKUP(B900,'Orders Ledger'!$A:$A,'Orders Ledger'!$N:$N,0))</f>
        <v/>
      </c>
    </row>
    <row r="901" spans="2:7" x14ac:dyDescent="0.3">
      <c r="B901" t="str">
        <f t="array" ref="B901">IFERROR(INDEX('Orders Ledger'!$A$2:$A$1501, SMALL(IF(('Orders Ledger'!$J$2:$J$1501="disputed")+('Orders Ledger'!$J$2:$J$1501="PENDING_REVIEW"), ROW('Orders Ledger'!$A$2:$A$1501)-ROW('Orders Ledger'!$A$2)+1), ROW(843:843))), "")</f>
        <v/>
      </c>
      <c r="C901" s="11" t="str">
        <f>IF(B901="","",_xlfn.XLOOKUP(B901,'Orders Ledger'!$A:$A,'Orders Ledger'!$B:$B,""))</f>
        <v/>
      </c>
      <c r="D901" t="str">
        <f>IF(B901="","",_xlfn.XLOOKUP(B901,'Orders Ledger'!$A:$A,'Orders Ledger'!$G:$G,""))</f>
        <v/>
      </c>
      <c r="E901" t="str">
        <f>IF(B901="","",_xlfn.XLOOKUP(B901,'Orders Ledger'!$A:$A,'Orders Ledger'!$H:$H,""))</f>
        <v/>
      </c>
      <c r="F901" t="str">
        <f>IF(B901="","",_xlfn.XLOOKUP(B901,'Orders Ledger'!$A:$A,'Orders Ledger'!$F:$F,""))</f>
        <v/>
      </c>
      <c r="G901" t="str">
        <f>IF(B901="","",_xlfn.XLOOKUP(B901,'Orders Ledger'!$A:$A,'Orders Ledger'!$N:$N,0))</f>
        <v/>
      </c>
    </row>
    <row r="902" spans="2:7" x14ac:dyDescent="0.3">
      <c r="B902" t="str">
        <f t="array" ref="B902">IFERROR(INDEX('Orders Ledger'!$A$2:$A$1501, SMALL(IF(('Orders Ledger'!$J$2:$J$1501="disputed")+('Orders Ledger'!$J$2:$J$1501="PENDING_REVIEW"), ROW('Orders Ledger'!$A$2:$A$1501)-ROW('Orders Ledger'!$A$2)+1), ROW(844:844))), "")</f>
        <v/>
      </c>
      <c r="C902" s="11" t="str">
        <f>IF(B902="","",_xlfn.XLOOKUP(B902,'Orders Ledger'!$A:$A,'Orders Ledger'!$B:$B,""))</f>
        <v/>
      </c>
      <c r="D902" t="str">
        <f>IF(B902="","",_xlfn.XLOOKUP(B902,'Orders Ledger'!$A:$A,'Orders Ledger'!$G:$G,""))</f>
        <v/>
      </c>
      <c r="E902" t="str">
        <f>IF(B902="","",_xlfn.XLOOKUP(B902,'Orders Ledger'!$A:$A,'Orders Ledger'!$H:$H,""))</f>
        <v/>
      </c>
      <c r="F902" t="str">
        <f>IF(B902="","",_xlfn.XLOOKUP(B902,'Orders Ledger'!$A:$A,'Orders Ledger'!$F:$F,""))</f>
        <v/>
      </c>
      <c r="G902" t="str">
        <f>IF(B902="","",_xlfn.XLOOKUP(B902,'Orders Ledger'!$A:$A,'Orders Ledger'!$N:$N,0))</f>
        <v/>
      </c>
    </row>
    <row r="903" spans="2:7" x14ac:dyDescent="0.3">
      <c r="B903" t="str">
        <f t="array" ref="B903">IFERROR(INDEX('Orders Ledger'!$A$2:$A$1501, SMALL(IF(('Orders Ledger'!$J$2:$J$1501="disputed")+('Orders Ledger'!$J$2:$J$1501="PENDING_REVIEW"), ROW('Orders Ledger'!$A$2:$A$1501)-ROW('Orders Ledger'!$A$2)+1), ROW(845:845))), "")</f>
        <v/>
      </c>
      <c r="C903" s="11" t="str">
        <f>IF(B903="","",_xlfn.XLOOKUP(B903,'Orders Ledger'!$A:$A,'Orders Ledger'!$B:$B,""))</f>
        <v/>
      </c>
      <c r="D903" t="str">
        <f>IF(B903="","",_xlfn.XLOOKUP(B903,'Orders Ledger'!$A:$A,'Orders Ledger'!$G:$G,""))</f>
        <v/>
      </c>
      <c r="E903" t="str">
        <f>IF(B903="","",_xlfn.XLOOKUP(B903,'Orders Ledger'!$A:$A,'Orders Ledger'!$H:$H,""))</f>
        <v/>
      </c>
      <c r="F903" t="str">
        <f>IF(B903="","",_xlfn.XLOOKUP(B903,'Orders Ledger'!$A:$A,'Orders Ledger'!$F:$F,""))</f>
        <v/>
      </c>
      <c r="G903" t="str">
        <f>IF(B903="","",_xlfn.XLOOKUP(B903,'Orders Ledger'!$A:$A,'Orders Ledger'!$N:$N,0))</f>
        <v/>
      </c>
    </row>
    <row r="904" spans="2:7" x14ac:dyDescent="0.3">
      <c r="B904" t="str">
        <f t="array" ref="B904">IFERROR(INDEX('Orders Ledger'!$A$2:$A$1501, SMALL(IF(('Orders Ledger'!$J$2:$J$1501="disputed")+('Orders Ledger'!$J$2:$J$1501="PENDING_REVIEW"), ROW('Orders Ledger'!$A$2:$A$1501)-ROW('Orders Ledger'!$A$2)+1), ROW(846:846))), "")</f>
        <v/>
      </c>
      <c r="C904" s="11" t="str">
        <f>IF(B904="","",_xlfn.XLOOKUP(B904,'Orders Ledger'!$A:$A,'Orders Ledger'!$B:$B,""))</f>
        <v/>
      </c>
      <c r="D904" t="str">
        <f>IF(B904="","",_xlfn.XLOOKUP(B904,'Orders Ledger'!$A:$A,'Orders Ledger'!$G:$G,""))</f>
        <v/>
      </c>
      <c r="E904" t="str">
        <f>IF(B904="","",_xlfn.XLOOKUP(B904,'Orders Ledger'!$A:$A,'Orders Ledger'!$H:$H,""))</f>
        <v/>
      </c>
      <c r="F904" t="str">
        <f>IF(B904="","",_xlfn.XLOOKUP(B904,'Orders Ledger'!$A:$A,'Orders Ledger'!$F:$F,""))</f>
        <v/>
      </c>
      <c r="G904" t="str">
        <f>IF(B904="","",_xlfn.XLOOKUP(B904,'Orders Ledger'!$A:$A,'Orders Ledger'!$N:$N,0))</f>
        <v/>
      </c>
    </row>
    <row r="905" spans="2:7" x14ac:dyDescent="0.3">
      <c r="B905" t="str">
        <f t="array" ref="B905">IFERROR(INDEX('Orders Ledger'!$A$2:$A$1501, SMALL(IF(('Orders Ledger'!$J$2:$J$1501="disputed")+('Orders Ledger'!$J$2:$J$1501="PENDING_REVIEW"), ROW('Orders Ledger'!$A$2:$A$1501)-ROW('Orders Ledger'!$A$2)+1), ROW(847:847))), "")</f>
        <v/>
      </c>
      <c r="C905" s="11" t="str">
        <f>IF(B905="","",_xlfn.XLOOKUP(B905,'Orders Ledger'!$A:$A,'Orders Ledger'!$B:$B,""))</f>
        <v/>
      </c>
      <c r="D905" t="str">
        <f>IF(B905="","",_xlfn.XLOOKUP(B905,'Orders Ledger'!$A:$A,'Orders Ledger'!$G:$G,""))</f>
        <v/>
      </c>
      <c r="E905" t="str">
        <f>IF(B905="","",_xlfn.XLOOKUP(B905,'Orders Ledger'!$A:$A,'Orders Ledger'!$H:$H,""))</f>
        <v/>
      </c>
      <c r="F905" t="str">
        <f>IF(B905="","",_xlfn.XLOOKUP(B905,'Orders Ledger'!$A:$A,'Orders Ledger'!$F:$F,""))</f>
        <v/>
      </c>
      <c r="G905" t="str">
        <f>IF(B905="","",_xlfn.XLOOKUP(B905,'Orders Ledger'!$A:$A,'Orders Ledger'!$N:$N,0))</f>
        <v/>
      </c>
    </row>
    <row r="906" spans="2:7" x14ac:dyDescent="0.3">
      <c r="B906" t="str">
        <f t="array" ref="B906">IFERROR(INDEX('Orders Ledger'!$A$2:$A$1501, SMALL(IF(('Orders Ledger'!$J$2:$J$1501="disputed")+('Orders Ledger'!$J$2:$J$1501="PENDING_REVIEW"), ROW('Orders Ledger'!$A$2:$A$1501)-ROW('Orders Ledger'!$A$2)+1), ROW(848:848))), "")</f>
        <v/>
      </c>
      <c r="C906" s="11" t="str">
        <f>IF(B906="","",_xlfn.XLOOKUP(B906,'Orders Ledger'!$A:$A,'Orders Ledger'!$B:$B,""))</f>
        <v/>
      </c>
      <c r="D906" t="str">
        <f>IF(B906="","",_xlfn.XLOOKUP(B906,'Orders Ledger'!$A:$A,'Orders Ledger'!$G:$G,""))</f>
        <v/>
      </c>
      <c r="E906" t="str">
        <f>IF(B906="","",_xlfn.XLOOKUP(B906,'Orders Ledger'!$A:$A,'Orders Ledger'!$H:$H,""))</f>
        <v/>
      </c>
      <c r="F906" t="str">
        <f>IF(B906="","",_xlfn.XLOOKUP(B906,'Orders Ledger'!$A:$A,'Orders Ledger'!$F:$F,""))</f>
        <v/>
      </c>
      <c r="G906" t="str">
        <f>IF(B906="","",_xlfn.XLOOKUP(B906,'Orders Ledger'!$A:$A,'Orders Ledger'!$N:$N,0))</f>
        <v/>
      </c>
    </row>
    <row r="907" spans="2:7" x14ac:dyDescent="0.3">
      <c r="B907" t="str">
        <f t="array" ref="B907">IFERROR(INDEX('Orders Ledger'!$A$2:$A$1501, SMALL(IF(('Orders Ledger'!$J$2:$J$1501="disputed")+('Orders Ledger'!$J$2:$J$1501="PENDING_REVIEW"), ROW('Orders Ledger'!$A$2:$A$1501)-ROW('Orders Ledger'!$A$2)+1), ROW(849:849))), "")</f>
        <v/>
      </c>
      <c r="C907" s="11" t="str">
        <f>IF(B907="","",_xlfn.XLOOKUP(B907,'Orders Ledger'!$A:$A,'Orders Ledger'!$B:$B,""))</f>
        <v/>
      </c>
      <c r="D907" t="str">
        <f>IF(B907="","",_xlfn.XLOOKUP(B907,'Orders Ledger'!$A:$A,'Orders Ledger'!$G:$G,""))</f>
        <v/>
      </c>
      <c r="E907" t="str">
        <f>IF(B907="","",_xlfn.XLOOKUP(B907,'Orders Ledger'!$A:$A,'Orders Ledger'!$H:$H,""))</f>
        <v/>
      </c>
      <c r="F907" t="str">
        <f>IF(B907="","",_xlfn.XLOOKUP(B907,'Orders Ledger'!$A:$A,'Orders Ledger'!$F:$F,""))</f>
        <v/>
      </c>
      <c r="G907" t="str">
        <f>IF(B907="","",_xlfn.XLOOKUP(B907,'Orders Ledger'!$A:$A,'Orders Ledger'!$N:$N,0))</f>
        <v/>
      </c>
    </row>
    <row r="908" spans="2:7" x14ac:dyDescent="0.3">
      <c r="B908" t="str">
        <f t="array" ref="B908">IFERROR(INDEX('Orders Ledger'!$A$2:$A$1501, SMALL(IF(('Orders Ledger'!$J$2:$J$1501="disputed")+('Orders Ledger'!$J$2:$J$1501="PENDING_REVIEW"), ROW('Orders Ledger'!$A$2:$A$1501)-ROW('Orders Ledger'!$A$2)+1), ROW(850:850))), "")</f>
        <v/>
      </c>
      <c r="C908" s="11" t="str">
        <f>IF(B908="","",_xlfn.XLOOKUP(B908,'Orders Ledger'!$A:$A,'Orders Ledger'!$B:$B,""))</f>
        <v/>
      </c>
      <c r="D908" t="str">
        <f>IF(B908="","",_xlfn.XLOOKUP(B908,'Orders Ledger'!$A:$A,'Orders Ledger'!$G:$G,""))</f>
        <v/>
      </c>
      <c r="E908" t="str">
        <f>IF(B908="","",_xlfn.XLOOKUP(B908,'Orders Ledger'!$A:$A,'Orders Ledger'!$H:$H,""))</f>
        <v/>
      </c>
      <c r="F908" t="str">
        <f>IF(B908="","",_xlfn.XLOOKUP(B908,'Orders Ledger'!$A:$A,'Orders Ledger'!$F:$F,""))</f>
        <v/>
      </c>
      <c r="G908" t="str">
        <f>IF(B908="","",_xlfn.XLOOKUP(B908,'Orders Ledger'!$A:$A,'Orders Ledger'!$N:$N,0))</f>
        <v/>
      </c>
    </row>
    <row r="909" spans="2:7" x14ac:dyDescent="0.3">
      <c r="B909" t="str">
        <f t="array" ref="B909">IFERROR(INDEX('Orders Ledger'!$A$2:$A$1501, SMALL(IF(('Orders Ledger'!$J$2:$J$1501="disputed")+('Orders Ledger'!$J$2:$J$1501="PENDING_REVIEW"), ROW('Orders Ledger'!$A$2:$A$1501)-ROW('Orders Ledger'!$A$2)+1), ROW(851:851))), "")</f>
        <v/>
      </c>
      <c r="C909" s="11" t="str">
        <f>IF(B909="","",_xlfn.XLOOKUP(B909,'Orders Ledger'!$A:$A,'Orders Ledger'!$B:$B,""))</f>
        <v/>
      </c>
      <c r="D909" t="str">
        <f>IF(B909="","",_xlfn.XLOOKUP(B909,'Orders Ledger'!$A:$A,'Orders Ledger'!$G:$G,""))</f>
        <v/>
      </c>
      <c r="E909" t="str">
        <f>IF(B909="","",_xlfn.XLOOKUP(B909,'Orders Ledger'!$A:$A,'Orders Ledger'!$H:$H,""))</f>
        <v/>
      </c>
      <c r="F909" t="str">
        <f>IF(B909="","",_xlfn.XLOOKUP(B909,'Orders Ledger'!$A:$A,'Orders Ledger'!$F:$F,""))</f>
        <v/>
      </c>
      <c r="G909" t="str">
        <f>IF(B909="","",_xlfn.XLOOKUP(B909,'Orders Ledger'!$A:$A,'Orders Ledger'!$N:$N,0))</f>
        <v/>
      </c>
    </row>
    <row r="910" spans="2:7" x14ac:dyDescent="0.3">
      <c r="B910" t="str">
        <f t="array" ref="B910">IFERROR(INDEX('Orders Ledger'!$A$2:$A$1501, SMALL(IF(('Orders Ledger'!$J$2:$J$1501="disputed")+('Orders Ledger'!$J$2:$J$1501="PENDING_REVIEW"), ROW('Orders Ledger'!$A$2:$A$1501)-ROW('Orders Ledger'!$A$2)+1), ROW(852:852))), "")</f>
        <v/>
      </c>
      <c r="C910" s="11" t="str">
        <f>IF(B910="","",_xlfn.XLOOKUP(B910,'Orders Ledger'!$A:$A,'Orders Ledger'!$B:$B,""))</f>
        <v/>
      </c>
      <c r="D910" t="str">
        <f>IF(B910="","",_xlfn.XLOOKUP(B910,'Orders Ledger'!$A:$A,'Orders Ledger'!$G:$G,""))</f>
        <v/>
      </c>
      <c r="E910" t="str">
        <f>IF(B910="","",_xlfn.XLOOKUP(B910,'Orders Ledger'!$A:$A,'Orders Ledger'!$H:$H,""))</f>
        <v/>
      </c>
      <c r="F910" t="str">
        <f>IF(B910="","",_xlfn.XLOOKUP(B910,'Orders Ledger'!$A:$A,'Orders Ledger'!$F:$F,""))</f>
        <v/>
      </c>
      <c r="G910" t="str">
        <f>IF(B910="","",_xlfn.XLOOKUP(B910,'Orders Ledger'!$A:$A,'Orders Ledger'!$N:$N,0))</f>
        <v/>
      </c>
    </row>
    <row r="911" spans="2:7" x14ac:dyDescent="0.3">
      <c r="B911" t="str">
        <f t="array" ref="B911">IFERROR(INDEX('Orders Ledger'!$A$2:$A$1501, SMALL(IF(('Orders Ledger'!$J$2:$J$1501="disputed")+('Orders Ledger'!$J$2:$J$1501="PENDING_REVIEW"), ROW('Orders Ledger'!$A$2:$A$1501)-ROW('Orders Ledger'!$A$2)+1), ROW(853:853))), "")</f>
        <v/>
      </c>
      <c r="C911" s="11" t="str">
        <f>IF(B911="","",_xlfn.XLOOKUP(B911,'Orders Ledger'!$A:$A,'Orders Ledger'!$B:$B,""))</f>
        <v/>
      </c>
      <c r="D911" t="str">
        <f>IF(B911="","",_xlfn.XLOOKUP(B911,'Orders Ledger'!$A:$A,'Orders Ledger'!$G:$G,""))</f>
        <v/>
      </c>
      <c r="E911" t="str">
        <f>IF(B911="","",_xlfn.XLOOKUP(B911,'Orders Ledger'!$A:$A,'Orders Ledger'!$H:$H,""))</f>
        <v/>
      </c>
      <c r="F911" t="str">
        <f>IF(B911="","",_xlfn.XLOOKUP(B911,'Orders Ledger'!$A:$A,'Orders Ledger'!$F:$F,""))</f>
        <v/>
      </c>
      <c r="G911" t="str">
        <f>IF(B911="","",_xlfn.XLOOKUP(B911,'Orders Ledger'!$A:$A,'Orders Ledger'!$N:$N,0))</f>
        <v/>
      </c>
    </row>
    <row r="912" spans="2:7" x14ac:dyDescent="0.3">
      <c r="B912" t="str">
        <f t="array" ref="B912">IFERROR(INDEX('Orders Ledger'!$A$2:$A$1501, SMALL(IF(('Orders Ledger'!$J$2:$J$1501="disputed")+('Orders Ledger'!$J$2:$J$1501="PENDING_REVIEW"), ROW('Orders Ledger'!$A$2:$A$1501)-ROW('Orders Ledger'!$A$2)+1), ROW(854:854))), "")</f>
        <v/>
      </c>
      <c r="C912" s="11" t="str">
        <f>IF(B912="","",_xlfn.XLOOKUP(B912,'Orders Ledger'!$A:$A,'Orders Ledger'!$B:$B,""))</f>
        <v/>
      </c>
      <c r="D912" t="str">
        <f>IF(B912="","",_xlfn.XLOOKUP(B912,'Orders Ledger'!$A:$A,'Orders Ledger'!$G:$G,""))</f>
        <v/>
      </c>
      <c r="E912" t="str">
        <f>IF(B912="","",_xlfn.XLOOKUP(B912,'Orders Ledger'!$A:$A,'Orders Ledger'!$H:$H,""))</f>
        <v/>
      </c>
      <c r="F912" t="str">
        <f>IF(B912="","",_xlfn.XLOOKUP(B912,'Orders Ledger'!$A:$A,'Orders Ledger'!$F:$F,""))</f>
        <v/>
      </c>
      <c r="G912" t="str">
        <f>IF(B912="","",_xlfn.XLOOKUP(B912,'Orders Ledger'!$A:$A,'Orders Ledger'!$N:$N,0))</f>
        <v/>
      </c>
    </row>
    <row r="913" spans="2:7" x14ac:dyDescent="0.3">
      <c r="B913" t="str">
        <f t="array" ref="B913">IFERROR(INDEX('Orders Ledger'!$A$2:$A$1501, SMALL(IF(('Orders Ledger'!$J$2:$J$1501="disputed")+('Orders Ledger'!$J$2:$J$1501="PENDING_REVIEW"), ROW('Orders Ledger'!$A$2:$A$1501)-ROW('Orders Ledger'!$A$2)+1), ROW(855:855))), "")</f>
        <v/>
      </c>
      <c r="C913" s="11" t="str">
        <f>IF(B913="","",_xlfn.XLOOKUP(B913,'Orders Ledger'!$A:$A,'Orders Ledger'!$B:$B,""))</f>
        <v/>
      </c>
      <c r="D913" t="str">
        <f>IF(B913="","",_xlfn.XLOOKUP(B913,'Orders Ledger'!$A:$A,'Orders Ledger'!$G:$G,""))</f>
        <v/>
      </c>
      <c r="E913" t="str">
        <f>IF(B913="","",_xlfn.XLOOKUP(B913,'Orders Ledger'!$A:$A,'Orders Ledger'!$H:$H,""))</f>
        <v/>
      </c>
      <c r="F913" t="str">
        <f>IF(B913="","",_xlfn.XLOOKUP(B913,'Orders Ledger'!$A:$A,'Orders Ledger'!$F:$F,""))</f>
        <v/>
      </c>
      <c r="G913" t="str">
        <f>IF(B913="","",_xlfn.XLOOKUP(B913,'Orders Ledger'!$A:$A,'Orders Ledger'!$N:$N,0))</f>
        <v/>
      </c>
    </row>
    <row r="914" spans="2:7" x14ac:dyDescent="0.3">
      <c r="B914" t="str">
        <f t="array" ref="B914">IFERROR(INDEX('Orders Ledger'!$A$2:$A$1501, SMALL(IF(('Orders Ledger'!$J$2:$J$1501="disputed")+('Orders Ledger'!$J$2:$J$1501="PENDING_REVIEW"), ROW('Orders Ledger'!$A$2:$A$1501)-ROW('Orders Ledger'!$A$2)+1), ROW(856:856))), "")</f>
        <v/>
      </c>
      <c r="C914" s="11" t="str">
        <f>IF(B914="","",_xlfn.XLOOKUP(B914,'Orders Ledger'!$A:$A,'Orders Ledger'!$B:$B,""))</f>
        <v/>
      </c>
      <c r="D914" t="str">
        <f>IF(B914="","",_xlfn.XLOOKUP(B914,'Orders Ledger'!$A:$A,'Orders Ledger'!$G:$G,""))</f>
        <v/>
      </c>
      <c r="E914" t="str">
        <f>IF(B914="","",_xlfn.XLOOKUP(B914,'Orders Ledger'!$A:$A,'Orders Ledger'!$H:$H,""))</f>
        <v/>
      </c>
      <c r="F914" t="str">
        <f>IF(B914="","",_xlfn.XLOOKUP(B914,'Orders Ledger'!$A:$A,'Orders Ledger'!$F:$F,""))</f>
        <v/>
      </c>
      <c r="G914" t="str">
        <f>IF(B914="","",_xlfn.XLOOKUP(B914,'Orders Ledger'!$A:$A,'Orders Ledger'!$N:$N,0))</f>
        <v/>
      </c>
    </row>
    <row r="915" spans="2:7" x14ac:dyDescent="0.3">
      <c r="B915" t="str">
        <f t="array" ref="B915">IFERROR(INDEX('Orders Ledger'!$A$2:$A$1501, SMALL(IF(('Orders Ledger'!$J$2:$J$1501="disputed")+('Orders Ledger'!$J$2:$J$1501="PENDING_REVIEW"), ROW('Orders Ledger'!$A$2:$A$1501)-ROW('Orders Ledger'!$A$2)+1), ROW(857:857))), "")</f>
        <v/>
      </c>
      <c r="C915" s="11" t="str">
        <f>IF(B915="","",_xlfn.XLOOKUP(B915,'Orders Ledger'!$A:$A,'Orders Ledger'!$B:$B,""))</f>
        <v/>
      </c>
      <c r="D915" t="str">
        <f>IF(B915="","",_xlfn.XLOOKUP(B915,'Orders Ledger'!$A:$A,'Orders Ledger'!$G:$G,""))</f>
        <v/>
      </c>
      <c r="E915" t="str">
        <f>IF(B915="","",_xlfn.XLOOKUP(B915,'Orders Ledger'!$A:$A,'Orders Ledger'!$H:$H,""))</f>
        <v/>
      </c>
      <c r="F915" t="str">
        <f>IF(B915="","",_xlfn.XLOOKUP(B915,'Orders Ledger'!$A:$A,'Orders Ledger'!$F:$F,""))</f>
        <v/>
      </c>
      <c r="G915" t="str">
        <f>IF(B915="","",_xlfn.XLOOKUP(B915,'Orders Ledger'!$A:$A,'Orders Ledger'!$N:$N,0))</f>
        <v/>
      </c>
    </row>
    <row r="916" spans="2:7" x14ac:dyDescent="0.3">
      <c r="B916" t="str">
        <f t="array" ref="B916">IFERROR(INDEX('Orders Ledger'!$A$2:$A$1501, SMALL(IF(('Orders Ledger'!$J$2:$J$1501="disputed")+('Orders Ledger'!$J$2:$J$1501="PENDING_REVIEW"), ROW('Orders Ledger'!$A$2:$A$1501)-ROW('Orders Ledger'!$A$2)+1), ROW(858:858))), "")</f>
        <v/>
      </c>
      <c r="C916" s="11" t="str">
        <f>IF(B916="","",_xlfn.XLOOKUP(B916,'Orders Ledger'!$A:$A,'Orders Ledger'!$B:$B,""))</f>
        <v/>
      </c>
      <c r="D916" t="str">
        <f>IF(B916="","",_xlfn.XLOOKUP(B916,'Orders Ledger'!$A:$A,'Orders Ledger'!$G:$G,""))</f>
        <v/>
      </c>
      <c r="E916" t="str">
        <f>IF(B916="","",_xlfn.XLOOKUP(B916,'Orders Ledger'!$A:$A,'Orders Ledger'!$H:$H,""))</f>
        <v/>
      </c>
      <c r="F916" t="str">
        <f>IF(B916="","",_xlfn.XLOOKUP(B916,'Orders Ledger'!$A:$A,'Orders Ledger'!$F:$F,""))</f>
        <v/>
      </c>
      <c r="G916" t="str">
        <f>IF(B916="","",_xlfn.XLOOKUP(B916,'Orders Ledger'!$A:$A,'Orders Ledger'!$N:$N,0))</f>
        <v/>
      </c>
    </row>
    <row r="917" spans="2:7" x14ac:dyDescent="0.3">
      <c r="B917" t="str">
        <f t="array" ref="B917">IFERROR(INDEX('Orders Ledger'!$A$2:$A$1501, SMALL(IF(('Orders Ledger'!$J$2:$J$1501="disputed")+('Orders Ledger'!$J$2:$J$1501="PENDING_REVIEW"), ROW('Orders Ledger'!$A$2:$A$1501)-ROW('Orders Ledger'!$A$2)+1), ROW(859:859))), "")</f>
        <v/>
      </c>
      <c r="C917" s="11" t="str">
        <f>IF(B917="","",_xlfn.XLOOKUP(B917,'Orders Ledger'!$A:$A,'Orders Ledger'!$B:$B,""))</f>
        <v/>
      </c>
      <c r="D917" t="str">
        <f>IF(B917="","",_xlfn.XLOOKUP(B917,'Orders Ledger'!$A:$A,'Orders Ledger'!$G:$G,""))</f>
        <v/>
      </c>
      <c r="E917" t="str">
        <f>IF(B917="","",_xlfn.XLOOKUP(B917,'Orders Ledger'!$A:$A,'Orders Ledger'!$H:$H,""))</f>
        <v/>
      </c>
      <c r="F917" t="str">
        <f>IF(B917="","",_xlfn.XLOOKUP(B917,'Orders Ledger'!$A:$A,'Orders Ledger'!$F:$F,""))</f>
        <v/>
      </c>
      <c r="G917" t="str">
        <f>IF(B917="","",_xlfn.XLOOKUP(B917,'Orders Ledger'!$A:$A,'Orders Ledger'!$N:$N,0))</f>
        <v/>
      </c>
    </row>
    <row r="918" spans="2:7" x14ac:dyDescent="0.3">
      <c r="B918" t="str">
        <f t="array" ref="B918">IFERROR(INDEX('Orders Ledger'!$A$2:$A$1501, SMALL(IF(('Orders Ledger'!$J$2:$J$1501="disputed")+('Orders Ledger'!$J$2:$J$1501="PENDING_REVIEW"), ROW('Orders Ledger'!$A$2:$A$1501)-ROW('Orders Ledger'!$A$2)+1), ROW(860:860))), "")</f>
        <v/>
      </c>
      <c r="C918" s="11" t="str">
        <f>IF(B918="","",_xlfn.XLOOKUP(B918,'Orders Ledger'!$A:$A,'Orders Ledger'!$B:$B,""))</f>
        <v/>
      </c>
      <c r="D918" t="str">
        <f>IF(B918="","",_xlfn.XLOOKUP(B918,'Orders Ledger'!$A:$A,'Orders Ledger'!$G:$G,""))</f>
        <v/>
      </c>
      <c r="E918" t="str">
        <f>IF(B918="","",_xlfn.XLOOKUP(B918,'Orders Ledger'!$A:$A,'Orders Ledger'!$H:$H,""))</f>
        <v/>
      </c>
      <c r="F918" t="str">
        <f>IF(B918="","",_xlfn.XLOOKUP(B918,'Orders Ledger'!$A:$A,'Orders Ledger'!$F:$F,""))</f>
        <v/>
      </c>
      <c r="G918" t="str">
        <f>IF(B918="","",_xlfn.XLOOKUP(B918,'Orders Ledger'!$A:$A,'Orders Ledger'!$N:$N,0))</f>
        <v/>
      </c>
    </row>
    <row r="919" spans="2:7" x14ac:dyDescent="0.3">
      <c r="B919" t="str">
        <f t="array" ref="B919">IFERROR(INDEX('Orders Ledger'!$A$2:$A$1501, SMALL(IF(('Orders Ledger'!$J$2:$J$1501="disputed")+('Orders Ledger'!$J$2:$J$1501="PENDING_REVIEW"), ROW('Orders Ledger'!$A$2:$A$1501)-ROW('Orders Ledger'!$A$2)+1), ROW(861:861))), "")</f>
        <v/>
      </c>
      <c r="C919" s="11" t="str">
        <f>IF(B919="","",_xlfn.XLOOKUP(B919,'Orders Ledger'!$A:$A,'Orders Ledger'!$B:$B,""))</f>
        <v/>
      </c>
      <c r="D919" t="str">
        <f>IF(B919="","",_xlfn.XLOOKUP(B919,'Orders Ledger'!$A:$A,'Orders Ledger'!$G:$G,""))</f>
        <v/>
      </c>
      <c r="E919" t="str">
        <f>IF(B919="","",_xlfn.XLOOKUP(B919,'Orders Ledger'!$A:$A,'Orders Ledger'!$H:$H,""))</f>
        <v/>
      </c>
      <c r="F919" t="str">
        <f>IF(B919="","",_xlfn.XLOOKUP(B919,'Orders Ledger'!$A:$A,'Orders Ledger'!$F:$F,""))</f>
        <v/>
      </c>
      <c r="G919" t="str">
        <f>IF(B919="","",_xlfn.XLOOKUP(B919,'Orders Ledger'!$A:$A,'Orders Ledger'!$N:$N,0))</f>
        <v/>
      </c>
    </row>
    <row r="920" spans="2:7" x14ac:dyDescent="0.3">
      <c r="B920" t="str">
        <f t="array" ref="B920">IFERROR(INDEX('Orders Ledger'!$A$2:$A$1501, SMALL(IF(('Orders Ledger'!$J$2:$J$1501="disputed")+('Orders Ledger'!$J$2:$J$1501="PENDING_REVIEW"), ROW('Orders Ledger'!$A$2:$A$1501)-ROW('Orders Ledger'!$A$2)+1), ROW(862:862))), "")</f>
        <v/>
      </c>
      <c r="C920" s="11" t="str">
        <f>IF(B920="","",_xlfn.XLOOKUP(B920,'Orders Ledger'!$A:$A,'Orders Ledger'!$B:$B,""))</f>
        <v/>
      </c>
      <c r="D920" t="str">
        <f>IF(B920="","",_xlfn.XLOOKUP(B920,'Orders Ledger'!$A:$A,'Orders Ledger'!$G:$G,""))</f>
        <v/>
      </c>
      <c r="E920" t="str">
        <f>IF(B920="","",_xlfn.XLOOKUP(B920,'Orders Ledger'!$A:$A,'Orders Ledger'!$H:$H,""))</f>
        <v/>
      </c>
      <c r="F920" t="str">
        <f>IF(B920="","",_xlfn.XLOOKUP(B920,'Orders Ledger'!$A:$A,'Orders Ledger'!$F:$F,""))</f>
        <v/>
      </c>
      <c r="G920" t="str">
        <f>IF(B920="","",_xlfn.XLOOKUP(B920,'Orders Ledger'!$A:$A,'Orders Ledger'!$N:$N,0))</f>
        <v/>
      </c>
    </row>
    <row r="921" spans="2:7" x14ac:dyDescent="0.3">
      <c r="B921" t="str">
        <f t="array" ref="B921">IFERROR(INDEX('Orders Ledger'!$A$2:$A$1501, SMALL(IF(('Orders Ledger'!$J$2:$J$1501="disputed")+('Orders Ledger'!$J$2:$J$1501="PENDING_REVIEW"), ROW('Orders Ledger'!$A$2:$A$1501)-ROW('Orders Ledger'!$A$2)+1), ROW(863:863))), "")</f>
        <v/>
      </c>
      <c r="C921" s="11" t="str">
        <f>IF(B921="","",_xlfn.XLOOKUP(B921,'Orders Ledger'!$A:$A,'Orders Ledger'!$B:$B,""))</f>
        <v/>
      </c>
      <c r="D921" t="str">
        <f>IF(B921="","",_xlfn.XLOOKUP(B921,'Orders Ledger'!$A:$A,'Orders Ledger'!$G:$G,""))</f>
        <v/>
      </c>
      <c r="E921" t="str">
        <f>IF(B921="","",_xlfn.XLOOKUP(B921,'Orders Ledger'!$A:$A,'Orders Ledger'!$H:$H,""))</f>
        <v/>
      </c>
      <c r="F921" t="str">
        <f>IF(B921="","",_xlfn.XLOOKUP(B921,'Orders Ledger'!$A:$A,'Orders Ledger'!$F:$F,""))</f>
        <v/>
      </c>
      <c r="G921" t="str">
        <f>IF(B921="","",_xlfn.XLOOKUP(B921,'Orders Ledger'!$A:$A,'Orders Ledger'!$N:$N,0))</f>
        <v/>
      </c>
    </row>
    <row r="922" spans="2:7" x14ac:dyDescent="0.3">
      <c r="B922" t="str">
        <f t="array" ref="B922">IFERROR(INDEX('Orders Ledger'!$A$2:$A$1501, SMALL(IF(('Orders Ledger'!$J$2:$J$1501="disputed")+('Orders Ledger'!$J$2:$J$1501="PENDING_REVIEW"), ROW('Orders Ledger'!$A$2:$A$1501)-ROW('Orders Ledger'!$A$2)+1), ROW(864:864))), "")</f>
        <v/>
      </c>
      <c r="C922" s="11" t="str">
        <f>IF(B922="","",_xlfn.XLOOKUP(B922,'Orders Ledger'!$A:$A,'Orders Ledger'!$B:$B,""))</f>
        <v/>
      </c>
      <c r="D922" t="str">
        <f>IF(B922="","",_xlfn.XLOOKUP(B922,'Orders Ledger'!$A:$A,'Orders Ledger'!$G:$G,""))</f>
        <v/>
      </c>
      <c r="E922" t="str">
        <f>IF(B922="","",_xlfn.XLOOKUP(B922,'Orders Ledger'!$A:$A,'Orders Ledger'!$H:$H,""))</f>
        <v/>
      </c>
      <c r="F922" t="str">
        <f>IF(B922="","",_xlfn.XLOOKUP(B922,'Orders Ledger'!$A:$A,'Orders Ledger'!$F:$F,""))</f>
        <v/>
      </c>
      <c r="G922" t="str">
        <f>IF(B922="","",_xlfn.XLOOKUP(B922,'Orders Ledger'!$A:$A,'Orders Ledger'!$N:$N,0))</f>
        <v/>
      </c>
    </row>
    <row r="923" spans="2:7" x14ac:dyDescent="0.3">
      <c r="B923" t="str">
        <f t="array" ref="B923">IFERROR(INDEX('Orders Ledger'!$A$2:$A$1501, SMALL(IF(('Orders Ledger'!$J$2:$J$1501="disputed")+('Orders Ledger'!$J$2:$J$1501="PENDING_REVIEW"), ROW('Orders Ledger'!$A$2:$A$1501)-ROW('Orders Ledger'!$A$2)+1), ROW(865:865))), "")</f>
        <v/>
      </c>
      <c r="C923" s="11" t="str">
        <f>IF(B923="","",_xlfn.XLOOKUP(B923,'Orders Ledger'!$A:$A,'Orders Ledger'!$B:$B,""))</f>
        <v/>
      </c>
      <c r="D923" t="str">
        <f>IF(B923="","",_xlfn.XLOOKUP(B923,'Orders Ledger'!$A:$A,'Orders Ledger'!$G:$G,""))</f>
        <v/>
      </c>
      <c r="E923" t="str">
        <f>IF(B923="","",_xlfn.XLOOKUP(B923,'Orders Ledger'!$A:$A,'Orders Ledger'!$H:$H,""))</f>
        <v/>
      </c>
      <c r="F923" t="str">
        <f>IF(B923="","",_xlfn.XLOOKUP(B923,'Orders Ledger'!$A:$A,'Orders Ledger'!$F:$F,""))</f>
        <v/>
      </c>
      <c r="G923" t="str">
        <f>IF(B923="","",_xlfn.XLOOKUP(B923,'Orders Ledger'!$A:$A,'Orders Ledger'!$N:$N,0))</f>
        <v/>
      </c>
    </row>
    <row r="924" spans="2:7" x14ac:dyDescent="0.3">
      <c r="B924" t="str">
        <f t="array" ref="B924">IFERROR(INDEX('Orders Ledger'!$A$2:$A$1501, SMALL(IF(('Orders Ledger'!$J$2:$J$1501="disputed")+('Orders Ledger'!$J$2:$J$1501="PENDING_REVIEW"), ROW('Orders Ledger'!$A$2:$A$1501)-ROW('Orders Ledger'!$A$2)+1), ROW(866:866))), "")</f>
        <v/>
      </c>
      <c r="C924" s="11" t="str">
        <f>IF(B924="","",_xlfn.XLOOKUP(B924,'Orders Ledger'!$A:$A,'Orders Ledger'!$B:$B,""))</f>
        <v/>
      </c>
      <c r="D924" t="str">
        <f>IF(B924="","",_xlfn.XLOOKUP(B924,'Orders Ledger'!$A:$A,'Orders Ledger'!$G:$G,""))</f>
        <v/>
      </c>
      <c r="E924" t="str">
        <f>IF(B924="","",_xlfn.XLOOKUP(B924,'Orders Ledger'!$A:$A,'Orders Ledger'!$H:$H,""))</f>
        <v/>
      </c>
      <c r="F924" t="str">
        <f>IF(B924="","",_xlfn.XLOOKUP(B924,'Orders Ledger'!$A:$A,'Orders Ledger'!$F:$F,""))</f>
        <v/>
      </c>
      <c r="G924" t="str">
        <f>IF(B924="","",_xlfn.XLOOKUP(B924,'Orders Ledger'!$A:$A,'Orders Ledger'!$N:$N,0))</f>
        <v/>
      </c>
    </row>
    <row r="925" spans="2:7" x14ac:dyDescent="0.3">
      <c r="B925" t="str">
        <f t="array" ref="B925">IFERROR(INDEX('Orders Ledger'!$A$2:$A$1501, SMALL(IF(('Orders Ledger'!$J$2:$J$1501="disputed")+('Orders Ledger'!$J$2:$J$1501="PENDING_REVIEW"), ROW('Orders Ledger'!$A$2:$A$1501)-ROW('Orders Ledger'!$A$2)+1), ROW(867:867))), "")</f>
        <v/>
      </c>
      <c r="C925" s="11" t="str">
        <f>IF(B925="","",_xlfn.XLOOKUP(B925,'Orders Ledger'!$A:$A,'Orders Ledger'!$B:$B,""))</f>
        <v/>
      </c>
      <c r="D925" t="str">
        <f>IF(B925="","",_xlfn.XLOOKUP(B925,'Orders Ledger'!$A:$A,'Orders Ledger'!$G:$G,""))</f>
        <v/>
      </c>
      <c r="E925" t="str">
        <f>IF(B925="","",_xlfn.XLOOKUP(B925,'Orders Ledger'!$A:$A,'Orders Ledger'!$H:$H,""))</f>
        <v/>
      </c>
      <c r="F925" t="str">
        <f>IF(B925="","",_xlfn.XLOOKUP(B925,'Orders Ledger'!$A:$A,'Orders Ledger'!$F:$F,""))</f>
        <v/>
      </c>
      <c r="G925" t="str">
        <f>IF(B925="","",_xlfn.XLOOKUP(B925,'Orders Ledger'!$A:$A,'Orders Ledger'!$N:$N,0))</f>
        <v/>
      </c>
    </row>
    <row r="926" spans="2:7" x14ac:dyDescent="0.3">
      <c r="B926" t="str">
        <f t="array" ref="B926">IFERROR(INDEX('Orders Ledger'!$A$2:$A$1501, SMALL(IF(('Orders Ledger'!$J$2:$J$1501="disputed")+('Orders Ledger'!$J$2:$J$1501="PENDING_REVIEW"), ROW('Orders Ledger'!$A$2:$A$1501)-ROW('Orders Ledger'!$A$2)+1), ROW(868:868))), "")</f>
        <v/>
      </c>
      <c r="C926" s="11" t="str">
        <f>IF(B926="","",_xlfn.XLOOKUP(B926,'Orders Ledger'!$A:$A,'Orders Ledger'!$B:$B,""))</f>
        <v/>
      </c>
      <c r="D926" t="str">
        <f>IF(B926="","",_xlfn.XLOOKUP(B926,'Orders Ledger'!$A:$A,'Orders Ledger'!$G:$G,""))</f>
        <v/>
      </c>
      <c r="E926" t="str">
        <f>IF(B926="","",_xlfn.XLOOKUP(B926,'Orders Ledger'!$A:$A,'Orders Ledger'!$H:$H,""))</f>
        <v/>
      </c>
      <c r="F926" t="str">
        <f>IF(B926="","",_xlfn.XLOOKUP(B926,'Orders Ledger'!$A:$A,'Orders Ledger'!$F:$F,""))</f>
        <v/>
      </c>
      <c r="G926" t="str">
        <f>IF(B926="","",_xlfn.XLOOKUP(B926,'Orders Ledger'!$A:$A,'Orders Ledger'!$N:$N,0))</f>
        <v/>
      </c>
    </row>
    <row r="927" spans="2:7" x14ac:dyDescent="0.3">
      <c r="B927" t="str">
        <f t="array" ref="B927">IFERROR(INDEX('Orders Ledger'!$A$2:$A$1501, SMALL(IF(('Orders Ledger'!$J$2:$J$1501="disputed")+('Orders Ledger'!$J$2:$J$1501="PENDING_REVIEW"), ROW('Orders Ledger'!$A$2:$A$1501)-ROW('Orders Ledger'!$A$2)+1), ROW(869:869))), "")</f>
        <v/>
      </c>
      <c r="C927" s="11" t="str">
        <f>IF(B927="","",_xlfn.XLOOKUP(B927,'Orders Ledger'!$A:$A,'Orders Ledger'!$B:$B,""))</f>
        <v/>
      </c>
      <c r="D927" t="str">
        <f>IF(B927="","",_xlfn.XLOOKUP(B927,'Orders Ledger'!$A:$A,'Orders Ledger'!$G:$G,""))</f>
        <v/>
      </c>
      <c r="E927" t="str">
        <f>IF(B927="","",_xlfn.XLOOKUP(B927,'Orders Ledger'!$A:$A,'Orders Ledger'!$H:$H,""))</f>
        <v/>
      </c>
      <c r="F927" t="str">
        <f>IF(B927="","",_xlfn.XLOOKUP(B927,'Orders Ledger'!$A:$A,'Orders Ledger'!$F:$F,""))</f>
        <v/>
      </c>
      <c r="G927" t="str">
        <f>IF(B927="","",_xlfn.XLOOKUP(B927,'Orders Ledger'!$A:$A,'Orders Ledger'!$N:$N,0))</f>
        <v/>
      </c>
    </row>
    <row r="928" spans="2:7" x14ac:dyDescent="0.3">
      <c r="B928" t="str">
        <f t="array" ref="B928">IFERROR(INDEX('Orders Ledger'!$A$2:$A$1501, SMALL(IF(('Orders Ledger'!$J$2:$J$1501="disputed")+('Orders Ledger'!$J$2:$J$1501="PENDING_REVIEW"), ROW('Orders Ledger'!$A$2:$A$1501)-ROW('Orders Ledger'!$A$2)+1), ROW(870:870))), "")</f>
        <v/>
      </c>
      <c r="C928" s="11" t="str">
        <f>IF(B928="","",_xlfn.XLOOKUP(B928,'Orders Ledger'!$A:$A,'Orders Ledger'!$B:$B,""))</f>
        <v/>
      </c>
      <c r="D928" t="str">
        <f>IF(B928="","",_xlfn.XLOOKUP(B928,'Orders Ledger'!$A:$A,'Orders Ledger'!$G:$G,""))</f>
        <v/>
      </c>
      <c r="E928" t="str">
        <f>IF(B928="","",_xlfn.XLOOKUP(B928,'Orders Ledger'!$A:$A,'Orders Ledger'!$H:$H,""))</f>
        <v/>
      </c>
      <c r="F928" t="str">
        <f>IF(B928="","",_xlfn.XLOOKUP(B928,'Orders Ledger'!$A:$A,'Orders Ledger'!$F:$F,""))</f>
        <v/>
      </c>
      <c r="G928" t="str">
        <f>IF(B928="","",_xlfn.XLOOKUP(B928,'Orders Ledger'!$A:$A,'Orders Ledger'!$N:$N,0))</f>
        <v/>
      </c>
    </row>
    <row r="929" spans="2:7" x14ac:dyDescent="0.3">
      <c r="B929" t="str">
        <f t="array" ref="B929">IFERROR(INDEX('Orders Ledger'!$A$2:$A$1501, SMALL(IF(('Orders Ledger'!$J$2:$J$1501="disputed")+('Orders Ledger'!$J$2:$J$1501="PENDING_REVIEW"), ROW('Orders Ledger'!$A$2:$A$1501)-ROW('Orders Ledger'!$A$2)+1), ROW(871:871))), "")</f>
        <v/>
      </c>
      <c r="C929" s="11" t="str">
        <f>IF(B929="","",_xlfn.XLOOKUP(B929,'Orders Ledger'!$A:$A,'Orders Ledger'!$B:$B,""))</f>
        <v/>
      </c>
      <c r="D929" t="str">
        <f>IF(B929="","",_xlfn.XLOOKUP(B929,'Orders Ledger'!$A:$A,'Orders Ledger'!$G:$G,""))</f>
        <v/>
      </c>
      <c r="E929" t="str">
        <f>IF(B929="","",_xlfn.XLOOKUP(B929,'Orders Ledger'!$A:$A,'Orders Ledger'!$H:$H,""))</f>
        <v/>
      </c>
      <c r="F929" t="str">
        <f>IF(B929="","",_xlfn.XLOOKUP(B929,'Orders Ledger'!$A:$A,'Orders Ledger'!$F:$F,""))</f>
        <v/>
      </c>
      <c r="G929" t="str">
        <f>IF(B929="","",_xlfn.XLOOKUP(B929,'Orders Ledger'!$A:$A,'Orders Ledger'!$N:$N,0))</f>
        <v/>
      </c>
    </row>
    <row r="930" spans="2:7" x14ac:dyDescent="0.3">
      <c r="B930" t="str">
        <f t="array" ref="B930">IFERROR(INDEX('Orders Ledger'!$A$2:$A$1501, SMALL(IF(('Orders Ledger'!$J$2:$J$1501="disputed")+('Orders Ledger'!$J$2:$J$1501="PENDING_REVIEW"), ROW('Orders Ledger'!$A$2:$A$1501)-ROW('Orders Ledger'!$A$2)+1), ROW(872:872))), "")</f>
        <v/>
      </c>
      <c r="C930" s="11" t="str">
        <f>IF(B930="","",_xlfn.XLOOKUP(B930,'Orders Ledger'!$A:$A,'Orders Ledger'!$B:$B,""))</f>
        <v/>
      </c>
      <c r="D930" t="str">
        <f>IF(B930="","",_xlfn.XLOOKUP(B930,'Orders Ledger'!$A:$A,'Orders Ledger'!$G:$G,""))</f>
        <v/>
      </c>
      <c r="E930" t="str">
        <f>IF(B930="","",_xlfn.XLOOKUP(B930,'Orders Ledger'!$A:$A,'Orders Ledger'!$H:$H,""))</f>
        <v/>
      </c>
      <c r="F930" t="str">
        <f>IF(B930="","",_xlfn.XLOOKUP(B930,'Orders Ledger'!$A:$A,'Orders Ledger'!$F:$F,""))</f>
        <v/>
      </c>
      <c r="G930" t="str">
        <f>IF(B930="","",_xlfn.XLOOKUP(B930,'Orders Ledger'!$A:$A,'Orders Ledger'!$N:$N,0))</f>
        <v/>
      </c>
    </row>
    <row r="931" spans="2:7" x14ac:dyDescent="0.3">
      <c r="B931" t="str">
        <f t="array" ref="B931">IFERROR(INDEX('Orders Ledger'!$A$2:$A$1501, SMALL(IF(('Orders Ledger'!$J$2:$J$1501="disputed")+('Orders Ledger'!$J$2:$J$1501="PENDING_REVIEW"), ROW('Orders Ledger'!$A$2:$A$1501)-ROW('Orders Ledger'!$A$2)+1), ROW(873:873))), "")</f>
        <v/>
      </c>
      <c r="C931" s="11" t="str">
        <f>IF(B931="","",_xlfn.XLOOKUP(B931,'Orders Ledger'!$A:$A,'Orders Ledger'!$B:$B,""))</f>
        <v/>
      </c>
      <c r="D931" t="str">
        <f>IF(B931="","",_xlfn.XLOOKUP(B931,'Orders Ledger'!$A:$A,'Orders Ledger'!$G:$G,""))</f>
        <v/>
      </c>
      <c r="E931" t="str">
        <f>IF(B931="","",_xlfn.XLOOKUP(B931,'Orders Ledger'!$A:$A,'Orders Ledger'!$H:$H,""))</f>
        <v/>
      </c>
      <c r="F931" t="str">
        <f>IF(B931="","",_xlfn.XLOOKUP(B931,'Orders Ledger'!$A:$A,'Orders Ledger'!$F:$F,""))</f>
        <v/>
      </c>
      <c r="G931" t="str">
        <f>IF(B931="","",_xlfn.XLOOKUP(B931,'Orders Ledger'!$A:$A,'Orders Ledger'!$N:$N,0))</f>
        <v/>
      </c>
    </row>
    <row r="932" spans="2:7" x14ac:dyDescent="0.3">
      <c r="B932" t="str">
        <f t="array" ref="B932">IFERROR(INDEX('Orders Ledger'!$A$2:$A$1501, SMALL(IF(('Orders Ledger'!$J$2:$J$1501="disputed")+('Orders Ledger'!$J$2:$J$1501="PENDING_REVIEW"), ROW('Orders Ledger'!$A$2:$A$1501)-ROW('Orders Ledger'!$A$2)+1), ROW(874:874))), "")</f>
        <v/>
      </c>
      <c r="C932" s="11" t="str">
        <f>IF(B932="","",_xlfn.XLOOKUP(B932,'Orders Ledger'!$A:$A,'Orders Ledger'!$B:$B,""))</f>
        <v/>
      </c>
      <c r="D932" t="str">
        <f>IF(B932="","",_xlfn.XLOOKUP(B932,'Orders Ledger'!$A:$A,'Orders Ledger'!$G:$G,""))</f>
        <v/>
      </c>
      <c r="E932" t="str">
        <f>IF(B932="","",_xlfn.XLOOKUP(B932,'Orders Ledger'!$A:$A,'Orders Ledger'!$H:$H,""))</f>
        <v/>
      </c>
      <c r="F932" t="str">
        <f>IF(B932="","",_xlfn.XLOOKUP(B932,'Orders Ledger'!$A:$A,'Orders Ledger'!$F:$F,""))</f>
        <v/>
      </c>
      <c r="G932" t="str">
        <f>IF(B932="","",_xlfn.XLOOKUP(B932,'Orders Ledger'!$A:$A,'Orders Ledger'!$N:$N,0))</f>
        <v/>
      </c>
    </row>
    <row r="933" spans="2:7" x14ac:dyDescent="0.3">
      <c r="B933" t="str">
        <f t="array" ref="B933">IFERROR(INDEX('Orders Ledger'!$A$2:$A$1501, SMALL(IF(('Orders Ledger'!$J$2:$J$1501="disputed")+('Orders Ledger'!$J$2:$J$1501="PENDING_REVIEW"), ROW('Orders Ledger'!$A$2:$A$1501)-ROW('Orders Ledger'!$A$2)+1), ROW(875:875))), "")</f>
        <v/>
      </c>
      <c r="C933" s="11" t="str">
        <f>IF(B933="","",_xlfn.XLOOKUP(B933,'Orders Ledger'!$A:$A,'Orders Ledger'!$B:$B,""))</f>
        <v/>
      </c>
      <c r="D933" t="str">
        <f>IF(B933="","",_xlfn.XLOOKUP(B933,'Orders Ledger'!$A:$A,'Orders Ledger'!$G:$G,""))</f>
        <v/>
      </c>
      <c r="E933" t="str">
        <f>IF(B933="","",_xlfn.XLOOKUP(B933,'Orders Ledger'!$A:$A,'Orders Ledger'!$H:$H,""))</f>
        <v/>
      </c>
      <c r="F933" t="str">
        <f>IF(B933="","",_xlfn.XLOOKUP(B933,'Orders Ledger'!$A:$A,'Orders Ledger'!$F:$F,""))</f>
        <v/>
      </c>
      <c r="G933" t="str">
        <f>IF(B933="","",_xlfn.XLOOKUP(B933,'Orders Ledger'!$A:$A,'Orders Ledger'!$N:$N,0))</f>
        <v/>
      </c>
    </row>
    <row r="934" spans="2:7" x14ac:dyDescent="0.3">
      <c r="B934" t="str">
        <f t="array" ref="B934">IFERROR(INDEX('Orders Ledger'!$A$2:$A$1501, SMALL(IF(('Orders Ledger'!$J$2:$J$1501="disputed")+('Orders Ledger'!$J$2:$J$1501="PENDING_REVIEW"), ROW('Orders Ledger'!$A$2:$A$1501)-ROW('Orders Ledger'!$A$2)+1), ROW(876:876))), "")</f>
        <v/>
      </c>
      <c r="C934" s="11" t="str">
        <f>IF(B934="","",_xlfn.XLOOKUP(B934,'Orders Ledger'!$A:$A,'Orders Ledger'!$B:$B,""))</f>
        <v/>
      </c>
      <c r="D934" t="str">
        <f>IF(B934="","",_xlfn.XLOOKUP(B934,'Orders Ledger'!$A:$A,'Orders Ledger'!$G:$G,""))</f>
        <v/>
      </c>
      <c r="E934" t="str">
        <f>IF(B934="","",_xlfn.XLOOKUP(B934,'Orders Ledger'!$A:$A,'Orders Ledger'!$H:$H,""))</f>
        <v/>
      </c>
      <c r="F934" t="str">
        <f>IF(B934="","",_xlfn.XLOOKUP(B934,'Orders Ledger'!$A:$A,'Orders Ledger'!$F:$F,""))</f>
        <v/>
      </c>
      <c r="G934" t="str">
        <f>IF(B934="","",_xlfn.XLOOKUP(B934,'Orders Ledger'!$A:$A,'Orders Ledger'!$N:$N,0))</f>
        <v/>
      </c>
    </row>
    <row r="935" spans="2:7" x14ac:dyDescent="0.3">
      <c r="B935" t="str">
        <f t="array" ref="B935">IFERROR(INDEX('Orders Ledger'!$A$2:$A$1501, SMALL(IF(('Orders Ledger'!$J$2:$J$1501="disputed")+('Orders Ledger'!$J$2:$J$1501="PENDING_REVIEW"), ROW('Orders Ledger'!$A$2:$A$1501)-ROW('Orders Ledger'!$A$2)+1), ROW(877:877))), "")</f>
        <v/>
      </c>
      <c r="C935" s="11" t="str">
        <f>IF(B935="","",_xlfn.XLOOKUP(B935,'Orders Ledger'!$A:$A,'Orders Ledger'!$B:$B,""))</f>
        <v/>
      </c>
      <c r="D935" t="str">
        <f>IF(B935="","",_xlfn.XLOOKUP(B935,'Orders Ledger'!$A:$A,'Orders Ledger'!$G:$G,""))</f>
        <v/>
      </c>
      <c r="E935" t="str">
        <f>IF(B935="","",_xlfn.XLOOKUP(B935,'Orders Ledger'!$A:$A,'Orders Ledger'!$H:$H,""))</f>
        <v/>
      </c>
      <c r="F935" t="str">
        <f>IF(B935="","",_xlfn.XLOOKUP(B935,'Orders Ledger'!$A:$A,'Orders Ledger'!$F:$F,""))</f>
        <v/>
      </c>
      <c r="G935" t="str">
        <f>IF(B935="","",_xlfn.XLOOKUP(B935,'Orders Ledger'!$A:$A,'Orders Ledger'!$N:$N,0))</f>
        <v/>
      </c>
    </row>
    <row r="936" spans="2:7" x14ac:dyDescent="0.3">
      <c r="B936" t="str">
        <f t="array" ref="B936">IFERROR(INDEX('Orders Ledger'!$A$2:$A$1501, SMALL(IF(('Orders Ledger'!$J$2:$J$1501="disputed")+('Orders Ledger'!$J$2:$J$1501="PENDING_REVIEW"), ROW('Orders Ledger'!$A$2:$A$1501)-ROW('Orders Ledger'!$A$2)+1), ROW(878:878))), "")</f>
        <v/>
      </c>
      <c r="C936" s="11" t="str">
        <f>IF(B936="","",_xlfn.XLOOKUP(B936,'Orders Ledger'!$A:$A,'Orders Ledger'!$B:$B,""))</f>
        <v/>
      </c>
      <c r="D936" t="str">
        <f>IF(B936="","",_xlfn.XLOOKUP(B936,'Orders Ledger'!$A:$A,'Orders Ledger'!$G:$G,""))</f>
        <v/>
      </c>
      <c r="E936" t="str">
        <f>IF(B936="","",_xlfn.XLOOKUP(B936,'Orders Ledger'!$A:$A,'Orders Ledger'!$H:$H,""))</f>
        <v/>
      </c>
      <c r="F936" t="str">
        <f>IF(B936="","",_xlfn.XLOOKUP(B936,'Orders Ledger'!$A:$A,'Orders Ledger'!$F:$F,""))</f>
        <v/>
      </c>
      <c r="G936" t="str">
        <f>IF(B936="","",_xlfn.XLOOKUP(B936,'Orders Ledger'!$A:$A,'Orders Ledger'!$N:$N,0))</f>
        <v/>
      </c>
    </row>
    <row r="937" spans="2:7" x14ac:dyDescent="0.3">
      <c r="B937" t="str">
        <f t="array" ref="B937">IFERROR(INDEX('Orders Ledger'!$A$2:$A$1501, SMALL(IF(('Orders Ledger'!$J$2:$J$1501="disputed")+('Orders Ledger'!$J$2:$J$1501="PENDING_REVIEW"), ROW('Orders Ledger'!$A$2:$A$1501)-ROW('Orders Ledger'!$A$2)+1), ROW(879:879))), "")</f>
        <v/>
      </c>
      <c r="C937" s="11" t="str">
        <f>IF(B937="","",_xlfn.XLOOKUP(B937,'Orders Ledger'!$A:$A,'Orders Ledger'!$B:$B,""))</f>
        <v/>
      </c>
      <c r="D937" t="str">
        <f>IF(B937="","",_xlfn.XLOOKUP(B937,'Orders Ledger'!$A:$A,'Orders Ledger'!$G:$G,""))</f>
        <v/>
      </c>
      <c r="E937" t="str">
        <f>IF(B937="","",_xlfn.XLOOKUP(B937,'Orders Ledger'!$A:$A,'Orders Ledger'!$H:$H,""))</f>
        <v/>
      </c>
      <c r="F937" t="str">
        <f>IF(B937="","",_xlfn.XLOOKUP(B937,'Orders Ledger'!$A:$A,'Orders Ledger'!$F:$F,""))</f>
        <v/>
      </c>
      <c r="G937" t="str">
        <f>IF(B937="","",_xlfn.XLOOKUP(B937,'Orders Ledger'!$A:$A,'Orders Ledger'!$N:$N,0))</f>
        <v/>
      </c>
    </row>
    <row r="938" spans="2:7" x14ac:dyDescent="0.3">
      <c r="B938" t="str">
        <f t="array" ref="B938">IFERROR(INDEX('Orders Ledger'!$A$2:$A$1501, SMALL(IF(('Orders Ledger'!$J$2:$J$1501="disputed")+('Orders Ledger'!$J$2:$J$1501="PENDING_REVIEW"), ROW('Orders Ledger'!$A$2:$A$1501)-ROW('Orders Ledger'!$A$2)+1), ROW(880:880))), "")</f>
        <v/>
      </c>
      <c r="C938" s="11" t="str">
        <f>IF(B938="","",_xlfn.XLOOKUP(B938,'Orders Ledger'!$A:$A,'Orders Ledger'!$B:$B,""))</f>
        <v/>
      </c>
      <c r="D938" t="str">
        <f>IF(B938="","",_xlfn.XLOOKUP(B938,'Orders Ledger'!$A:$A,'Orders Ledger'!$G:$G,""))</f>
        <v/>
      </c>
      <c r="E938" t="str">
        <f>IF(B938="","",_xlfn.XLOOKUP(B938,'Orders Ledger'!$A:$A,'Orders Ledger'!$H:$H,""))</f>
        <v/>
      </c>
      <c r="F938" t="str">
        <f>IF(B938="","",_xlfn.XLOOKUP(B938,'Orders Ledger'!$A:$A,'Orders Ledger'!$F:$F,""))</f>
        <v/>
      </c>
      <c r="G938" t="str">
        <f>IF(B938="","",_xlfn.XLOOKUP(B938,'Orders Ledger'!$A:$A,'Orders Ledger'!$N:$N,0))</f>
        <v/>
      </c>
    </row>
    <row r="939" spans="2:7" x14ac:dyDescent="0.3">
      <c r="B939" t="str">
        <f t="array" ref="B939">IFERROR(INDEX('Orders Ledger'!$A$2:$A$1501, SMALL(IF(('Orders Ledger'!$J$2:$J$1501="disputed")+('Orders Ledger'!$J$2:$J$1501="PENDING_REVIEW"), ROW('Orders Ledger'!$A$2:$A$1501)-ROW('Orders Ledger'!$A$2)+1), ROW(881:881))), "")</f>
        <v/>
      </c>
      <c r="C939" s="11" t="str">
        <f>IF(B939="","",_xlfn.XLOOKUP(B939,'Orders Ledger'!$A:$A,'Orders Ledger'!$B:$B,""))</f>
        <v/>
      </c>
      <c r="D939" t="str">
        <f>IF(B939="","",_xlfn.XLOOKUP(B939,'Orders Ledger'!$A:$A,'Orders Ledger'!$G:$G,""))</f>
        <v/>
      </c>
      <c r="E939" t="str">
        <f>IF(B939="","",_xlfn.XLOOKUP(B939,'Orders Ledger'!$A:$A,'Orders Ledger'!$H:$H,""))</f>
        <v/>
      </c>
      <c r="F939" t="str">
        <f>IF(B939="","",_xlfn.XLOOKUP(B939,'Orders Ledger'!$A:$A,'Orders Ledger'!$F:$F,""))</f>
        <v/>
      </c>
      <c r="G939" t="str">
        <f>IF(B939="","",_xlfn.XLOOKUP(B939,'Orders Ledger'!$A:$A,'Orders Ledger'!$N:$N,0))</f>
        <v/>
      </c>
    </row>
    <row r="940" spans="2:7" x14ac:dyDescent="0.3">
      <c r="B940" t="str">
        <f t="array" ref="B940">IFERROR(INDEX('Orders Ledger'!$A$2:$A$1501, SMALL(IF(('Orders Ledger'!$J$2:$J$1501="disputed")+('Orders Ledger'!$J$2:$J$1501="PENDING_REVIEW"), ROW('Orders Ledger'!$A$2:$A$1501)-ROW('Orders Ledger'!$A$2)+1), ROW(882:882))), "")</f>
        <v/>
      </c>
      <c r="C940" s="11" t="str">
        <f>IF(B940="","",_xlfn.XLOOKUP(B940,'Orders Ledger'!$A:$A,'Orders Ledger'!$B:$B,""))</f>
        <v/>
      </c>
      <c r="D940" t="str">
        <f>IF(B940="","",_xlfn.XLOOKUP(B940,'Orders Ledger'!$A:$A,'Orders Ledger'!$G:$G,""))</f>
        <v/>
      </c>
      <c r="E940" t="str">
        <f>IF(B940="","",_xlfn.XLOOKUP(B940,'Orders Ledger'!$A:$A,'Orders Ledger'!$H:$H,""))</f>
        <v/>
      </c>
      <c r="F940" t="str">
        <f>IF(B940="","",_xlfn.XLOOKUP(B940,'Orders Ledger'!$A:$A,'Orders Ledger'!$F:$F,""))</f>
        <v/>
      </c>
      <c r="G940" t="str">
        <f>IF(B940="","",_xlfn.XLOOKUP(B940,'Orders Ledger'!$A:$A,'Orders Ledger'!$N:$N,0))</f>
        <v/>
      </c>
    </row>
    <row r="941" spans="2:7" x14ac:dyDescent="0.3">
      <c r="B941" t="str">
        <f t="array" ref="B941">IFERROR(INDEX('Orders Ledger'!$A$2:$A$1501, SMALL(IF(('Orders Ledger'!$J$2:$J$1501="disputed")+('Orders Ledger'!$J$2:$J$1501="PENDING_REVIEW"), ROW('Orders Ledger'!$A$2:$A$1501)-ROW('Orders Ledger'!$A$2)+1), ROW(883:883))), "")</f>
        <v/>
      </c>
      <c r="C941" s="11" t="str">
        <f>IF(B941="","",_xlfn.XLOOKUP(B941,'Orders Ledger'!$A:$A,'Orders Ledger'!$B:$B,""))</f>
        <v/>
      </c>
      <c r="D941" t="str">
        <f>IF(B941="","",_xlfn.XLOOKUP(B941,'Orders Ledger'!$A:$A,'Orders Ledger'!$G:$G,""))</f>
        <v/>
      </c>
      <c r="E941" t="str">
        <f>IF(B941="","",_xlfn.XLOOKUP(B941,'Orders Ledger'!$A:$A,'Orders Ledger'!$H:$H,""))</f>
        <v/>
      </c>
      <c r="F941" t="str">
        <f>IF(B941="","",_xlfn.XLOOKUP(B941,'Orders Ledger'!$A:$A,'Orders Ledger'!$F:$F,""))</f>
        <v/>
      </c>
      <c r="G941" t="str">
        <f>IF(B941="","",_xlfn.XLOOKUP(B941,'Orders Ledger'!$A:$A,'Orders Ledger'!$N:$N,0))</f>
        <v/>
      </c>
    </row>
    <row r="942" spans="2:7" x14ac:dyDescent="0.3">
      <c r="B942" t="str">
        <f t="array" ref="B942">IFERROR(INDEX('Orders Ledger'!$A$2:$A$1501, SMALL(IF(('Orders Ledger'!$J$2:$J$1501="disputed")+('Orders Ledger'!$J$2:$J$1501="PENDING_REVIEW"), ROW('Orders Ledger'!$A$2:$A$1501)-ROW('Orders Ledger'!$A$2)+1), ROW(884:884))), "")</f>
        <v/>
      </c>
      <c r="C942" s="11" t="str">
        <f>IF(B942="","",_xlfn.XLOOKUP(B942,'Orders Ledger'!$A:$A,'Orders Ledger'!$B:$B,""))</f>
        <v/>
      </c>
      <c r="D942" t="str">
        <f>IF(B942="","",_xlfn.XLOOKUP(B942,'Orders Ledger'!$A:$A,'Orders Ledger'!$G:$G,""))</f>
        <v/>
      </c>
      <c r="E942" t="str">
        <f>IF(B942="","",_xlfn.XLOOKUP(B942,'Orders Ledger'!$A:$A,'Orders Ledger'!$H:$H,""))</f>
        <v/>
      </c>
      <c r="F942" t="str">
        <f>IF(B942="","",_xlfn.XLOOKUP(B942,'Orders Ledger'!$A:$A,'Orders Ledger'!$F:$F,""))</f>
        <v/>
      </c>
      <c r="G942" t="str">
        <f>IF(B942="","",_xlfn.XLOOKUP(B942,'Orders Ledger'!$A:$A,'Orders Ledger'!$N:$N,0))</f>
        <v/>
      </c>
    </row>
    <row r="943" spans="2:7" x14ac:dyDescent="0.3">
      <c r="B943" t="str">
        <f t="array" ref="B943">IFERROR(INDEX('Orders Ledger'!$A$2:$A$1501, SMALL(IF(('Orders Ledger'!$J$2:$J$1501="disputed")+('Orders Ledger'!$J$2:$J$1501="PENDING_REVIEW"), ROW('Orders Ledger'!$A$2:$A$1501)-ROW('Orders Ledger'!$A$2)+1), ROW(885:885))), "")</f>
        <v/>
      </c>
      <c r="C943" s="11" t="str">
        <f>IF(B943="","",_xlfn.XLOOKUP(B943,'Orders Ledger'!$A:$A,'Orders Ledger'!$B:$B,""))</f>
        <v/>
      </c>
      <c r="D943" t="str">
        <f>IF(B943="","",_xlfn.XLOOKUP(B943,'Orders Ledger'!$A:$A,'Orders Ledger'!$G:$G,""))</f>
        <v/>
      </c>
      <c r="E943" t="str">
        <f>IF(B943="","",_xlfn.XLOOKUP(B943,'Orders Ledger'!$A:$A,'Orders Ledger'!$H:$H,""))</f>
        <v/>
      </c>
      <c r="F943" t="str">
        <f>IF(B943="","",_xlfn.XLOOKUP(B943,'Orders Ledger'!$A:$A,'Orders Ledger'!$F:$F,""))</f>
        <v/>
      </c>
      <c r="G943" t="str">
        <f>IF(B943="","",_xlfn.XLOOKUP(B943,'Orders Ledger'!$A:$A,'Orders Ledger'!$N:$N,0))</f>
        <v/>
      </c>
    </row>
    <row r="944" spans="2:7" x14ac:dyDescent="0.3">
      <c r="B944" t="str">
        <f t="array" ref="B944">IFERROR(INDEX('Orders Ledger'!$A$2:$A$1501, SMALL(IF(('Orders Ledger'!$J$2:$J$1501="disputed")+('Orders Ledger'!$J$2:$J$1501="PENDING_REVIEW"), ROW('Orders Ledger'!$A$2:$A$1501)-ROW('Orders Ledger'!$A$2)+1), ROW(886:886))), "")</f>
        <v/>
      </c>
      <c r="C944" s="11" t="str">
        <f>IF(B944="","",_xlfn.XLOOKUP(B944,'Orders Ledger'!$A:$A,'Orders Ledger'!$B:$B,""))</f>
        <v/>
      </c>
      <c r="D944" t="str">
        <f>IF(B944="","",_xlfn.XLOOKUP(B944,'Orders Ledger'!$A:$A,'Orders Ledger'!$G:$G,""))</f>
        <v/>
      </c>
      <c r="E944" t="str">
        <f>IF(B944="","",_xlfn.XLOOKUP(B944,'Orders Ledger'!$A:$A,'Orders Ledger'!$H:$H,""))</f>
        <v/>
      </c>
      <c r="F944" t="str">
        <f>IF(B944="","",_xlfn.XLOOKUP(B944,'Orders Ledger'!$A:$A,'Orders Ledger'!$F:$F,""))</f>
        <v/>
      </c>
      <c r="G944" t="str">
        <f>IF(B944="","",_xlfn.XLOOKUP(B944,'Orders Ledger'!$A:$A,'Orders Ledger'!$N:$N,0))</f>
        <v/>
      </c>
    </row>
    <row r="945" spans="2:7" x14ac:dyDescent="0.3">
      <c r="B945" t="str">
        <f t="array" ref="B945">IFERROR(INDEX('Orders Ledger'!$A$2:$A$1501, SMALL(IF(('Orders Ledger'!$J$2:$J$1501="disputed")+('Orders Ledger'!$J$2:$J$1501="PENDING_REVIEW"), ROW('Orders Ledger'!$A$2:$A$1501)-ROW('Orders Ledger'!$A$2)+1), ROW(887:887))), "")</f>
        <v/>
      </c>
      <c r="C945" s="11" t="str">
        <f>IF(B945="","",_xlfn.XLOOKUP(B945,'Orders Ledger'!$A:$A,'Orders Ledger'!$B:$B,""))</f>
        <v/>
      </c>
      <c r="D945" t="str">
        <f>IF(B945="","",_xlfn.XLOOKUP(B945,'Orders Ledger'!$A:$A,'Orders Ledger'!$G:$G,""))</f>
        <v/>
      </c>
      <c r="E945" t="str">
        <f>IF(B945="","",_xlfn.XLOOKUP(B945,'Orders Ledger'!$A:$A,'Orders Ledger'!$H:$H,""))</f>
        <v/>
      </c>
      <c r="F945" t="str">
        <f>IF(B945="","",_xlfn.XLOOKUP(B945,'Orders Ledger'!$A:$A,'Orders Ledger'!$F:$F,""))</f>
        <v/>
      </c>
      <c r="G945" t="str">
        <f>IF(B945="","",_xlfn.XLOOKUP(B945,'Orders Ledger'!$A:$A,'Orders Ledger'!$N:$N,0))</f>
        <v/>
      </c>
    </row>
    <row r="946" spans="2:7" x14ac:dyDescent="0.3">
      <c r="B946" t="str">
        <f t="array" ref="B946">IFERROR(INDEX('Orders Ledger'!$A$2:$A$1501, SMALL(IF(('Orders Ledger'!$J$2:$J$1501="disputed")+('Orders Ledger'!$J$2:$J$1501="PENDING_REVIEW"), ROW('Orders Ledger'!$A$2:$A$1501)-ROW('Orders Ledger'!$A$2)+1), ROW(888:888))), "")</f>
        <v/>
      </c>
      <c r="C946" s="11" t="str">
        <f>IF(B946="","",_xlfn.XLOOKUP(B946,'Orders Ledger'!$A:$A,'Orders Ledger'!$B:$B,""))</f>
        <v/>
      </c>
      <c r="D946" t="str">
        <f>IF(B946="","",_xlfn.XLOOKUP(B946,'Orders Ledger'!$A:$A,'Orders Ledger'!$G:$G,""))</f>
        <v/>
      </c>
      <c r="E946" t="str">
        <f>IF(B946="","",_xlfn.XLOOKUP(B946,'Orders Ledger'!$A:$A,'Orders Ledger'!$H:$H,""))</f>
        <v/>
      </c>
      <c r="F946" t="str">
        <f>IF(B946="","",_xlfn.XLOOKUP(B946,'Orders Ledger'!$A:$A,'Orders Ledger'!$F:$F,""))</f>
        <v/>
      </c>
      <c r="G946" t="str">
        <f>IF(B946="","",_xlfn.XLOOKUP(B946,'Orders Ledger'!$A:$A,'Orders Ledger'!$N:$N,0))</f>
        <v/>
      </c>
    </row>
    <row r="947" spans="2:7" x14ac:dyDescent="0.3">
      <c r="B947" t="str">
        <f t="array" ref="B947">IFERROR(INDEX('Orders Ledger'!$A$2:$A$1501, SMALL(IF(('Orders Ledger'!$J$2:$J$1501="disputed")+('Orders Ledger'!$J$2:$J$1501="PENDING_REVIEW"), ROW('Orders Ledger'!$A$2:$A$1501)-ROW('Orders Ledger'!$A$2)+1), ROW(889:889))), "")</f>
        <v/>
      </c>
      <c r="C947" s="11" t="str">
        <f>IF(B947="","",_xlfn.XLOOKUP(B947,'Orders Ledger'!$A:$A,'Orders Ledger'!$B:$B,""))</f>
        <v/>
      </c>
      <c r="D947" t="str">
        <f>IF(B947="","",_xlfn.XLOOKUP(B947,'Orders Ledger'!$A:$A,'Orders Ledger'!$G:$G,""))</f>
        <v/>
      </c>
      <c r="E947" t="str">
        <f>IF(B947="","",_xlfn.XLOOKUP(B947,'Orders Ledger'!$A:$A,'Orders Ledger'!$H:$H,""))</f>
        <v/>
      </c>
      <c r="F947" t="str">
        <f>IF(B947="","",_xlfn.XLOOKUP(B947,'Orders Ledger'!$A:$A,'Orders Ledger'!$F:$F,""))</f>
        <v/>
      </c>
      <c r="G947" t="str">
        <f>IF(B947="","",_xlfn.XLOOKUP(B947,'Orders Ledger'!$A:$A,'Orders Ledger'!$N:$N,0))</f>
        <v/>
      </c>
    </row>
    <row r="948" spans="2:7" x14ac:dyDescent="0.3">
      <c r="B948" t="str">
        <f t="array" ref="B948">IFERROR(INDEX('Orders Ledger'!$A$2:$A$1501, SMALL(IF(('Orders Ledger'!$J$2:$J$1501="disputed")+('Orders Ledger'!$J$2:$J$1501="PENDING_REVIEW"), ROW('Orders Ledger'!$A$2:$A$1501)-ROW('Orders Ledger'!$A$2)+1), ROW(890:890))), "")</f>
        <v/>
      </c>
      <c r="C948" s="11" t="str">
        <f>IF(B948="","",_xlfn.XLOOKUP(B948,'Orders Ledger'!$A:$A,'Orders Ledger'!$B:$B,""))</f>
        <v/>
      </c>
      <c r="D948" t="str">
        <f>IF(B948="","",_xlfn.XLOOKUP(B948,'Orders Ledger'!$A:$A,'Orders Ledger'!$G:$G,""))</f>
        <v/>
      </c>
      <c r="E948" t="str">
        <f>IF(B948="","",_xlfn.XLOOKUP(B948,'Orders Ledger'!$A:$A,'Orders Ledger'!$H:$H,""))</f>
        <v/>
      </c>
      <c r="F948" t="str">
        <f>IF(B948="","",_xlfn.XLOOKUP(B948,'Orders Ledger'!$A:$A,'Orders Ledger'!$F:$F,""))</f>
        <v/>
      </c>
      <c r="G948" t="str">
        <f>IF(B948="","",_xlfn.XLOOKUP(B948,'Orders Ledger'!$A:$A,'Orders Ledger'!$N:$N,0))</f>
        <v/>
      </c>
    </row>
    <row r="949" spans="2:7" x14ac:dyDescent="0.3">
      <c r="B949" t="str">
        <f t="array" ref="B949">IFERROR(INDEX('Orders Ledger'!$A$2:$A$1501, SMALL(IF(('Orders Ledger'!$J$2:$J$1501="disputed")+('Orders Ledger'!$J$2:$J$1501="PENDING_REVIEW"), ROW('Orders Ledger'!$A$2:$A$1501)-ROW('Orders Ledger'!$A$2)+1), ROW(891:891))), "")</f>
        <v/>
      </c>
      <c r="C949" s="11" t="str">
        <f>IF(B949="","",_xlfn.XLOOKUP(B949,'Orders Ledger'!$A:$A,'Orders Ledger'!$B:$B,""))</f>
        <v/>
      </c>
      <c r="D949" t="str">
        <f>IF(B949="","",_xlfn.XLOOKUP(B949,'Orders Ledger'!$A:$A,'Orders Ledger'!$G:$G,""))</f>
        <v/>
      </c>
      <c r="E949" t="str">
        <f>IF(B949="","",_xlfn.XLOOKUP(B949,'Orders Ledger'!$A:$A,'Orders Ledger'!$H:$H,""))</f>
        <v/>
      </c>
      <c r="F949" t="str">
        <f>IF(B949="","",_xlfn.XLOOKUP(B949,'Orders Ledger'!$A:$A,'Orders Ledger'!$F:$F,""))</f>
        <v/>
      </c>
      <c r="G949" t="str">
        <f>IF(B949="","",_xlfn.XLOOKUP(B949,'Orders Ledger'!$A:$A,'Orders Ledger'!$N:$N,0))</f>
        <v/>
      </c>
    </row>
    <row r="950" spans="2:7" x14ac:dyDescent="0.3">
      <c r="B950" t="str">
        <f t="array" ref="B950">IFERROR(INDEX('Orders Ledger'!$A$2:$A$1501, SMALL(IF(('Orders Ledger'!$J$2:$J$1501="disputed")+('Orders Ledger'!$J$2:$J$1501="PENDING_REVIEW"), ROW('Orders Ledger'!$A$2:$A$1501)-ROW('Orders Ledger'!$A$2)+1), ROW(892:892))), "")</f>
        <v/>
      </c>
      <c r="C950" s="11" t="str">
        <f>IF(B950="","",_xlfn.XLOOKUP(B950,'Orders Ledger'!$A:$A,'Orders Ledger'!$B:$B,""))</f>
        <v/>
      </c>
      <c r="D950" t="str">
        <f>IF(B950="","",_xlfn.XLOOKUP(B950,'Orders Ledger'!$A:$A,'Orders Ledger'!$G:$G,""))</f>
        <v/>
      </c>
      <c r="E950" t="str">
        <f>IF(B950="","",_xlfn.XLOOKUP(B950,'Orders Ledger'!$A:$A,'Orders Ledger'!$H:$H,""))</f>
        <v/>
      </c>
      <c r="F950" t="str">
        <f>IF(B950="","",_xlfn.XLOOKUP(B950,'Orders Ledger'!$A:$A,'Orders Ledger'!$F:$F,""))</f>
        <v/>
      </c>
      <c r="G950" t="str">
        <f>IF(B950="","",_xlfn.XLOOKUP(B950,'Orders Ledger'!$A:$A,'Orders Ledger'!$N:$N,0))</f>
        <v/>
      </c>
    </row>
    <row r="951" spans="2:7" x14ac:dyDescent="0.3">
      <c r="B951" t="str">
        <f t="array" ref="B951">IFERROR(INDEX('Orders Ledger'!$A$2:$A$1501, SMALL(IF(('Orders Ledger'!$J$2:$J$1501="disputed")+('Orders Ledger'!$J$2:$J$1501="PENDING_REVIEW"), ROW('Orders Ledger'!$A$2:$A$1501)-ROW('Orders Ledger'!$A$2)+1), ROW(893:893))), "")</f>
        <v/>
      </c>
      <c r="C951" s="11" t="str">
        <f>IF(B951="","",_xlfn.XLOOKUP(B951,'Orders Ledger'!$A:$A,'Orders Ledger'!$B:$B,""))</f>
        <v/>
      </c>
      <c r="D951" t="str">
        <f>IF(B951="","",_xlfn.XLOOKUP(B951,'Orders Ledger'!$A:$A,'Orders Ledger'!$G:$G,""))</f>
        <v/>
      </c>
      <c r="E951" t="str">
        <f>IF(B951="","",_xlfn.XLOOKUP(B951,'Orders Ledger'!$A:$A,'Orders Ledger'!$H:$H,""))</f>
        <v/>
      </c>
      <c r="F951" t="str">
        <f>IF(B951="","",_xlfn.XLOOKUP(B951,'Orders Ledger'!$A:$A,'Orders Ledger'!$F:$F,""))</f>
        <v/>
      </c>
      <c r="G951" t="str">
        <f>IF(B951="","",_xlfn.XLOOKUP(B951,'Orders Ledger'!$A:$A,'Orders Ledger'!$N:$N,0))</f>
        <v/>
      </c>
    </row>
    <row r="952" spans="2:7" x14ac:dyDescent="0.3">
      <c r="B952" t="str">
        <f t="array" ref="B952">IFERROR(INDEX('Orders Ledger'!$A$2:$A$1501, SMALL(IF(('Orders Ledger'!$J$2:$J$1501="disputed")+('Orders Ledger'!$J$2:$J$1501="PENDING_REVIEW"), ROW('Orders Ledger'!$A$2:$A$1501)-ROW('Orders Ledger'!$A$2)+1), ROW(894:894))), "")</f>
        <v/>
      </c>
      <c r="C952" s="11" t="str">
        <f>IF(B952="","",_xlfn.XLOOKUP(B952,'Orders Ledger'!$A:$A,'Orders Ledger'!$B:$B,""))</f>
        <v/>
      </c>
      <c r="D952" t="str">
        <f>IF(B952="","",_xlfn.XLOOKUP(B952,'Orders Ledger'!$A:$A,'Orders Ledger'!$G:$G,""))</f>
        <v/>
      </c>
      <c r="E952" t="str">
        <f>IF(B952="","",_xlfn.XLOOKUP(B952,'Orders Ledger'!$A:$A,'Orders Ledger'!$H:$H,""))</f>
        <v/>
      </c>
      <c r="F952" t="str">
        <f>IF(B952="","",_xlfn.XLOOKUP(B952,'Orders Ledger'!$A:$A,'Orders Ledger'!$F:$F,""))</f>
        <v/>
      </c>
      <c r="G952" t="str">
        <f>IF(B952="","",_xlfn.XLOOKUP(B952,'Orders Ledger'!$A:$A,'Orders Ledger'!$N:$N,0))</f>
        <v/>
      </c>
    </row>
    <row r="953" spans="2:7" x14ac:dyDescent="0.3">
      <c r="B953" t="str">
        <f t="array" ref="B953">IFERROR(INDEX('Orders Ledger'!$A$2:$A$1501, SMALL(IF(('Orders Ledger'!$J$2:$J$1501="disputed")+('Orders Ledger'!$J$2:$J$1501="PENDING_REVIEW"), ROW('Orders Ledger'!$A$2:$A$1501)-ROW('Orders Ledger'!$A$2)+1), ROW(895:895))), "")</f>
        <v/>
      </c>
      <c r="C953" s="11" t="str">
        <f>IF(B953="","",_xlfn.XLOOKUP(B953,'Orders Ledger'!$A:$A,'Orders Ledger'!$B:$B,""))</f>
        <v/>
      </c>
      <c r="D953" t="str">
        <f>IF(B953="","",_xlfn.XLOOKUP(B953,'Orders Ledger'!$A:$A,'Orders Ledger'!$G:$G,""))</f>
        <v/>
      </c>
      <c r="E953" t="str">
        <f>IF(B953="","",_xlfn.XLOOKUP(B953,'Orders Ledger'!$A:$A,'Orders Ledger'!$H:$H,""))</f>
        <v/>
      </c>
      <c r="F953" t="str">
        <f>IF(B953="","",_xlfn.XLOOKUP(B953,'Orders Ledger'!$A:$A,'Orders Ledger'!$F:$F,""))</f>
        <v/>
      </c>
      <c r="G953" t="str">
        <f>IF(B953="","",_xlfn.XLOOKUP(B953,'Orders Ledger'!$A:$A,'Orders Ledger'!$N:$N,0))</f>
        <v/>
      </c>
    </row>
    <row r="954" spans="2:7" x14ac:dyDescent="0.3">
      <c r="B954" t="str">
        <f t="array" ref="B954">IFERROR(INDEX('Orders Ledger'!$A$2:$A$1501, SMALL(IF(('Orders Ledger'!$J$2:$J$1501="disputed")+('Orders Ledger'!$J$2:$J$1501="PENDING_REVIEW"), ROW('Orders Ledger'!$A$2:$A$1501)-ROW('Orders Ledger'!$A$2)+1), ROW(896:896))), "")</f>
        <v/>
      </c>
      <c r="C954" s="11" t="str">
        <f>IF(B954="","",_xlfn.XLOOKUP(B954,'Orders Ledger'!$A:$A,'Orders Ledger'!$B:$B,""))</f>
        <v/>
      </c>
      <c r="D954" t="str">
        <f>IF(B954="","",_xlfn.XLOOKUP(B954,'Orders Ledger'!$A:$A,'Orders Ledger'!$G:$G,""))</f>
        <v/>
      </c>
      <c r="E954" t="str">
        <f>IF(B954="","",_xlfn.XLOOKUP(B954,'Orders Ledger'!$A:$A,'Orders Ledger'!$H:$H,""))</f>
        <v/>
      </c>
      <c r="F954" t="str">
        <f>IF(B954="","",_xlfn.XLOOKUP(B954,'Orders Ledger'!$A:$A,'Orders Ledger'!$F:$F,""))</f>
        <v/>
      </c>
      <c r="G954" t="str">
        <f>IF(B954="","",_xlfn.XLOOKUP(B954,'Orders Ledger'!$A:$A,'Orders Ledger'!$N:$N,0))</f>
        <v/>
      </c>
    </row>
    <row r="955" spans="2:7" x14ac:dyDescent="0.3">
      <c r="B955" t="str">
        <f t="array" ref="B955">IFERROR(INDEX('Orders Ledger'!$A$2:$A$1501, SMALL(IF(('Orders Ledger'!$J$2:$J$1501="disputed")+('Orders Ledger'!$J$2:$J$1501="PENDING_REVIEW"), ROW('Orders Ledger'!$A$2:$A$1501)-ROW('Orders Ledger'!$A$2)+1), ROW(897:897))), "")</f>
        <v/>
      </c>
      <c r="C955" s="11" t="str">
        <f>IF(B955="","",_xlfn.XLOOKUP(B955,'Orders Ledger'!$A:$A,'Orders Ledger'!$B:$B,""))</f>
        <v/>
      </c>
      <c r="D955" t="str">
        <f>IF(B955="","",_xlfn.XLOOKUP(B955,'Orders Ledger'!$A:$A,'Orders Ledger'!$G:$G,""))</f>
        <v/>
      </c>
      <c r="E955" t="str">
        <f>IF(B955="","",_xlfn.XLOOKUP(B955,'Orders Ledger'!$A:$A,'Orders Ledger'!$H:$H,""))</f>
        <v/>
      </c>
      <c r="F955" t="str">
        <f>IF(B955="","",_xlfn.XLOOKUP(B955,'Orders Ledger'!$A:$A,'Orders Ledger'!$F:$F,""))</f>
        <v/>
      </c>
      <c r="G955" t="str">
        <f>IF(B955="","",_xlfn.XLOOKUP(B955,'Orders Ledger'!$A:$A,'Orders Ledger'!$N:$N,0))</f>
        <v/>
      </c>
    </row>
    <row r="956" spans="2:7" x14ac:dyDescent="0.3">
      <c r="B956" t="str">
        <f t="array" ref="B956">IFERROR(INDEX('Orders Ledger'!$A$2:$A$1501, SMALL(IF(('Orders Ledger'!$J$2:$J$1501="disputed")+('Orders Ledger'!$J$2:$J$1501="PENDING_REVIEW"), ROW('Orders Ledger'!$A$2:$A$1501)-ROW('Orders Ledger'!$A$2)+1), ROW(898:898))), "")</f>
        <v/>
      </c>
      <c r="C956" s="11" t="str">
        <f>IF(B956="","",_xlfn.XLOOKUP(B956,'Orders Ledger'!$A:$A,'Orders Ledger'!$B:$B,""))</f>
        <v/>
      </c>
      <c r="D956" t="str">
        <f>IF(B956="","",_xlfn.XLOOKUP(B956,'Orders Ledger'!$A:$A,'Orders Ledger'!$G:$G,""))</f>
        <v/>
      </c>
      <c r="E956" t="str">
        <f>IF(B956="","",_xlfn.XLOOKUP(B956,'Orders Ledger'!$A:$A,'Orders Ledger'!$H:$H,""))</f>
        <v/>
      </c>
      <c r="F956" t="str">
        <f>IF(B956="","",_xlfn.XLOOKUP(B956,'Orders Ledger'!$A:$A,'Orders Ledger'!$F:$F,""))</f>
        <v/>
      </c>
      <c r="G956" t="str">
        <f>IF(B956="","",_xlfn.XLOOKUP(B956,'Orders Ledger'!$A:$A,'Orders Ledger'!$N:$N,0))</f>
        <v/>
      </c>
    </row>
    <row r="957" spans="2:7" x14ac:dyDescent="0.3">
      <c r="B957" t="str">
        <f t="array" ref="B957">IFERROR(INDEX('Orders Ledger'!$A$2:$A$1501, SMALL(IF(('Orders Ledger'!$J$2:$J$1501="disputed")+('Orders Ledger'!$J$2:$J$1501="PENDING_REVIEW"), ROW('Orders Ledger'!$A$2:$A$1501)-ROW('Orders Ledger'!$A$2)+1), ROW(899:899))), "")</f>
        <v/>
      </c>
      <c r="C957" s="11" t="str">
        <f>IF(B957="","",_xlfn.XLOOKUP(B957,'Orders Ledger'!$A:$A,'Orders Ledger'!$B:$B,""))</f>
        <v/>
      </c>
      <c r="D957" t="str">
        <f>IF(B957="","",_xlfn.XLOOKUP(B957,'Orders Ledger'!$A:$A,'Orders Ledger'!$G:$G,""))</f>
        <v/>
      </c>
      <c r="E957" t="str">
        <f>IF(B957="","",_xlfn.XLOOKUP(B957,'Orders Ledger'!$A:$A,'Orders Ledger'!$H:$H,""))</f>
        <v/>
      </c>
      <c r="F957" t="str">
        <f>IF(B957="","",_xlfn.XLOOKUP(B957,'Orders Ledger'!$A:$A,'Orders Ledger'!$F:$F,""))</f>
        <v/>
      </c>
      <c r="G957" t="str">
        <f>IF(B957="","",_xlfn.XLOOKUP(B957,'Orders Ledger'!$A:$A,'Orders Ledger'!$N:$N,0))</f>
        <v/>
      </c>
    </row>
    <row r="958" spans="2:7" x14ac:dyDescent="0.3">
      <c r="B958" t="str">
        <f t="array" ref="B958">IFERROR(INDEX('Orders Ledger'!$A$2:$A$1501, SMALL(IF(('Orders Ledger'!$J$2:$J$1501="disputed")+('Orders Ledger'!$J$2:$J$1501="PENDING_REVIEW"), ROW('Orders Ledger'!$A$2:$A$1501)-ROW('Orders Ledger'!$A$2)+1), ROW(900:900))), "")</f>
        <v/>
      </c>
      <c r="C958" s="11" t="str">
        <f>IF(B958="","",_xlfn.XLOOKUP(B958,'Orders Ledger'!$A:$A,'Orders Ledger'!$B:$B,""))</f>
        <v/>
      </c>
      <c r="D958" t="str">
        <f>IF(B958="","",_xlfn.XLOOKUP(B958,'Orders Ledger'!$A:$A,'Orders Ledger'!$G:$G,""))</f>
        <v/>
      </c>
      <c r="E958" t="str">
        <f>IF(B958="","",_xlfn.XLOOKUP(B958,'Orders Ledger'!$A:$A,'Orders Ledger'!$H:$H,""))</f>
        <v/>
      </c>
      <c r="F958" t="str">
        <f>IF(B958="","",_xlfn.XLOOKUP(B958,'Orders Ledger'!$A:$A,'Orders Ledger'!$F:$F,""))</f>
        <v/>
      </c>
      <c r="G958" t="str">
        <f>IF(B958="","",_xlfn.XLOOKUP(B958,'Orders Ledger'!$A:$A,'Orders Ledger'!$N:$N,0))</f>
        <v/>
      </c>
    </row>
    <row r="959" spans="2:7" x14ac:dyDescent="0.3">
      <c r="B959" t="str">
        <f t="array" ref="B959">IFERROR(INDEX('Orders Ledger'!$A$2:$A$1501, SMALL(IF(('Orders Ledger'!$J$2:$J$1501="disputed")+('Orders Ledger'!$J$2:$J$1501="PENDING_REVIEW"), ROW('Orders Ledger'!$A$2:$A$1501)-ROW('Orders Ledger'!$A$2)+1), ROW(901:901))), "")</f>
        <v/>
      </c>
      <c r="C959" s="11" t="str">
        <f>IF(B959="","",_xlfn.XLOOKUP(B959,'Orders Ledger'!$A:$A,'Orders Ledger'!$B:$B,""))</f>
        <v/>
      </c>
      <c r="D959" t="str">
        <f>IF(B959="","",_xlfn.XLOOKUP(B959,'Orders Ledger'!$A:$A,'Orders Ledger'!$G:$G,""))</f>
        <v/>
      </c>
      <c r="E959" t="str">
        <f>IF(B959="","",_xlfn.XLOOKUP(B959,'Orders Ledger'!$A:$A,'Orders Ledger'!$H:$H,""))</f>
        <v/>
      </c>
      <c r="F959" t="str">
        <f>IF(B959="","",_xlfn.XLOOKUP(B959,'Orders Ledger'!$A:$A,'Orders Ledger'!$F:$F,""))</f>
        <v/>
      </c>
      <c r="G959" t="str">
        <f>IF(B959="","",_xlfn.XLOOKUP(B959,'Orders Ledger'!$A:$A,'Orders Ledger'!$N:$N,0))</f>
        <v/>
      </c>
    </row>
    <row r="960" spans="2:7" x14ac:dyDescent="0.3">
      <c r="B960" t="str">
        <f t="array" ref="B960">IFERROR(INDEX('Orders Ledger'!$A$2:$A$1501, SMALL(IF(('Orders Ledger'!$J$2:$J$1501="disputed")+('Orders Ledger'!$J$2:$J$1501="PENDING_REVIEW"), ROW('Orders Ledger'!$A$2:$A$1501)-ROW('Orders Ledger'!$A$2)+1), ROW(902:902))), "")</f>
        <v/>
      </c>
      <c r="C960" s="11" t="str">
        <f>IF(B960="","",_xlfn.XLOOKUP(B960,'Orders Ledger'!$A:$A,'Orders Ledger'!$B:$B,""))</f>
        <v/>
      </c>
      <c r="D960" t="str">
        <f>IF(B960="","",_xlfn.XLOOKUP(B960,'Orders Ledger'!$A:$A,'Orders Ledger'!$G:$G,""))</f>
        <v/>
      </c>
      <c r="E960" t="str">
        <f>IF(B960="","",_xlfn.XLOOKUP(B960,'Orders Ledger'!$A:$A,'Orders Ledger'!$H:$H,""))</f>
        <v/>
      </c>
      <c r="F960" t="str">
        <f>IF(B960="","",_xlfn.XLOOKUP(B960,'Orders Ledger'!$A:$A,'Orders Ledger'!$F:$F,""))</f>
        <v/>
      </c>
      <c r="G960" t="str">
        <f>IF(B960="","",_xlfn.XLOOKUP(B960,'Orders Ledger'!$A:$A,'Orders Ledger'!$N:$N,0))</f>
        <v/>
      </c>
    </row>
    <row r="961" spans="2:7" x14ac:dyDescent="0.3">
      <c r="B961" t="str">
        <f t="array" ref="B961">IFERROR(INDEX('Orders Ledger'!$A$2:$A$1501, SMALL(IF(('Orders Ledger'!$J$2:$J$1501="disputed")+('Orders Ledger'!$J$2:$J$1501="PENDING_REVIEW"), ROW('Orders Ledger'!$A$2:$A$1501)-ROW('Orders Ledger'!$A$2)+1), ROW(903:903))), "")</f>
        <v/>
      </c>
      <c r="C961" s="11" t="str">
        <f>IF(B961="","",_xlfn.XLOOKUP(B961,'Orders Ledger'!$A:$A,'Orders Ledger'!$B:$B,""))</f>
        <v/>
      </c>
      <c r="D961" t="str">
        <f>IF(B961="","",_xlfn.XLOOKUP(B961,'Orders Ledger'!$A:$A,'Orders Ledger'!$G:$G,""))</f>
        <v/>
      </c>
      <c r="E961" t="str">
        <f>IF(B961="","",_xlfn.XLOOKUP(B961,'Orders Ledger'!$A:$A,'Orders Ledger'!$H:$H,""))</f>
        <v/>
      </c>
      <c r="F961" t="str">
        <f>IF(B961="","",_xlfn.XLOOKUP(B961,'Orders Ledger'!$A:$A,'Orders Ledger'!$F:$F,""))</f>
        <v/>
      </c>
      <c r="G961" t="str">
        <f>IF(B961="","",_xlfn.XLOOKUP(B961,'Orders Ledger'!$A:$A,'Orders Ledger'!$N:$N,0))</f>
        <v/>
      </c>
    </row>
    <row r="962" spans="2:7" x14ac:dyDescent="0.3">
      <c r="B962" t="str">
        <f t="array" ref="B962">IFERROR(INDEX('Orders Ledger'!$A$2:$A$1501, SMALL(IF(('Orders Ledger'!$J$2:$J$1501="disputed")+('Orders Ledger'!$J$2:$J$1501="PENDING_REVIEW"), ROW('Orders Ledger'!$A$2:$A$1501)-ROW('Orders Ledger'!$A$2)+1), ROW(904:904))), "")</f>
        <v/>
      </c>
      <c r="C962" s="11" t="str">
        <f>IF(B962="","",_xlfn.XLOOKUP(B962,'Orders Ledger'!$A:$A,'Orders Ledger'!$B:$B,""))</f>
        <v/>
      </c>
      <c r="D962" t="str">
        <f>IF(B962="","",_xlfn.XLOOKUP(B962,'Orders Ledger'!$A:$A,'Orders Ledger'!$G:$G,""))</f>
        <v/>
      </c>
      <c r="E962" t="str">
        <f>IF(B962="","",_xlfn.XLOOKUP(B962,'Orders Ledger'!$A:$A,'Orders Ledger'!$H:$H,""))</f>
        <v/>
      </c>
      <c r="F962" t="str">
        <f>IF(B962="","",_xlfn.XLOOKUP(B962,'Orders Ledger'!$A:$A,'Orders Ledger'!$F:$F,""))</f>
        <v/>
      </c>
      <c r="G962" t="str">
        <f>IF(B962="","",_xlfn.XLOOKUP(B962,'Orders Ledger'!$A:$A,'Orders Ledger'!$N:$N,0))</f>
        <v/>
      </c>
    </row>
    <row r="963" spans="2:7" x14ac:dyDescent="0.3">
      <c r="B963" t="str">
        <f t="array" ref="B963">IFERROR(INDEX('Orders Ledger'!$A$2:$A$1501, SMALL(IF(('Orders Ledger'!$J$2:$J$1501="disputed")+('Orders Ledger'!$J$2:$J$1501="PENDING_REVIEW"), ROW('Orders Ledger'!$A$2:$A$1501)-ROW('Orders Ledger'!$A$2)+1), ROW(905:905))), "")</f>
        <v/>
      </c>
      <c r="C963" s="11" t="str">
        <f>IF(B963="","",_xlfn.XLOOKUP(B963,'Orders Ledger'!$A:$A,'Orders Ledger'!$B:$B,""))</f>
        <v/>
      </c>
      <c r="D963" t="str">
        <f>IF(B963="","",_xlfn.XLOOKUP(B963,'Orders Ledger'!$A:$A,'Orders Ledger'!$G:$G,""))</f>
        <v/>
      </c>
      <c r="E963" t="str">
        <f>IF(B963="","",_xlfn.XLOOKUP(B963,'Orders Ledger'!$A:$A,'Orders Ledger'!$H:$H,""))</f>
        <v/>
      </c>
      <c r="F963" t="str">
        <f>IF(B963="","",_xlfn.XLOOKUP(B963,'Orders Ledger'!$A:$A,'Orders Ledger'!$F:$F,""))</f>
        <v/>
      </c>
      <c r="G963" t="str">
        <f>IF(B963="","",_xlfn.XLOOKUP(B963,'Orders Ledger'!$A:$A,'Orders Ledger'!$N:$N,0))</f>
        <v/>
      </c>
    </row>
    <row r="964" spans="2:7" x14ac:dyDescent="0.3">
      <c r="B964" t="str">
        <f t="array" ref="B964">IFERROR(INDEX('Orders Ledger'!$A$2:$A$1501, SMALL(IF(('Orders Ledger'!$J$2:$J$1501="disputed")+('Orders Ledger'!$J$2:$J$1501="PENDING_REVIEW"), ROW('Orders Ledger'!$A$2:$A$1501)-ROW('Orders Ledger'!$A$2)+1), ROW(906:906))), "")</f>
        <v/>
      </c>
      <c r="C964" s="11" t="str">
        <f>IF(B964="","",_xlfn.XLOOKUP(B964,'Orders Ledger'!$A:$A,'Orders Ledger'!$B:$B,""))</f>
        <v/>
      </c>
      <c r="D964" t="str">
        <f>IF(B964="","",_xlfn.XLOOKUP(B964,'Orders Ledger'!$A:$A,'Orders Ledger'!$G:$G,""))</f>
        <v/>
      </c>
      <c r="E964" t="str">
        <f>IF(B964="","",_xlfn.XLOOKUP(B964,'Orders Ledger'!$A:$A,'Orders Ledger'!$H:$H,""))</f>
        <v/>
      </c>
      <c r="F964" t="str">
        <f>IF(B964="","",_xlfn.XLOOKUP(B964,'Orders Ledger'!$A:$A,'Orders Ledger'!$F:$F,""))</f>
        <v/>
      </c>
      <c r="G964" t="str">
        <f>IF(B964="","",_xlfn.XLOOKUP(B964,'Orders Ledger'!$A:$A,'Orders Ledger'!$N:$N,0))</f>
        <v/>
      </c>
    </row>
    <row r="965" spans="2:7" x14ac:dyDescent="0.3">
      <c r="B965" t="str">
        <f t="array" ref="B965">IFERROR(INDEX('Orders Ledger'!$A$2:$A$1501, SMALL(IF(('Orders Ledger'!$J$2:$J$1501="disputed")+('Orders Ledger'!$J$2:$J$1501="PENDING_REVIEW"), ROW('Orders Ledger'!$A$2:$A$1501)-ROW('Orders Ledger'!$A$2)+1), ROW(907:907))), "")</f>
        <v/>
      </c>
      <c r="C965" s="11" t="str">
        <f>IF(B965="","",_xlfn.XLOOKUP(B965,'Orders Ledger'!$A:$A,'Orders Ledger'!$B:$B,""))</f>
        <v/>
      </c>
      <c r="D965" t="str">
        <f>IF(B965="","",_xlfn.XLOOKUP(B965,'Orders Ledger'!$A:$A,'Orders Ledger'!$G:$G,""))</f>
        <v/>
      </c>
      <c r="E965" t="str">
        <f>IF(B965="","",_xlfn.XLOOKUP(B965,'Orders Ledger'!$A:$A,'Orders Ledger'!$H:$H,""))</f>
        <v/>
      </c>
      <c r="F965" t="str">
        <f>IF(B965="","",_xlfn.XLOOKUP(B965,'Orders Ledger'!$A:$A,'Orders Ledger'!$F:$F,""))</f>
        <v/>
      </c>
      <c r="G965" t="str">
        <f>IF(B965="","",_xlfn.XLOOKUP(B965,'Orders Ledger'!$A:$A,'Orders Ledger'!$N:$N,0))</f>
        <v/>
      </c>
    </row>
    <row r="966" spans="2:7" x14ac:dyDescent="0.3">
      <c r="B966" t="str">
        <f t="array" ref="B966">IFERROR(INDEX('Orders Ledger'!$A$2:$A$1501, SMALL(IF(('Orders Ledger'!$J$2:$J$1501="disputed")+('Orders Ledger'!$J$2:$J$1501="PENDING_REVIEW"), ROW('Orders Ledger'!$A$2:$A$1501)-ROW('Orders Ledger'!$A$2)+1), ROW(908:908))), "")</f>
        <v/>
      </c>
      <c r="C966" s="11" t="str">
        <f>IF(B966="","",_xlfn.XLOOKUP(B966,'Orders Ledger'!$A:$A,'Orders Ledger'!$B:$B,""))</f>
        <v/>
      </c>
      <c r="D966" t="str">
        <f>IF(B966="","",_xlfn.XLOOKUP(B966,'Orders Ledger'!$A:$A,'Orders Ledger'!$G:$G,""))</f>
        <v/>
      </c>
      <c r="E966" t="str">
        <f>IF(B966="","",_xlfn.XLOOKUP(B966,'Orders Ledger'!$A:$A,'Orders Ledger'!$H:$H,""))</f>
        <v/>
      </c>
      <c r="F966" t="str">
        <f>IF(B966="","",_xlfn.XLOOKUP(B966,'Orders Ledger'!$A:$A,'Orders Ledger'!$F:$F,""))</f>
        <v/>
      </c>
      <c r="G966" t="str">
        <f>IF(B966="","",_xlfn.XLOOKUP(B966,'Orders Ledger'!$A:$A,'Orders Ledger'!$N:$N,0))</f>
        <v/>
      </c>
    </row>
    <row r="967" spans="2:7" x14ac:dyDescent="0.3">
      <c r="B967" t="str">
        <f t="array" ref="B967">IFERROR(INDEX('Orders Ledger'!$A$2:$A$1501, SMALL(IF(('Orders Ledger'!$J$2:$J$1501="disputed")+('Orders Ledger'!$J$2:$J$1501="PENDING_REVIEW"), ROW('Orders Ledger'!$A$2:$A$1501)-ROW('Orders Ledger'!$A$2)+1), ROW(909:909))), "")</f>
        <v/>
      </c>
      <c r="C967" s="11" t="str">
        <f>IF(B967="","",_xlfn.XLOOKUP(B967,'Orders Ledger'!$A:$A,'Orders Ledger'!$B:$B,""))</f>
        <v/>
      </c>
      <c r="D967" t="str">
        <f>IF(B967="","",_xlfn.XLOOKUP(B967,'Orders Ledger'!$A:$A,'Orders Ledger'!$G:$G,""))</f>
        <v/>
      </c>
      <c r="E967" t="str">
        <f>IF(B967="","",_xlfn.XLOOKUP(B967,'Orders Ledger'!$A:$A,'Orders Ledger'!$H:$H,""))</f>
        <v/>
      </c>
      <c r="F967" t="str">
        <f>IF(B967="","",_xlfn.XLOOKUP(B967,'Orders Ledger'!$A:$A,'Orders Ledger'!$F:$F,""))</f>
        <v/>
      </c>
      <c r="G967" t="str">
        <f>IF(B967="","",_xlfn.XLOOKUP(B967,'Orders Ledger'!$A:$A,'Orders Ledger'!$N:$N,0))</f>
        <v/>
      </c>
    </row>
    <row r="968" spans="2:7" x14ac:dyDescent="0.3">
      <c r="B968" t="str">
        <f t="array" ref="B968">IFERROR(INDEX('Orders Ledger'!$A$2:$A$1501, SMALL(IF(('Orders Ledger'!$J$2:$J$1501="disputed")+('Orders Ledger'!$J$2:$J$1501="PENDING_REVIEW"), ROW('Orders Ledger'!$A$2:$A$1501)-ROW('Orders Ledger'!$A$2)+1), ROW(910:910))), "")</f>
        <v/>
      </c>
      <c r="C968" s="11" t="str">
        <f>IF(B968="","",_xlfn.XLOOKUP(B968,'Orders Ledger'!$A:$A,'Orders Ledger'!$B:$B,""))</f>
        <v/>
      </c>
      <c r="D968" t="str">
        <f>IF(B968="","",_xlfn.XLOOKUP(B968,'Orders Ledger'!$A:$A,'Orders Ledger'!$G:$G,""))</f>
        <v/>
      </c>
      <c r="E968" t="str">
        <f>IF(B968="","",_xlfn.XLOOKUP(B968,'Orders Ledger'!$A:$A,'Orders Ledger'!$H:$H,""))</f>
        <v/>
      </c>
      <c r="F968" t="str">
        <f>IF(B968="","",_xlfn.XLOOKUP(B968,'Orders Ledger'!$A:$A,'Orders Ledger'!$F:$F,""))</f>
        <v/>
      </c>
      <c r="G968" t="str">
        <f>IF(B968="","",_xlfn.XLOOKUP(B968,'Orders Ledger'!$A:$A,'Orders Ledger'!$N:$N,0))</f>
        <v/>
      </c>
    </row>
    <row r="969" spans="2:7" x14ac:dyDescent="0.3">
      <c r="B969" t="str">
        <f t="array" ref="B969">IFERROR(INDEX('Orders Ledger'!$A$2:$A$1501, SMALL(IF(('Orders Ledger'!$J$2:$J$1501="disputed")+('Orders Ledger'!$J$2:$J$1501="PENDING_REVIEW"), ROW('Orders Ledger'!$A$2:$A$1501)-ROW('Orders Ledger'!$A$2)+1), ROW(911:911))), "")</f>
        <v/>
      </c>
      <c r="C969" s="11" t="str">
        <f>IF(B969="","",_xlfn.XLOOKUP(B969,'Orders Ledger'!$A:$A,'Orders Ledger'!$B:$B,""))</f>
        <v/>
      </c>
      <c r="D969" t="str">
        <f>IF(B969="","",_xlfn.XLOOKUP(B969,'Orders Ledger'!$A:$A,'Orders Ledger'!$G:$G,""))</f>
        <v/>
      </c>
      <c r="E969" t="str">
        <f>IF(B969="","",_xlfn.XLOOKUP(B969,'Orders Ledger'!$A:$A,'Orders Ledger'!$H:$H,""))</f>
        <v/>
      </c>
      <c r="F969" t="str">
        <f>IF(B969="","",_xlfn.XLOOKUP(B969,'Orders Ledger'!$A:$A,'Orders Ledger'!$F:$F,""))</f>
        <v/>
      </c>
      <c r="G969" t="str">
        <f>IF(B969="","",_xlfn.XLOOKUP(B969,'Orders Ledger'!$A:$A,'Orders Ledger'!$N:$N,0))</f>
        <v/>
      </c>
    </row>
    <row r="970" spans="2:7" x14ac:dyDescent="0.3">
      <c r="B970" t="str">
        <f t="array" ref="B970">IFERROR(INDEX('Orders Ledger'!$A$2:$A$1501, SMALL(IF(('Orders Ledger'!$J$2:$J$1501="disputed")+('Orders Ledger'!$J$2:$J$1501="PENDING_REVIEW"), ROW('Orders Ledger'!$A$2:$A$1501)-ROW('Orders Ledger'!$A$2)+1), ROW(912:912))), "")</f>
        <v/>
      </c>
      <c r="C970" s="11" t="str">
        <f>IF(B970="","",_xlfn.XLOOKUP(B970,'Orders Ledger'!$A:$A,'Orders Ledger'!$B:$B,""))</f>
        <v/>
      </c>
      <c r="D970" t="str">
        <f>IF(B970="","",_xlfn.XLOOKUP(B970,'Orders Ledger'!$A:$A,'Orders Ledger'!$G:$G,""))</f>
        <v/>
      </c>
      <c r="E970" t="str">
        <f>IF(B970="","",_xlfn.XLOOKUP(B970,'Orders Ledger'!$A:$A,'Orders Ledger'!$H:$H,""))</f>
        <v/>
      </c>
      <c r="F970" t="str">
        <f>IF(B970="","",_xlfn.XLOOKUP(B970,'Orders Ledger'!$A:$A,'Orders Ledger'!$F:$F,""))</f>
        <v/>
      </c>
      <c r="G970" t="str">
        <f>IF(B970="","",_xlfn.XLOOKUP(B970,'Orders Ledger'!$A:$A,'Orders Ledger'!$N:$N,0))</f>
        <v/>
      </c>
    </row>
    <row r="971" spans="2:7" x14ac:dyDescent="0.3">
      <c r="B971" t="str">
        <f t="array" ref="B971">IFERROR(INDEX('Orders Ledger'!$A$2:$A$1501, SMALL(IF(('Orders Ledger'!$J$2:$J$1501="disputed")+('Orders Ledger'!$J$2:$J$1501="PENDING_REVIEW"), ROW('Orders Ledger'!$A$2:$A$1501)-ROW('Orders Ledger'!$A$2)+1), ROW(913:913))), "")</f>
        <v/>
      </c>
      <c r="C971" s="11" t="str">
        <f>IF(B971="","",_xlfn.XLOOKUP(B971,'Orders Ledger'!$A:$A,'Orders Ledger'!$B:$B,""))</f>
        <v/>
      </c>
      <c r="D971" t="str">
        <f>IF(B971="","",_xlfn.XLOOKUP(B971,'Orders Ledger'!$A:$A,'Orders Ledger'!$G:$G,""))</f>
        <v/>
      </c>
      <c r="E971" t="str">
        <f>IF(B971="","",_xlfn.XLOOKUP(B971,'Orders Ledger'!$A:$A,'Orders Ledger'!$H:$H,""))</f>
        <v/>
      </c>
      <c r="F971" t="str">
        <f>IF(B971="","",_xlfn.XLOOKUP(B971,'Orders Ledger'!$A:$A,'Orders Ledger'!$F:$F,""))</f>
        <v/>
      </c>
      <c r="G971" t="str">
        <f>IF(B971="","",_xlfn.XLOOKUP(B971,'Orders Ledger'!$A:$A,'Orders Ledger'!$N:$N,0))</f>
        <v/>
      </c>
    </row>
    <row r="972" spans="2:7" x14ac:dyDescent="0.3">
      <c r="B972" t="str">
        <f t="array" ref="B972">IFERROR(INDEX('Orders Ledger'!$A$2:$A$1501, SMALL(IF(('Orders Ledger'!$J$2:$J$1501="disputed")+('Orders Ledger'!$J$2:$J$1501="PENDING_REVIEW"), ROW('Orders Ledger'!$A$2:$A$1501)-ROW('Orders Ledger'!$A$2)+1), ROW(914:914))), "")</f>
        <v/>
      </c>
      <c r="C972" s="11" t="str">
        <f>IF(B972="","",_xlfn.XLOOKUP(B972,'Orders Ledger'!$A:$A,'Orders Ledger'!$B:$B,""))</f>
        <v/>
      </c>
      <c r="D972" t="str">
        <f>IF(B972="","",_xlfn.XLOOKUP(B972,'Orders Ledger'!$A:$A,'Orders Ledger'!$G:$G,""))</f>
        <v/>
      </c>
      <c r="E972" t="str">
        <f>IF(B972="","",_xlfn.XLOOKUP(B972,'Orders Ledger'!$A:$A,'Orders Ledger'!$H:$H,""))</f>
        <v/>
      </c>
      <c r="F972" t="str">
        <f>IF(B972="","",_xlfn.XLOOKUP(B972,'Orders Ledger'!$A:$A,'Orders Ledger'!$F:$F,""))</f>
        <v/>
      </c>
      <c r="G972" t="str">
        <f>IF(B972="","",_xlfn.XLOOKUP(B972,'Orders Ledger'!$A:$A,'Orders Ledger'!$N:$N,0))</f>
        <v/>
      </c>
    </row>
    <row r="973" spans="2:7" x14ac:dyDescent="0.3">
      <c r="B973" t="str">
        <f t="array" ref="B973">IFERROR(INDEX('Orders Ledger'!$A$2:$A$1501, SMALL(IF(('Orders Ledger'!$J$2:$J$1501="disputed")+('Orders Ledger'!$J$2:$J$1501="PENDING_REVIEW"), ROW('Orders Ledger'!$A$2:$A$1501)-ROW('Orders Ledger'!$A$2)+1), ROW(915:915))), "")</f>
        <v/>
      </c>
      <c r="C973" s="11" t="str">
        <f>IF(B973="","",_xlfn.XLOOKUP(B973,'Orders Ledger'!$A:$A,'Orders Ledger'!$B:$B,""))</f>
        <v/>
      </c>
      <c r="D973" t="str">
        <f>IF(B973="","",_xlfn.XLOOKUP(B973,'Orders Ledger'!$A:$A,'Orders Ledger'!$G:$G,""))</f>
        <v/>
      </c>
      <c r="E973" t="str">
        <f>IF(B973="","",_xlfn.XLOOKUP(B973,'Orders Ledger'!$A:$A,'Orders Ledger'!$H:$H,""))</f>
        <v/>
      </c>
      <c r="F973" t="str">
        <f>IF(B973="","",_xlfn.XLOOKUP(B973,'Orders Ledger'!$A:$A,'Orders Ledger'!$F:$F,""))</f>
        <v/>
      </c>
      <c r="G973" t="str">
        <f>IF(B973="","",_xlfn.XLOOKUP(B973,'Orders Ledger'!$A:$A,'Orders Ledger'!$N:$N,0))</f>
        <v/>
      </c>
    </row>
    <row r="974" spans="2:7" x14ac:dyDescent="0.3">
      <c r="B974" t="str">
        <f t="array" ref="B974">IFERROR(INDEX('Orders Ledger'!$A$2:$A$1501, SMALL(IF(('Orders Ledger'!$J$2:$J$1501="disputed")+('Orders Ledger'!$J$2:$J$1501="PENDING_REVIEW"), ROW('Orders Ledger'!$A$2:$A$1501)-ROW('Orders Ledger'!$A$2)+1), ROW(916:916))), "")</f>
        <v/>
      </c>
      <c r="C974" s="11" t="str">
        <f>IF(B974="","",_xlfn.XLOOKUP(B974,'Orders Ledger'!$A:$A,'Orders Ledger'!$B:$B,""))</f>
        <v/>
      </c>
      <c r="D974" t="str">
        <f>IF(B974="","",_xlfn.XLOOKUP(B974,'Orders Ledger'!$A:$A,'Orders Ledger'!$G:$G,""))</f>
        <v/>
      </c>
      <c r="E974" t="str">
        <f>IF(B974="","",_xlfn.XLOOKUP(B974,'Orders Ledger'!$A:$A,'Orders Ledger'!$H:$H,""))</f>
        <v/>
      </c>
      <c r="F974" t="str">
        <f>IF(B974="","",_xlfn.XLOOKUP(B974,'Orders Ledger'!$A:$A,'Orders Ledger'!$F:$F,""))</f>
        <v/>
      </c>
      <c r="G974" t="str">
        <f>IF(B974="","",_xlfn.XLOOKUP(B974,'Orders Ledger'!$A:$A,'Orders Ledger'!$N:$N,0))</f>
        <v/>
      </c>
    </row>
    <row r="975" spans="2:7" x14ac:dyDescent="0.3">
      <c r="B975" t="str">
        <f t="array" ref="B975">IFERROR(INDEX('Orders Ledger'!$A$2:$A$1501, SMALL(IF(('Orders Ledger'!$J$2:$J$1501="disputed")+('Orders Ledger'!$J$2:$J$1501="PENDING_REVIEW"), ROW('Orders Ledger'!$A$2:$A$1501)-ROW('Orders Ledger'!$A$2)+1), ROW(917:917))), "")</f>
        <v/>
      </c>
      <c r="C975" s="11" t="str">
        <f>IF(B975="","",_xlfn.XLOOKUP(B975,'Orders Ledger'!$A:$A,'Orders Ledger'!$B:$B,""))</f>
        <v/>
      </c>
      <c r="D975" t="str">
        <f>IF(B975="","",_xlfn.XLOOKUP(B975,'Orders Ledger'!$A:$A,'Orders Ledger'!$G:$G,""))</f>
        <v/>
      </c>
      <c r="E975" t="str">
        <f>IF(B975="","",_xlfn.XLOOKUP(B975,'Orders Ledger'!$A:$A,'Orders Ledger'!$H:$H,""))</f>
        <v/>
      </c>
      <c r="F975" t="str">
        <f>IF(B975="","",_xlfn.XLOOKUP(B975,'Orders Ledger'!$A:$A,'Orders Ledger'!$F:$F,""))</f>
        <v/>
      </c>
      <c r="G975" t="str">
        <f>IF(B975="","",_xlfn.XLOOKUP(B975,'Orders Ledger'!$A:$A,'Orders Ledger'!$N:$N,0))</f>
        <v/>
      </c>
    </row>
    <row r="976" spans="2:7" x14ac:dyDescent="0.3">
      <c r="B976" t="str">
        <f t="array" ref="B976">IFERROR(INDEX('Orders Ledger'!$A$2:$A$1501, SMALL(IF(('Orders Ledger'!$J$2:$J$1501="disputed")+('Orders Ledger'!$J$2:$J$1501="PENDING_REVIEW"), ROW('Orders Ledger'!$A$2:$A$1501)-ROW('Orders Ledger'!$A$2)+1), ROW(918:918))), "")</f>
        <v/>
      </c>
      <c r="C976" s="11" t="str">
        <f>IF(B976="","",_xlfn.XLOOKUP(B976,'Orders Ledger'!$A:$A,'Orders Ledger'!$B:$B,""))</f>
        <v/>
      </c>
      <c r="D976" t="str">
        <f>IF(B976="","",_xlfn.XLOOKUP(B976,'Orders Ledger'!$A:$A,'Orders Ledger'!$G:$G,""))</f>
        <v/>
      </c>
      <c r="E976" t="str">
        <f>IF(B976="","",_xlfn.XLOOKUP(B976,'Orders Ledger'!$A:$A,'Orders Ledger'!$H:$H,""))</f>
        <v/>
      </c>
      <c r="F976" t="str">
        <f>IF(B976="","",_xlfn.XLOOKUP(B976,'Orders Ledger'!$A:$A,'Orders Ledger'!$F:$F,""))</f>
        <v/>
      </c>
      <c r="G976" t="str">
        <f>IF(B976="","",_xlfn.XLOOKUP(B976,'Orders Ledger'!$A:$A,'Orders Ledger'!$N:$N,0))</f>
        <v/>
      </c>
    </row>
    <row r="977" spans="2:7" x14ac:dyDescent="0.3">
      <c r="B977" t="str">
        <f t="array" ref="B977">IFERROR(INDEX('Orders Ledger'!$A$2:$A$1501, SMALL(IF(('Orders Ledger'!$J$2:$J$1501="disputed")+('Orders Ledger'!$J$2:$J$1501="PENDING_REVIEW"), ROW('Orders Ledger'!$A$2:$A$1501)-ROW('Orders Ledger'!$A$2)+1), ROW(919:919))), "")</f>
        <v/>
      </c>
      <c r="C977" s="11" t="str">
        <f>IF(B977="","",_xlfn.XLOOKUP(B977,'Orders Ledger'!$A:$A,'Orders Ledger'!$B:$B,""))</f>
        <v/>
      </c>
      <c r="D977" t="str">
        <f>IF(B977="","",_xlfn.XLOOKUP(B977,'Orders Ledger'!$A:$A,'Orders Ledger'!$G:$G,""))</f>
        <v/>
      </c>
      <c r="E977" t="str">
        <f>IF(B977="","",_xlfn.XLOOKUP(B977,'Orders Ledger'!$A:$A,'Orders Ledger'!$H:$H,""))</f>
        <v/>
      </c>
      <c r="F977" t="str">
        <f>IF(B977="","",_xlfn.XLOOKUP(B977,'Orders Ledger'!$A:$A,'Orders Ledger'!$F:$F,""))</f>
        <v/>
      </c>
      <c r="G977" t="str">
        <f>IF(B977="","",_xlfn.XLOOKUP(B977,'Orders Ledger'!$A:$A,'Orders Ledger'!$N:$N,0))</f>
        <v/>
      </c>
    </row>
    <row r="978" spans="2:7" x14ac:dyDescent="0.3">
      <c r="B978" t="str">
        <f t="array" ref="B978">IFERROR(INDEX('Orders Ledger'!$A$2:$A$1501, SMALL(IF(('Orders Ledger'!$J$2:$J$1501="disputed")+('Orders Ledger'!$J$2:$J$1501="PENDING_REVIEW"), ROW('Orders Ledger'!$A$2:$A$1501)-ROW('Orders Ledger'!$A$2)+1), ROW(920:920))), "")</f>
        <v/>
      </c>
      <c r="C978" s="11" t="str">
        <f>IF(B978="","",_xlfn.XLOOKUP(B978,'Orders Ledger'!$A:$A,'Orders Ledger'!$B:$B,""))</f>
        <v/>
      </c>
      <c r="D978" t="str">
        <f>IF(B978="","",_xlfn.XLOOKUP(B978,'Orders Ledger'!$A:$A,'Orders Ledger'!$G:$G,""))</f>
        <v/>
      </c>
      <c r="E978" t="str">
        <f>IF(B978="","",_xlfn.XLOOKUP(B978,'Orders Ledger'!$A:$A,'Orders Ledger'!$H:$H,""))</f>
        <v/>
      </c>
      <c r="F978" t="str">
        <f>IF(B978="","",_xlfn.XLOOKUP(B978,'Orders Ledger'!$A:$A,'Orders Ledger'!$F:$F,""))</f>
        <v/>
      </c>
      <c r="G978" t="str">
        <f>IF(B978="","",_xlfn.XLOOKUP(B978,'Orders Ledger'!$A:$A,'Orders Ledger'!$N:$N,0))</f>
        <v/>
      </c>
    </row>
    <row r="979" spans="2:7" x14ac:dyDescent="0.3">
      <c r="B979" t="str">
        <f t="array" ref="B979">IFERROR(INDEX('Orders Ledger'!$A$2:$A$1501, SMALL(IF(('Orders Ledger'!$J$2:$J$1501="disputed")+('Orders Ledger'!$J$2:$J$1501="PENDING_REVIEW"), ROW('Orders Ledger'!$A$2:$A$1501)-ROW('Orders Ledger'!$A$2)+1), ROW(921:921))), "")</f>
        <v/>
      </c>
      <c r="C979" s="11" t="str">
        <f>IF(B979="","",_xlfn.XLOOKUP(B979,'Orders Ledger'!$A:$A,'Orders Ledger'!$B:$B,""))</f>
        <v/>
      </c>
      <c r="D979" t="str">
        <f>IF(B979="","",_xlfn.XLOOKUP(B979,'Orders Ledger'!$A:$A,'Orders Ledger'!$G:$G,""))</f>
        <v/>
      </c>
      <c r="E979" t="str">
        <f>IF(B979="","",_xlfn.XLOOKUP(B979,'Orders Ledger'!$A:$A,'Orders Ledger'!$H:$H,""))</f>
        <v/>
      </c>
      <c r="F979" t="str">
        <f>IF(B979="","",_xlfn.XLOOKUP(B979,'Orders Ledger'!$A:$A,'Orders Ledger'!$F:$F,""))</f>
        <v/>
      </c>
      <c r="G979" t="str">
        <f>IF(B979="","",_xlfn.XLOOKUP(B979,'Orders Ledger'!$A:$A,'Orders Ledger'!$N:$N,0))</f>
        <v/>
      </c>
    </row>
    <row r="980" spans="2:7" x14ac:dyDescent="0.3">
      <c r="B980" t="str">
        <f t="array" ref="B980">IFERROR(INDEX('Orders Ledger'!$A$2:$A$1501, SMALL(IF(('Orders Ledger'!$J$2:$J$1501="disputed")+('Orders Ledger'!$J$2:$J$1501="PENDING_REVIEW"), ROW('Orders Ledger'!$A$2:$A$1501)-ROW('Orders Ledger'!$A$2)+1), ROW(922:922))), "")</f>
        <v/>
      </c>
      <c r="C980" s="11" t="str">
        <f>IF(B980="","",_xlfn.XLOOKUP(B980,'Orders Ledger'!$A:$A,'Orders Ledger'!$B:$B,""))</f>
        <v/>
      </c>
      <c r="D980" t="str">
        <f>IF(B980="","",_xlfn.XLOOKUP(B980,'Orders Ledger'!$A:$A,'Orders Ledger'!$G:$G,""))</f>
        <v/>
      </c>
      <c r="E980" t="str">
        <f>IF(B980="","",_xlfn.XLOOKUP(B980,'Orders Ledger'!$A:$A,'Orders Ledger'!$H:$H,""))</f>
        <v/>
      </c>
      <c r="F980" t="str">
        <f>IF(B980="","",_xlfn.XLOOKUP(B980,'Orders Ledger'!$A:$A,'Orders Ledger'!$F:$F,""))</f>
        <v/>
      </c>
      <c r="G980" t="str">
        <f>IF(B980="","",_xlfn.XLOOKUP(B980,'Orders Ledger'!$A:$A,'Orders Ledger'!$N:$N,0))</f>
        <v/>
      </c>
    </row>
    <row r="981" spans="2:7" x14ac:dyDescent="0.3">
      <c r="B981" t="str">
        <f t="array" ref="B981">IFERROR(INDEX('Orders Ledger'!$A$2:$A$1501, SMALL(IF(('Orders Ledger'!$J$2:$J$1501="disputed")+('Orders Ledger'!$J$2:$J$1501="PENDING_REVIEW"), ROW('Orders Ledger'!$A$2:$A$1501)-ROW('Orders Ledger'!$A$2)+1), ROW(923:923))), "")</f>
        <v/>
      </c>
      <c r="C981" s="11" t="str">
        <f>IF(B981="","",_xlfn.XLOOKUP(B981,'Orders Ledger'!$A:$A,'Orders Ledger'!$B:$B,""))</f>
        <v/>
      </c>
      <c r="D981" t="str">
        <f>IF(B981="","",_xlfn.XLOOKUP(B981,'Orders Ledger'!$A:$A,'Orders Ledger'!$G:$G,""))</f>
        <v/>
      </c>
      <c r="E981" t="str">
        <f>IF(B981="","",_xlfn.XLOOKUP(B981,'Orders Ledger'!$A:$A,'Orders Ledger'!$H:$H,""))</f>
        <v/>
      </c>
      <c r="F981" t="str">
        <f>IF(B981="","",_xlfn.XLOOKUP(B981,'Orders Ledger'!$A:$A,'Orders Ledger'!$F:$F,""))</f>
        <v/>
      </c>
      <c r="G981" t="str">
        <f>IF(B981="","",_xlfn.XLOOKUP(B981,'Orders Ledger'!$A:$A,'Orders Ledger'!$N:$N,0))</f>
        <v/>
      </c>
    </row>
    <row r="982" spans="2:7" x14ac:dyDescent="0.3">
      <c r="B982" t="str">
        <f t="array" ref="B982">IFERROR(INDEX('Orders Ledger'!$A$2:$A$1501, SMALL(IF(('Orders Ledger'!$J$2:$J$1501="disputed")+('Orders Ledger'!$J$2:$J$1501="PENDING_REVIEW"), ROW('Orders Ledger'!$A$2:$A$1501)-ROW('Orders Ledger'!$A$2)+1), ROW(924:924))), "")</f>
        <v/>
      </c>
      <c r="C982" s="11" t="str">
        <f>IF(B982="","",_xlfn.XLOOKUP(B982,'Orders Ledger'!$A:$A,'Orders Ledger'!$B:$B,""))</f>
        <v/>
      </c>
      <c r="D982" t="str">
        <f>IF(B982="","",_xlfn.XLOOKUP(B982,'Orders Ledger'!$A:$A,'Orders Ledger'!$G:$G,""))</f>
        <v/>
      </c>
      <c r="E982" t="str">
        <f>IF(B982="","",_xlfn.XLOOKUP(B982,'Orders Ledger'!$A:$A,'Orders Ledger'!$H:$H,""))</f>
        <v/>
      </c>
      <c r="F982" t="str">
        <f>IF(B982="","",_xlfn.XLOOKUP(B982,'Orders Ledger'!$A:$A,'Orders Ledger'!$F:$F,""))</f>
        <v/>
      </c>
      <c r="G982" t="str">
        <f>IF(B982="","",_xlfn.XLOOKUP(B982,'Orders Ledger'!$A:$A,'Orders Ledger'!$N:$N,0))</f>
        <v/>
      </c>
    </row>
    <row r="983" spans="2:7" x14ac:dyDescent="0.3">
      <c r="B983" t="str">
        <f t="array" ref="B983">IFERROR(INDEX('Orders Ledger'!$A$2:$A$1501, SMALL(IF(('Orders Ledger'!$J$2:$J$1501="disputed")+('Orders Ledger'!$J$2:$J$1501="PENDING_REVIEW"), ROW('Orders Ledger'!$A$2:$A$1501)-ROW('Orders Ledger'!$A$2)+1), ROW(925:925))), "")</f>
        <v/>
      </c>
      <c r="C983" s="11" t="str">
        <f>IF(B983="","",_xlfn.XLOOKUP(B983,'Orders Ledger'!$A:$A,'Orders Ledger'!$B:$B,""))</f>
        <v/>
      </c>
      <c r="D983" t="str">
        <f>IF(B983="","",_xlfn.XLOOKUP(B983,'Orders Ledger'!$A:$A,'Orders Ledger'!$G:$G,""))</f>
        <v/>
      </c>
      <c r="E983" t="str">
        <f>IF(B983="","",_xlfn.XLOOKUP(B983,'Orders Ledger'!$A:$A,'Orders Ledger'!$H:$H,""))</f>
        <v/>
      </c>
      <c r="F983" t="str">
        <f>IF(B983="","",_xlfn.XLOOKUP(B983,'Orders Ledger'!$A:$A,'Orders Ledger'!$F:$F,""))</f>
        <v/>
      </c>
      <c r="G983" t="str">
        <f>IF(B983="","",_xlfn.XLOOKUP(B983,'Orders Ledger'!$A:$A,'Orders Ledger'!$N:$N,0))</f>
        <v/>
      </c>
    </row>
    <row r="984" spans="2:7" x14ac:dyDescent="0.3">
      <c r="B984" t="str">
        <f t="array" ref="B984">IFERROR(INDEX('Orders Ledger'!$A$2:$A$1501, SMALL(IF(('Orders Ledger'!$J$2:$J$1501="disputed")+('Orders Ledger'!$J$2:$J$1501="PENDING_REVIEW"), ROW('Orders Ledger'!$A$2:$A$1501)-ROW('Orders Ledger'!$A$2)+1), ROW(926:926))), "")</f>
        <v/>
      </c>
      <c r="C984" s="11" t="str">
        <f>IF(B984="","",_xlfn.XLOOKUP(B984,'Orders Ledger'!$A:$A,'Orders Ledger'!$B:$B,""))</f>
        <v/>
      </c>
      <c r="D984" t="str">
        <f>IF(B984="","",_xlfn.XLOOKUP(B984,'Orders Ledger'!$A:$A,'Orders Ledger'!$G:$G,""))</f>
        <v/>
      </c>
      <c r="E984" t="str">
        <f>IF(B984="","",_xlfn.XLOOKUP(B984,'Orders Ledger'!$A:$A,'Orders Ledger'!$H:$H,""))</f>
        <v/>
      </c>
      <c r="F984" t="str">
        <f>IF(B984="","",_xlfn.XLOOKUP(B984,'Orders Ledger'!$A:$A,'Orders Ledger'!$F:$F,""))</f>
        <v/>
      </c>
      <c r="G984" t="str">
        <f>IF(B984="","",_xlfn.XLOOKUP(B984,'Orders Ledger'!$A:$A,'Orders Ledger'!$N:$N,0))</f>
        <v/>
      </c>
    </row>
    <row r="985" spans="2:7" x14ac:dyDescent="0.3">
      <c r="B985" t="str">
        <f t="array" ref="B985">IFERROR(INDEX('Orders Ledger'!$A$2:$A$1501, SMALL(IF(('Orders Ledger'!$J$2:$J$1501="disputed")+('Orders Ledger'!$J$2:$J$1501="PENDING_REVIEW"), ROW('Orders Ledger'!$A$2:$A$1501)-ROW('Orders Ledger'!$A$2)+1), ROW(927:927))), "")</f>
        <v/>
      </c>
      <c r="C985" s="11" t="str">
        <f>IF(B985="","",_xlfn.XLOOKUP(B985,'Orders Ledger'!$A:$A,'Orders Ledger'!$B:$B,""))</f>
        <v/>
      </c>
      <c r="D985" t="str">
        <f>IF(B985="","",_xlfn.XLOOKUP(B985,'Orders Ledger'!$A:$A,'Orders Ledger'!$G:$G,""))</f>
        <v/>
      </c>
      <c r="E985" t="str">
        <f>IF(B985="","",_xlfn.XLOOKUP(B985,'Orders Ledger'!$A:$A,'Orders Ledger'!$H:$H,""))</f>
        <v/>
      </c>
      <c r="F985" t="str">
        <f>IF(B985="","",_xlfn.XLOOKUP(B985,'Orders Ledger'!$A:$A,'Orders Ledger'!$F:$F,""))</f>
        <v/>
      </c>
      <c r="G985" t="str">
        <f>IF(B985="","",_xlfn.XLOOKUP(B985,'Orders Ledger'!$A:$A,'Orders Ledger'!$N:$N,0))</f>
        <v/>
      </c>
    </row>
    <row r="986" spans="2:7" x14ac:dyDescent="0.3">
      <c r="B986" t="str">
        <f t="array" ref="B986">IFERROR(INDEX('Orders Ledger'!$A$2:$A$1501, SMALL(IF(('Orders Ledger'!$J$2:$J$1501="disputed")+('Orders Ledger'!$J$2:$J$1501="PENDING_REVIEW"), ROW('Orders Ledger'!$A$2:$A$1501)-ROW('Orders Ledger'!$A$2)+1), ROW(928:928))), "")</f>
        <v/>
      </c>
      <c r="C986" s="11" t="str">
        <f>IF(B986="","",_xlfn.XLOOKUP(B986,'Orders Ledger'!$A:$A,'Orders Ledger'!$B:$B,""))</f>
        <v/>
      </c>
      <c r="D986" t="str">
        <f>IF(B986="","",_xlfn.XLOOKUP(B986,'Orders Ledger'!$A:$A,'Orders Ledger'!$G:$G,""))</f>
        <v/>
      </c>
      <c r="E986" t="str">
        <f>IF(B986="","",_xlfn.XLOOKUP(B986,'Orders Ledger'!$A:$A,'Orders Ledger'!$H:$H,""))</f>
        <v/>
      </c>
      <c r="F986" t="str">
        <f>IF(B986="","",_xlfn.XLOOKUP(B986,'Orders Ledger'!$A:$A,'Orders Ledger'!$F:$F,""))</f>
        <v/>
      </c>
      <c r="G986" t="str">
        <f>IF(B986="","",_xlfn.XLOOKUP(B986,'Orders Ledger'!$A:$A,'Orders Ledger'!$N:$N,0))</f>
        <v/>
      </c>
    </row>
    <row r="987" spans="2:7" x14ac:dyDescent="0.3">
      <c r="B987" t="str">
        <f t="array" ref="B987">IFERROR(INDEX('Orders Ledger'!$A$2:$A$1501, SMALL(IF(('Orders Ledger'!$J$2:$J$1501="disputed")+('Orders Ledger'!$J$2:$J$1501="PENDING_REVIEW"), ROW('Orders Ledger'!$A$2:$A$1501)-ROW('Orders Ledger'!$A$2)+1), ROW(929:929))), "")</f>
        <v/>
      </c>
      <c r="C987" s="11" t="str">
        <f>IF(B987="","",_xlfn.XLOOKUP(B987,'Orders Ledger'!$A:$A,'Orders Ledger'!$B:$B,""))</f>
        <v/>
      </c>
      <c r="D987" t="str">
        <f>IF(B987="","",_xlfn.XLOOKUP(B987,'Orders Ledger'!$A:$A,'Orders Ledger'!$G:$G,""))</f>
        <v/>
      </c>
      <c r="E987" t="str">
        <f>IF(B987="","",_xlfn.XLOOKUP(B987,'Orders Ledger'!$A:$A,'Orders Ledger'!$H:$H,""))</f>
        <v/>
      </c>
      <c r="F987" t="str">
        <f>IF(B987="","",_xlfn.XLOOKUP(B987,'Orders Ledger'!$A:$A,'Orders Ledger'!$F:$F,""))</f>
        <v/>
      </c>
      <c r="G987" t="str">
        <f>IF(B987="","",_xlfn.XLOOKUP(B987,'Orders Ledger'!$A:$A,'Orders Ledger'!$N:$N,0))</f>
        <v/>
      </c>
    </row>
    <row r="988" spans="2:7" x14ac:dyDescent="0.3">
      <c r="B988" t="str">
        <f t="array" ref="B988">IFERROR(INDEX('Orders Ledger'!$A$2:$A$1501, SMALL(IF(('Orders Ledger'!$J$2:$J$1501="disputed")+('Orders Ledger'!$J$2:$J$1501="PENDING_REVIEW"), ROW('Orders Ledger'!$A$2:$A$1501)-ROW('Orders Ledger'!$A$2)+1), ROW(930:930))), "")</f>
        <v/>
      </c>
      <c r="C988" s="11" t="str">
        <f>IF(B988="","",_xlfn.XLOOKUP(B988,'Orders Ledger'!$A:$A,'Orders Ledger'!$B:$B,""))</f>
        <v/>
      </c>
      <c r="D988" t="str">
        <f>IF(B988="","",_xlfn.XLOOKUP(B988,'Orders Ledger'!$A:$A,'Orders Ledger'!$G:$G,""))</f>
        <v/>
      </c>
      <c r="E988" t="str">
        <f>IF(B988="","",_xlfn.XLOOKUP(B988,'Orders Ledger'!$A:$A,'Orders Ledger'!$H:$H,""))</f>
        <v/>
      </c>
      <c r="F988" t="str">
        <f>IF(B988="","",_xlfn.XLOOKUP(B988,'Orders Ledger'!$A:$A,'Orders Ledger'!$F:$F,""))</f>
        <v/>
      </c>
      <c r="G988" t="str">
        <f>IF(B988="","",_xlfn.XLOOKUP(B988,'Orders Ledger'!$A:$A,'Orders Ledger'!$N:$N,0))</f>
        <v/>
      </c>
    </row>
    <row r="989" spans="2:7" x14ac:dyDescent="0.3">
      <c r="B989" t="str">
        <f t="array" ref="B989">IFERROR(INDEX('Orders Ledger'!$A$2:$A$1501, SMALL(IF(('Orders Ledger'!$J$2:$J$1501="disputed")+('Orders Ledger'!$J$2:$J$1501="PENDING_REVIEW"), ROW('Orders Ledger'!$A$2:$A$1501)-ROW('Orders Ledger'!$A$2)+1), ROW(931:931))), "")</f>
        <v/>
      </c>
      <c r="C989" s="11" t="str">
        <f>IF(B989="","",_xlfn.XLOOKUP(B989,'Orders Ledger'!$A:$A,'Orders Ledger'!$B:$B,""))</f>
        <v/>
      </c>
      <c r="D989" t="str">
        <f>IF(B989="","",_xlfn.XLOOKUP(B989,'Orders Ledger'!$A:$A,'Orders Ledger'!$G:$G,""))</f>
        <v/>
      </c>
      <c r="E989" t="str">
        <f>IF(B989="","",_xlfn.XLOOKUP(B989,'Orders Ledger'!$A:$A,'Orders Ledger'!$H:$H,""))</f>
        <v/>
      </c>
      <c r="F989" t="str">
        <f>IF(B989="","",_xlfn.XLOOKUP(B989,'Orders Ledger'!$A:$A,'Orders Ledger'!$F:$F,""))</f>
        <v/>
      </c>
      <c r="G989" t="str">
        <f>IF(B989="","",_xlfn.XLOOKUP(B989,'Orders Ledger'!$A:$A,'Orders Ledger'!$N:$N,0))</f>
        <v/>
      </c>
    </row>
    <row r="990" spans="2:7" x14ac:dyDescent="0.3">
      <c r="B990" t="str">
        <f t="array" ref="B990">IFERROR(INDEX('Orders Ledger'!$A$2:$A$1501, SMALL(IF(('Orders Ledger'!$J$2:$J$1501="disputed")+('Orders Ledger'!$J$2:$J$1501="PENDING_REVIEW"), ROW('Orders Ledger'!$A$2:$A$1501)-ROW('Orders Ledger'!$A$2)+1), ROW(932:932))), "")</f>
        <v/>
      </c>
      <c r="C990" s="11" t="str">
        <f>IF(B990="","",_xlfn.XLOOKUP(B990,'Orders Ledger'!$A:$A,'Orders Ledger'!$B:$B,""))</f>
        <v/>
      </c>
      <c r="D990" t="str">
        <f>IF(B990="","",_xlfn.XLOOKUP(B990,'Orders Ledger'!$A:$A,'Orders Ledger'!$G:$G,""))</f>
        <v/>
      </c>
      <c r="E990" t="str">
        <f>IF(B990="","",_xlfn.XLOOKUP(B990,'Orders Ledger'!$A:$A,'Orders Ledger'!$H:$H,""))</f>
        <v/>
      </c>
      <c r="F990" t="str">
        <f>IF(B990="","",_xlfn.XLOOKUP(B990,'Orders Ledger'!$A:$A,'Orders Ledger'!$F:$F,""))</f>
        <v/>
      </c>
      <c r="G990" t="str">
        <f>IF(B990="","",_xlfn.XLOOKUP(B990,'Orders Ledger'!$A:$A,'Orders Ledger'!$N:$N,0))</f>
        <v/>
      </c>
    </row>
    <row r="991" spans="2:7" x14ac:dyDescent="0.3">
      <c r="B991" t="str">
        <f t="array" ref="B991">IFERROR(INDEX('Orders Ledger'!$A$2:$A$1501, SMALL(IF(('Orders Ledger'!$J$2:$J$1501="disputed")+('Orders Ledger'!$J$2:$J$1501="PENDING_REVIEW"), ROW('Orders Ledger'!$A$2:$A$1501)-ROW('Orders Ledger'!$A$2)+1), ROW(933:933))), "")</f>
        <v/>
      </c>
      <c r="C991" s="11" t="str">
        <f>IF(B991="","",_xlfn.XLOOKUP(B991,'Orders Ledger'!$A:$A,'Orders Ledger'!$B:$B,""))</f>
        <v/>
      </c>
      <c r="D991" t="str">
        <f>IF(B991="","",_xlfn.XLOOKUP(B991,'Orders Ledger'!$A:$A,'Orders Ledger'!$G:$G,""))</f>
        <v/>
      </c>
      <c r="E991" t="str">
        <f>IF(B991="","",_xlfn.XLOOKUP(B991,'Orders Ledger'!$A:$A,'Orders Ledger'!$H:$H,""))</f>
        <v/>
      </c>
      <c r="F991" t="str">
        <f>IF(B991="","",_xlfn.XLOOKUP(B991,'Orders Ledger'!$A:$A,'Orders Ledger'!$F:$F,""))</f>
        <v/>
      </c>
      <c r="G991" t="str">
        <f>IF(B991="","",_xlfn.XLOOKUP(B991,'Orders Ledger'!$A:$A,'Orders Ledger'!$N:$N,0))</f>
        <v/>
      </c>
    </row>
    <row r="992" spans="2:7" x14ac:dyDescent="0.3">
      <c r="B992" t="str">
        <f t="array" ref="B992">IFERROR(INDEX('Orders Ledger'!$A$2:$A$1501, SMALL(IF(('Orders Ledger'!$J$2:$J$1501="disputed")+('Orders Ledger'!$J$2:$J$1501="PENDING_REVIEW"), ROW('Orders Ledger'!$A$2:$A$1501)-ROW('Orders Ledger'!$A$2)+1), ROW(934:934))), "")</f>
        <v/>
      </c>
      <c r="C992" s="11" t="str">
        <f>IF(B992="","",_xlfn.XLOOKUP(B992,'Orders Ledger'!$A:$A,'Orders Ledger'!$B:$B,""))</f>
        <v/>
      </c>
      <c r="D992" t="str">
        <f>IF(B992="","",_xlfn.XLOOKUP(B992,'Orders Ledger'!$A:$A,'Orders Ledger'!$G:$G,""))</f>
        <v/>
      </c>
      <c r="E992" t="str">
        <f>IF(B992="","",_xlfn.XLOOKUP(B992,'Orders Ledger'!$A:$A,'Orders Ledger'!$H:$H,""))</f>
        <v/>
      </c>
      <c r="F992" t="str">
        <f>IF(B992="","",_xlfn.XLOOKUP(B992,'Orders Ledger'!$A:$A,'Orders Ledger'!$F:$F,""))</f>
        <v/>
      </c>
      <c r="G992" t="str">
        <f>IF(B992="","",_xlfn.XLOOKUP(B992,'Orders Ledger'!$A:$A,'Orders Ledger'!$N:$N,0))</f>
        <v/>
      </c>
    </row>
    <row r="993" spans="2:7" x14ac:dyDescent="0.3">
      <c r="B993" t="str">
        <f t="array" ref="B993">IFERROR(INDEX('Orders Ledger'!$A$2:$A$1501, SMALL(IF(('Orders Ledger'!$J$2:$J$1501="disputed")+('Orders Ledger'!$J$2:$J$1501="PENDING_REVIEW"), ROW('Orders Ledger'!$A$2:$A$1501)-ROW('Orders Ledger'!$A$2)+1), ROW(935:935))), "")</f>
        <v/>
      </c>
      <c r="C993" s="11" t="str">
        <f>IF(B993="","",_xlfn.XLOOKUP(B993,'Orders Ledger'!$A:$A,'Orders Ledger'!$B:$B,""))</f>
        <v/>
      </c>
      <c r="D993" t="str">
        <f>IF(B993="","",_xlfn.XLOOKUP(B993,'Orders Ledger'!$A:$A,'Orders Ledger'!$G:$G,""))</f>
        <v/>
      </c>
      <c r="E993" t="str">
        <f>IF(B993="","",_xlfn.XLOOKUP(B993,'Orders Ledger'!$A:$A,'Orders Ledger'!$H:$H,""))</f>
        <v/>
      </c>
      <c r="F993" t="str">
        <f>IF(B993="","",_xlfn.XLOOKUP(B993,'Orders Ledger'!$A:$A,'Orders Ledger'!$F:$F,""))</f>
        <v/>
      </c>
      <c r="G993" t="str">
        <f>IF(B993="","",_xlfn.XLOOKUP(B993,'Orders Ledger'!$A:$A,'Orders Ledger'!$N:$N,0))</f>
        <v/>
      </c>
    </row>
    <row r="994" spans="2:7" x14ac:dyDescent="0.3">
      <c r="B994" t="str">
        <f t="array" ref="B994">IFERROR(INDEX('Orders Ledger'!$A$2:$A$1501, SMALL(IF(('Orders Ledger'!$J$2:$J$1501="disputed")+('Orders Ledger'!$J$2:$J$1501="PENDING_REVIEW"), ROW('Orders Ledger'!$A$2:$A$1501)-ROW('Orders Ledger'!$A$2)+1), ROW(936:936))), "")</f>
        <v/>
      </c>
      <c r="C994" s="11" t="str">
        <f>IF(B994="","",_xlfn.XLOOKUP(B994,'Orders Ledger'!$A:$A,'Orders Ledger'!$B:$B,""))</f>
        <v/>
      </c>
      <c r="D994" t="str">
        <f>IF(B994="","",_xlfn.XLOOKUP(B994,'Orders Ledger'!$A:$A,'Orders Ledger'!$G:$G,""))</f>
        <v/>
      </c>
      <c r="E994" t="str">
        <f>IF(B994="","",_xlfn.XLOOKUP(B994,'Orders Ledger'!$A:$A,'Orders Ledger'!$H:$H,""))</f>
        <v/>
      </c>
      <c r="F994" t="str">
        <f>IF(B994="","",_xlfn.XLOOKUP(B994,'Orders Ledger'!$A:$A,'Orders Ledger'!$F:$F,""))</f>
        <v/>
      </c>
      <c r="G994" t="str">
        <f>IF(B994="","",_xlfn.XLOOKUP(B994,'Orders Ledger'!$A:$A,'Orders Ledger'!$N:$N,0))</f>
        <v/>
      </c>
    </row>
    <row r="995" spans="2:7" x14ac:dyDescent="0.3">
      <c r="B995" t="str">
        <f t="array" ref="B995">IFERROR(INDEX('Orders Ledger'!$A$2:$A$1501, SMALL(IF(('Orders Ledger'!$J$2:$J$1501="disputed")+('Orders Ledger'!$J$2:$J$1501="PENDING_REVIEW"), ROW('Orders Ledger'!$A$2:$A$1501)-ROW('Orders Ledger'!$A$2)+1), ROW(937:937))), "")</f>
        <v/>
      </c>
      <c r="C995" s="11" t="str">
        <f>IF(B995="","",_xlfn.XLOOKUP(B995,'Orders Ledger'!$A:$A,'Orders Ledger'!$B:$B,""))</f>
        <v/>
      </c>
      <c r="D995" t="str">
        <f>IF(B995="","",_xlfn.XLOOKUP(B995,'Orders Ledger'!$A:$A,'Orders Ledger'!$G:$G,""))</f>
        <v/>
      </c>
      <c r="E995" t="str">
        <f>IF(B995="","",_xlfn.XLOOKUP(B995,'Orders Ledger'!$A:$A,'Orders Ledger'!$H:$H,""))</f>
        <v/>
      </c>
      <c r="F995" t="str">
        <f>IF(B995="","",_xlfn.XLOOKUP(B995,'Orders Ledger'!$A:$A,'Orders Ledger'!$F:$F,""))</f>
        <v/>
      </c>
      <c r="G995" t="str">
        <f>IF(B995="","",_xlfn.XLOOKUP(B995,'Orders Ledger'!$A:$A,'Orders Ledger'!$N:$N,0))</f>
        <v/>
      </c>
    </row>
    <row r="996" spans="2:7" x14ac:dyDescent="0.3">
      <c r="B996" t="str">
        <f t="array" ref="B996">IFERROR(INDEX('Orders Ledger'!$A$2:$A$1501, SMALL(IF(('Orders Ledger'!$J$2:$J$1501="disputed")+('Orders Ledger'!$J$2:$J$1501="PENDING_REVIEW"), ROW('Orders Ledger'!$A$2:$A$1501)-ROW('Orders Ledger'!$A$2)+1), ROW(938:938))), "")</f>
        <v/>
      </c>
      <c r="C996" s="11" t="str">
        <f>IF(B996="","",_xlfn.XLOOKUP(B996,'Orders Ledger'!$A:$A,'Orders Ledger'!$B:$B,""))</f>
        <v/>
      </c>
      <c r="D996" t="str">
        <f>IF(B996="","",_xlfn.XLOOKUP(B996,'Orders Ledger'!$A:$A,'Orders Ledger'!$G:$G,""))</f>
        <v/>
      </c>
      <c r="E996" t="str">
        <f>IF(B996="","",_xlfn.XLOOKUP(B996,'Orders Ledger'!$A:$A,'Orders Ledger'!$H:$H,""))</f>
        <v/>
      </c>
      <c r="F996" t="str">
        <f>IF(B996="","",_xlfn.XLOOKUP(B996,'Orders Ledger'!$A:$A,'Orders Ledger'!$F:$F,""))</f>
        <v/>
      </c>
      <c r="G996" t="str">
        <f>IF(B996="","",_xlfn.XLOOKUP(B996,'Orders Ledger'!$A:$A,'Orders Ledger'!$N:$N,0))</f>
        <v/>
      </c>
    </row>
    <row r="997" spans="2:7" x14ac:dyDescent="0.3">
      <c r="B997" t="str">
        <f t="array" ref="B997">IFERROR(INDEX('Orders Ledger'!$A$2:$A$1501, SMALL(IF(('Orders Ledger'!$J$2:$J$1501="disputed")+('Orders Ledger'!$J$2:$J$1501="PENDING_REVIEW"), ROW('Orders Ledger'!$A$2:$A$1501)-ROW('Orders Ledger'!$A$2)+1), ROW(939:939))), "")</f>
        <v/>
      </c>
      <c r="C997" s="11" t="str">
        <f>IF(B997="","",_xlfn.XLOOKUP(B997,'Orders Ledger'!$A:$A,'Orders Ledger'!$B:$B,""))</f>
        <v/>
      </c>
      <c r="D997" t="str">
        <f>IF(B997="","",_xlfn.XLOOKUP(B997,'Orders Ledger'!$A:$A,'Orders Ledger'!$G:$G,""))</f>
        <v/>
      </c>
      <c r="E997" t="str">
        <f>IF(B997="","",_xlfn.XLOOKUP(B997,'Orders Ledger'!$A:$A,'Orders Ledger'!$H:$H,""))</f>
        <v/>
      </c>
      <c r="F997" t="str">
        <f>IF(B997="","",_xlfn.XLOOKUP(B997,'Orders Ledger'!$A:$A,'Orders Ledger'!$F:$F,""))</f>
        <v/>
      </c>
      <c r="G997" t="str">
        <f>IF(B997="","",_xlfn.XLOOKUP(B997,'Orders Ledger'!$A:$A,'Orders Ledger'!$N:$N,0))</f>
        <v/>
      </c>
    </row>
    <row r="998" spans="2:7" x14ac:dyDescent="0.3">
      <c r="B998" t="str">
        <f t="array" ref="B998">IFERROR(INDEX('Orders Ledger'!$A$2:$A$1501, SMALL(IF(('Orders Ledger'!$J$2:$J$1501="disputed")+('Orders Ledger'!$J$2:$J$1501="PENDING_REVIEW"), ROW('Orders Ledger'!$A$2:$A$1501)-ROW('Orders Ledger'!$A$2)+1), ROW(940:940))), "")</f>
        <v/>
      </c>
      <c r="C998" s="11" t="str">
        <f>IF(B998="","",_xlfn.XLOOKUP(B998,'Orders Ledger'!$A:$A,'Orders Ledger'!$B:$B,""))</f>
        <v/>
      </c>
      <c r="D998" t="str">
        <f>IF(B998="","",_xlfn.XLOOKUP(B998,'Orders Ledger'!$A:$A,'Orders Ledger'!$G:$G,""))</f>
        <v/>
      </c>
      <c r="E998" t="str">
        <f>IF(B998="","",_xlfn.XLOOKUP(B998,'Orders Ledger'!$A:$A,'Orders Ledger'!$H:$H,""))</f>
        <v/>
      </c>
      <c r="F998" t="str">
        <f>IF(B998="","",_xlfn.XLOOKUP(B998,'Orders Ledger'!$A:$A,'Orders Ledger'!$F:$F,""))</f>
        <v/>
      </c>
      <c r="G998" t="str">
        <f>IF(B998="","",_xlfn.XLOOKUP(B998,'Orders Ledger'!$A:$A,'Orders Ledger'!$N:$N,0))</f>
        <v/>
      </c>
    </row>
    <row r="999" spans="2:7" x14ac:dyDescent="0.3">
      <c r="B999" t="str">
        <f t="array" ref="B999">IFERROR(INDEX('Orders Ledger'!$A$2:$A$1501, SMALL(IF(('Orders Ledger'!$J$2:$J$1501="disputed")+('Orders Ledger'!$J$2:$J$1501="PENDING_REVIEW"), ROW('Orders Ledger'!$A$2:$A$1501)-ROW('Orders Ledger'!$A$2)+1), ROW(941:941))), "")</f>
        <v/>
      </c>
      <c r="C999" s="11" t="str">
        <f>IF(B999="","",_xlfn.XLOOKUP(B999,'Orders Ledger'!$A:$A,'Orders Ledger'!$B:$B,""))</f>
        <v/>
      </c>
      <c r="D999" t="str">
        <f>IF(B999="","",_xlfn.XLOOKUP(B999,'Orders Ledger'!$A:$A,'Orders Ledger'!$G:$G,""))</f>
        <v/>
      </c>
      <c r="E999" t="str">
        <f>IF(B999="","",_xlfn.XLOOKUP(B999,'Orders Ledger'!$A:$A,'Orders Ledger'!$H:$H,""))</f>
        <v/>
      </c>
      <c r="F999" t="str">
        <f>IF(B999="","",_xlfn.XLOOKUP(B999,'Orders Ledger'!$A:$A,'Orders Ledger'!$F:$F,""))</f>
        <v/>
      </c>
      <c r="G999" t="str">
        <f>IF(B999="","",_xlfn.XLOOKUP(B999,'Orders Ledger'!$A:$A,'Orders Ledger'!$N:$N,0))</f>
        <v/>
      </c>
    </row>
    <row r="1000" spans="2:7" x14ac:dyDescent="0.3">
      <c r="B1000" t="str">
        <f t="array" ref="B1000">IFERROR(INDEX('Orders Ledger'!$A$2:$A$1501, SMALL(IF(('Orders Ledger'!$J$2:$J$1501="disputed")+('Orders Ledger'!$J$2:$J$1501="PENDING_REVIEW"), ROW('Orders Ledger'!$A$2:$A$1501)-ROW('Orders Ledger'!$A$2)+1), ROW(942:942))), "")</f>
        <v/>
      </c>
      <c r="C1000" s="11" t="str">
        <f>IF(B1000="","",_xlfn.XLOOKUP(B1000,'Orders Ledger'!$A:$A,'Orders Ledger'!$B:$B,""))</f>
        <v/>
      </c>
      <c r="D1000" t="str">
        <f>IF(B1000="","",_xlfn.XLOOKUP(B1000,'Orders Ledger'!$A:$A,'Orders Ledger'!$G:$G,""))</f>
        <v/>
      </c>
      <c r="E1000" t="str">
        <f>IF(B1000="","",_xlfn.XLOOKUP(B1000,'Orders Ledger'!$A:$A,'Orders Ledger'!$H:$H,""))</f>
        <v/>
      </c>
      <c r="F1000" t="str">
        <f>IF(B1000="","",_xlfn.XLOOKUP(B1000,'Orders Ledger'!$A:$A,'Orders Ledger'!$F:$F,""))</f>
        <v/>
      </c>
      <c r="G1000" t="str">
        <f>IF(B1000="","",_xlfn.XLOOKUP(B1000,'Orders Ledger'!$A:$A,'Orders Ledger'!$N:$N,0))</f>
        <v/>
      </c>
    </row>
    <row r="1001" spans="2:7" x14ac:dyDescent="0.3">
      <c r="B1001" t="str">
        <f t="array" ref="B1001">IFERROR(INDEX('Orders Ledger'!$A$2:$A$1501, SMALL(IF(('Orders Ledger'!$J$2:$J$1501="disputed")+('Orders Ledger'!$J$2:$J$1501="PENDING_REVIEW"), ROW('Orders Ledger'!$A$2:$A$1501)-ROW('Orders Ledger'!$A$2)+1), ROW(943:943))), "")</f>
        <v/>
      </c>
      <c r="C1001" s="11" t="str">
        <f>IF(B1001="","",_xlfn.XLOOKUP(B1001,'Orders Ledger'!$A:$A,'Orders Ledger'!$B:$B,""))</f>
        <v/>
      </c>
      <c r="D1001" t="str">
        <f>IF(B1001="","",_xlfn.XLOOKUP(B1001,'Orders Ledger'!$A:$A,'Orders Ledger'!$G:$G,""))</f>
        <v/>
      </c>
      <c r="E1001" t="str">
        <f>IF(B1001="","",_xlfn.XLOOKUP(B1001,'Orders Ledger'!$A:$A,'Orders Ledger'!$H:$H,""))</f>
        <v/>
      </c>
      <c r="F1001" t="str">
        <f>IF(B1001="","",_xlfn.XLOOKUP(B1001,'Orders Ledger'!$A:$A,'Orders Ledger'!$F:$F,""))</f>
        <v/>
      </c>
      <c r="G1001" t="str">
        <f>IF(B1001="","",_xlfn.XLOOKUP(B1001,'Orders Ledger'!$A:$A,'Orders Ledger'!$N:$N,0))</f>
        <v/>
      </c>
    </row>
    <row r="1002" spans="2:7" x14ac:dyDescent="0.3">
      <c r="B1002" t="str">
        <f t="array" ref="B1002">IFERROR(INDEX('Orders Ledger'!$A$2:$A$1501, SMALL(IF(('Orders Ledger'!$J$2:$J$1501="disputed")+('Orders Ledger'!$J$2:$J$1501="PENDING_REVIEW"), ROW('Orders Ledger'!$A$2:$A$1501)-ROW('Orders Ledger'!$A$2)+1), ROW(944:944))), "")</f>
        <v/>
      </c>
      <c r="C1002" s="11" t="str">
        <f>IF(B1002="","",_xlfn.XLOOKUP(B1002,'Orders Ledger'!$A:$A,'Orders Ledger'!$B:$B,""))</f>
        <v/>
      </c>
      <c r="D1002" t="str">
        <f>IF(B1002="","",_xlfn.XLOOKUP(B1002,'Orders Ledger'!$A:$A,'Orders Ledger'!$G:$G,""))</f>
        <v/>
      </c>
      <c r="E1002" t="str">
        <f>IF(B1002="","",_xlfn.XLOOKUP(B1002,'Orders Ledger'!$A:$A,'Orders Ledger'!$H:$H,""))</f>
        <v/>
      </c>
      <c r="F1002" t="str">
        <f>IF(B1002="","",_xlfn.XLOOKUP(B1002,'Orders Ledger'!$A:$A,'Orders Ledger'!$F:$F,""))</f>
        <v/>
      </c>
      <c r="G1002" t="str">
        <f>IF(B1002="","",_xlfn.XLOOKUP(B1002,'Orders Ledger'!$A:$A,'Orders Ledger'!$N:$N,0))</f>
        <v/>
      </c>
    </row>
    <row r="1003" spans="2:7" x14ac:dyDescent="0.3">
      <c r="B1003" t="str">
        <f t="array" ref="B1003">IFERROR(INDEX('Orders Ledger'!$A$2:$A$1501, SMALL(IF(('Orders Ledger'!$J$2:$J$1501="disputed")+('Orders Ledger'!$J$2:$J$1501="PENDING_REVIEW"), ROW('Orders Ledger'!$A$2:$A$1501)-ROW('Orders Ledger'!$A$2)+1), ROW(945:945))), "")</f>
        <v/>
      </c>
      <c r="C1003" s="11" t="str">
        <f>IF(B1003="","",_xlfn.XLOOKUP(B1003,'Orders Ledger'!$A:$A,'Orders Ledger'!$B:$B,""))</f>
        <v/>
      </c>
      <c r="D1003" t="str">
        <f>IF(B1003="","",_xlfn.XLOOKUP(B1003,'Orders Ledger'!$A:$A,'Orders Ledger'!$G:$G,""))</f>
        <v/>
      </c>
      <c r="E1003" t="str">
        <f>IF(B1003="","",_xlfn.XLOOKUP(B1003,'Orders Ledger'!$A:$A,'Orders Ledger'!$H:$H,""))</f>
        <v/>
      </c>
      <c r="F1003" t="str">
        <f>IF(B1003="","",_xlfn.XLOOKUP(B1003,'Orders Ledger'!$A:$A,'Orders Ledger'!$F:$F,""))</f>
        <v/>
      </c>
      <c r="G1003" t="str">
        <f>IF(B1003="","",_xlfn.XLOOKUP(B1003,'Orders Ledger'!$A:$A,'Orders Ledger'!$N:$N,0))</f>
        <v/>
      </c>
    </row>
    <row r="1004" spans="2:7" x14ac:dyDescent="0.3">
      <c r="B1004" t="str">
        <f t="array" ref="B1004">IFERROR(INDEX('Orders Ledger'!$A$2:$A$1501, SMALL(IF(('Orders Ledger'!$J$2:$J$1501="disputed")+('Orders Ledger'!$J$2:$J$1501="PENDING_REVIEW"), ROW('Orders Ledger'!$A$2:$A$1501)-ROW('Orders Ledger'!$A$2)+1), ROW(946:946))), "")</f>
        <v/>
      </c>
      <c r="C1004" s="11" t="str">
        <f>IF(B1004="","",_xlfn.XLOOKUP(B1004,'Orders Ledger'!$A:$A,'Orders Ledger'!$B:$B,""))</f>
        <v/>
      </c>
      <c r="D1004" t="str">
        <f>IF(B1004="","",_xlfn.XLOOKUP(B1004,'Orders Ledger'!$A:$A,'Orders Ledger'!$G:$G,""))</f>
        <v/>
      </c>
      <c r="E1004" t="str">
        <f>IF(B1004="","",_xlfn.XLOOKUP(B1004,'Orders Ledger'!$A:$A,'Orders Ledger'!$H:$H,""))</f>
        <v/>
      </c>
      <c r="F1004" t="str">
        <f>IF(B1004="","",_xlfn.XLOOKUP(B1004,'Orders Ledger'!$A:$A,'Orders Ledger'!$F:$F,""))</f>
        <v/>
      </c>
      <c r="G1004" t="str">
        <f>IF(B1004="","",_xlfn.XLOOKUP(B1004,'Orders Ledger'!$A:$A,'Orders Ledger'!$N:$N,0))</f>
        <v/>
      </c>
    </row>
    <row r="1005" spans="2:7" x14ac:dyDescent="0.3">
      <c r="B1005" t="str">
        <f t="array" ref="B1005">IFERROR(INDEX('Orders Ledger'!$A$2:$A$1501, SMALL(IF(('Orders Ledger'!$J$2:$J$1501="disputed")+('Orders Ledger'!$J$2:$J$1501="PENDING_REVIEW"), ROW('Orders Ledger'!$A$2:$A$1501)-ROW('Orders Ledger'!$A$2)+1), ROW(947:947))), "")</f>
        <v/>
      </c>
      <c r="C1005" s="11" t="str">
        <f>IF(B1005="","",_xlfn.XLOOKUP(B1005,'Orders Ledger'!$A:$A,'Orders Ledger'!$B:$B,""))</f>
        <v/>
      </c>
      <c r="D1005" t="str">
        <f>IF(B1005="","",_xlfn.XLOOKUP(B1005,'Orders Ledger'!$A:$A,'Orders Ledger'!$G:$G,""))</f>
        <v/>
      </c>
      <c r="E1005" t="str">
        <f>IF(B1005="","",_xlfn.XLOOKUP(B1005,'Orders Ledger'!$A:$A,'Orders Ledger'!$H:$H,""))</f>
        <v/>
      </c>
      <c r="F1005" t="str">
        <f>IF(B1005="","",_xlfn.XLOOKUP(B1005,'Orders Ledger'!$A:$A,'Orders Ledger'!$F:$F,""))</f>
        <v/>
      </c>
      <c r="G1005" t="str">
        <f>IF(B1005="","",_xlfn.XLOOKUP(B1005,'Orders Ledger'!$A:$A,'Orders Ledger'!$N:$N,0))</f>
        <v/>
      </c>
    </row>
    <row r="1006" spans="2:7" x14ac:dyDescent="0.3">
      <c r="B1006" t="str">
        <f t="array" ref="B1006">IFERROR(INDEX('Orders Ledger'!$A$2:$A$1501, SMALL(IF(('Orders Ledger'!$J$2:$J$1501="disputed")+('Orders Ledger'!$J$2:$J$1501="PENDING_REVIEW"), ROW('Orders Ledger'!$A$2:$A$1501)-ROW('Orders Ledger'!$A$2)+1), ROW(948:948))), "")</f>
        <v/>
      </c>
      <c r="C1006" s="11" t="str">
        <f>IF(B1006="","",_xlfn.XLOOKUP(B1006,'Orders Ledger'!$A:$A,'Orders Ledger'!$B:$B,""))</f>
        <v/>
      </c>
      <c r="D1006" t="str">
        <f>IF(B1006="","",_xlfn.XLOOKUP(B1006,'Orders Ledger'!$A:$A,'Orders Ledger'!$G:$G,""))</f>
        <v/>
      </c>
      <c r="E1006" t="str">
        <f>IF(B1006="","",_xlfn.XLOOKUP(B1006,'Orders Ledger'!$A:$A,'Orders Ledger'!$H:$H,""))</f>
        <v/>
      </c>
      <c r="F1006" t="str">
        <f>IF(B1006="","",_xlfn.XLOOKUP(B1006,'Orders Ledger'!$A:$A,'Orders Ledger'!$F:$F,""))</f>
        <v/>
      </c>
      <c r="G1006" t="str">
        <f>IF(B1006="","",_xlfn.XLOOKUP(B1006,'Orders Ledger'!$A:$A,'Orders Ledger'!$N:$N,0))</f>
        <v/>
      </c>
    </row>
    <row r="1007" spans="2:7" x14ac:dyDescent="0.3">
      <c r="B1007" t="str">
        <f t="array" ref="B1007">IFERROR(INDEX('Orders Ledger'!$A$2:$A$1501, SMALL(IF(('Orders Ledger'!$J$2:$J$1501="disputed")+('Orders Ledger'!$J$2:$J$1501="PENDING_REVIEW"), ROW('Orders Ledger'!$A$2:$A$1501)-ROW('Orders Ledger'!$A$2)+1), ROW(949:949))), "")</f>
        <v/>
      </c>
      <c r="C1007" s="11" t="str">
        <f>IF(B1007="","",_xlfn.XLOOKUP(B1007,'Orders Ledger'!$A:$A,'Orders Ledger'!$B:$B,""))</f>
        <v/>
      </c>
      <c r="D1007" t="str">
        <f>IF(B1007="","",_xlfn.XLOOKUP(B1007,'Orders Ledger'!$A:$A,'Orders Ledger'!$G:$G,""))</f>
        <v/>
      </c>
      <c r="E1007" t="str">
        <f>IF(B1007="","",_xlfn.XLOOKUP(B1007,'Orders Ledger'!$A:$A,'Orders Ledger'!$H:$H,""))</f>
        <v/>
      </c>
      <c r="F1007" t="str">
        <f>IF(B1007="","",_xlfn.XLOOKUP(B1007,'Orders Ledger'!$A:$A,'Orders Ledger'!$F:$F,""))</f>
        <v/>
      </c>
      <c r="G1007" t="str">
        <f>IF(B1007="","",_xlfn.XLOOKUP(B1007,'Orders Ledger'!$A:$A,'Orders Ledger'!$N:$N,0))</f>
        <v/>
      </c>
    </row>
    <row r="1008" spans="2:7" x14ac:dyDescent="0.3">
      <c r="B1008" t="str">
        <f t="array" ref="B1008">IFERROR(INDEX('Orders Ledger'!$A$2:$A$1501, SMALL(IF(('Orders Ledger'!$J$2:$J$1501="disputed")+('Orders Ledger'!$J$2:$J$1501="PENDING_REVIEW"), ROW('Orders Ledger'!$A$2:$A$1501)-ROW('Orders Ledger'!$A$2)+1), ROW(950:950))), "")</f>
        <v/>
      </c>
      <c r="C1008" s="11" t="str">
        <f>IF(B1008="","",_xlfn.XLOOKUP(B1008,'Orders Ledger'!$A:$A,'Orders Ledger'!$B:$B,""))</f>
        <v/>
      </c>
      <c r="D1008" t="str">
        <f>IF(B1008="","",_xlfn.XLOOKUP(B1008,'Orders Ledger'!$A:$A,'Orders Ledger'!$G:$G,""))</f>
        <v/>
      </c>
      <c r="E1008" t="str">
        <f>IF(B1008="","",_xlfn.XLOOKUP(B1008,'Orders Ledger'!$A:$A,'Orders Ledger'!$H:$H,""))</f>
        <v/>
      </c>
      <c r="F1008" t="str">
        <f>IF(B1008="","",_xlfn.XLOOKUP(B1008,'Orders Ledger'!$A:$A,'Orders Ledger'!$F:$F,""))</f>
        <v/>
      </c>
      <c r="G1008" t="str">
        <f>IF(B1008="","",_xlfn.XLOOKUP(B1008,'Orders Ledger'!$A:$A,'Orders Ledger'!$N:$N,0))</f>
        <v/>
      </c>
    </row>
    <row r="1009" spans="2:7" x14ac:dyDescent="0.3">
      <c r="B1009" t="str">
        <f t="array" ref="B1009">IFERROR(INDEX('Orders Ledger'!$A$2:$A$1501, SMALL(IF(('Orders Ledger'!$J$2:$J$1501="disputed")+('Orders Ledger'!$J$2:$J$1501="PENDING_REVIEW"), ROW('Orders Ledger'!$A$2:$A$1501)-ROW('Orders Ledger'!$A$2)+1), ROW(951:951))), "")</f>
        <v/>
      </c>
      <c r="C1009" s="11" t="str">
        <f>IF(B1009="","",_xlfn.XLOOKUP(B1009,'Orders Ledger'!$A:$A,'Orders Ledger'!$B:$B,""))</f>
        <v/>
      </c>
      <c r="D1009" t="str">
        <f>IF(B1009="","",_xlfn.XLOOKUP(B1009,'Orders Ledger'!$A:$A,'Orders Ledger'!$G:$G,""))</f>
        <v/>
      </c>
      <c r="E1009" t="str">
        <f>IF(B1009="","",_xlfn.XLOOKUP(B1009,'Orders Ledger'!$A:$A,'Orders Ledger'!$H:$H,""))</f>
        <v/>
      </c>
      <c r="F1009" t="str">
        <f>IF(B1009="","",_xlfn.XLOOKUP(B1009,'Orders Ledger'!$A:$A,'Orders Ledger'!$F:$F,""))</f>
        <v/>
      </c>
      <c r="G1009" t="str">
        <f>IF(B1009="","",_xlfn.XLOOKUP(B1009,'Orders Ledger'!$A:$A,'Orders Ledger'!$N:$N,0))</f>
        <v/>
      </c>
    </row>
    <row r="1010" spans="2:7" x14ac:dyDescent="0.3">
      <c r="B1010" t="str">
        <f t="array" ref="B1010">IFERROR(INDEX('Orders Ledger'!$A$2:$A$1501, SMALL(IF(('Orders Ledger'!$J$2:$J$1501="disputed")+('Orders Ledger'!$J$2:$J$1501="PENDING_REVIEW"), ROW('Orders Ledger'!$A$2:$A$1501)-ROW('Orders Ledger'!$A$2)+1), ROW(952:952))), "")</f>
        <v/>
      </c>
      <c r="C1010" s="11" t="str">
        <f>IF(B1010="","",_xlfn.XLOOKUP(B1010,'Orders Ledger'!$A:$A,'Orders Ledger'!$B:$B,""))</f>
        <v/>
      </c>
      <c r="D1010" t="str">
        <f>IF(B1010="","",_xlfn.XLOOKUP(B1010,'Orders Ledger'!$A:$A,'Orders Ledger'!$G:$G,""))</f>
        <v/>
      </c>
      <c r="E1010" t="str">
        <f>IF(B1010="","",_xlfn.XLOOKUP(B1010,'Orders Ledger'!$A:$A,'Orders Ledger'!$H:$H,""))</f>
        <v/>
      </c>
      <c r="F1010" t="str">
        <f>IF(B1010="","",_xlfn.XLOOKUP(B1010,'Orders Ledger'!$A:$A,'Orders Ledger'!$F:$F,""))</f>
        <v/>
      </c>
      <c r="G1010" t="str">
        <f>IF(B1010="","",_xlfn.XLOOKUP(B1010,'Orders Ledger'!$A:$A,'Orders Ledger'!$N:$N,0))</f>
        <v/>
      </c>
    </row>
    <row r="1011" spans="2:7" x14ac:dyDescent="0.3">
      <c r="B1011" t="str">
        <f t="array" ref="B1011">IFERROR(INDEX('Orders Ledger'!$A$2:$A$1501, SMALL(IF(('Orders Ledger'!$J$2:$J$1501="disputed")+('Orders Ledger'!$J$2:$J$1501="PENDING_REVIEW"), ROW('Orders Ledger'!$A$2:$A$1501)-ROW('Orders Ledger'!$A$2)+1), ROW(953:953))), "")</f>
        <v/>
      </c>
      <c r="C1011" s="11" t="str">
        <f>IF(B1011="","",_xlfn.XLOOKUP(B1011,'Orders Ledger'!$A:$A,'Orders Ledger'!$B:$B,""))</f>
        <v/>
      </c>
      <c r="D1011" t="str">
        <f>IF(B1011="","",_xlfn.XLOOKUP(B1011,'Orders Ledger'!$A:$A,'Orders Ledger'!$G:$G,""))</f>
        <v/>
      </c>
      <c r="E1011" t="str">
        <f>IF(B1011="","",_xlfn.XLOOKUP(B1011,'Orders Ledger'!$A:$A,'Orders Ledger'!$H:$H,""))</f>
        <v/>
      </c>
      <c r="F1011" t="str">
        <f>IF(B1011="","",_xlfn.XLOOKUP(B1011,'Orders Ledger'!$A:$A,'Orders Ledger'!$F:$F,""))</f>
        <v/>
      </c>
      <c r="G1011" t="str">
        <f>IF(B1011="","",_xlfn.XLOOKUP(B1011,'Orders Ledger'!$A:$A,'Orders Ledger'!$N:$N,0))</f>
        <v/>
      </c>
    </row>
    <row r="1012" spans="2:7" x14ac:dyDescent="0.3">
      <c r="B1012" t="str">
        <f t="array" ref="B1012">IFERROR(INDEX('Orders Ledger'!$A$2:$A$1501, SMALL(IF(('Orders Ledger'!$J$2:$J$1501="disputed")+('Orders Ledger'!$J$2:$J$1501="PENDING_REVIEW"), ROW('Orders Ledger'!$A$2:$A$1501)-ROW('Orders Ledger'!$A$2)+1), ROW(954:954))), "")</f>
        <v/>
      </c>
      <c r="C1012" s="11" t="str">
        <f>IF(B1012="","",_xlfn.XLOOKUP(B1012,'Orders Ledger'!$A:$A,'Orders Ledger'!$B:$B,""))</f>
        <v/>
      </c>
      <c r="D1012" t="str">
        <f>IF(B1012="","",_xlfn.XLOOKUP(B1012,'Orders Ledger'!$A:$A,'Orders Ledger'!$G:$G,""))</f>
        <v/>
      </c>
      <c r="E1012" t="str">
        <f>IF(B1012="","",_xlfn.XLOOKUP(B1012,'Orders Ledger'!$A:$A,'Orders Ledger'!$H:$H,""))</f>
        <v/>
      </c>
      <c r="F1012" t="str">
        <f>IF(B1012="","",_xlfn.XLOOKUP(B1012,'Orders Ledger'!$A:$A,'Orders Ledger'!$F:$F,""))</f>
        <v/>
      </c>
      <c r="G1012" t="str">
        <f>IF(B1012="","",_xlfn.XLOOKUP(B1012,'Orders Ledger'!$A:$A,'Orders Ledger'!$N:$N,0))</f>
        <v/>
      </c>
    </row>
    <row r="1013" spans="2:7" x14ac:dyDescent="0.3">
      <c r="B1013" t="str">
        <f t="array" ref="B1013">IFERROR(INDEX('Orders Ledger'!$A$2:$A$1501, SMALL(IF(('Orders Ledger'!$J$2:$J$1501="disputed")+('Orders Ledger'!$J$2:$J$1501="PENDING_REVIEW"), ROW('Orders Ledger'!$A$2:$A$1501)-ROW('Orders Ledger'!$A$2)+1), ROW(955:955))), "")</f>
        <v/>
      </c>
      <c r="C1013" s="11" t="str">
        <f>IF(B1013="","",_xlfn.XLOOKUP(B1013,'Orders Ledger'!$A:$A,'Orders Ledger'!$B:$B,""))</f>
        <v/>
      </c>
      <c r="D1013" t="str">
        <f>IF(B1013="","",_xlfn.XLOOKUP(B1013,'Orders Ledger'!$A:$A,'Orders Ledger'!$G:$G,""))</f>
        <v/>
      </c>
      <c r="E1013" t="str">
        <f>IF(B1013="","",_xlfn.XLOOKUP(B1013,'Orders Ledger'!$A:$A,'Orders Ledger'!$H:$H,""))</f>
        <v/>
      </c>
      <c r="F1013" t="str">
        <f>IF(B1013="","",_xlfn.XLOOKUP(B1013,'Orders Ledger'!$A:$A,'Orders Ledger'!$F:$F,""))</f>
        <v/>
      </c>
      <c r="G1013" t="str">
        <f>IF(B1013="","",_xlfn.XLOOKUP(B1013,'Orders Ledger'!$A:$A,'Orders Ledger'!$N:$N,0))</f>
        <v/>
      </c>
    </row>
    <row r="1014" spans="2:7" x14ac:dyDescent="0.3">
      <c r="B1014" t="str">
        <f t="array" ref="B1014">IFERROR(INDEX('Orders Ledger'!$A$2:$A$1501, SMALL(IF(('Orders Ledger'!$J$2:$J$1501="disputed")+('Orders Ledger'!$J$2:$J$1501="PENDING_REVIEW"), ROW('Orders Ledger'!$A$2:$A$1501)-ROW('Orders Ledger'!$A$2)+1), ROW(956:956))), "")</f>
        <v/>
      </c>
      <c r="C1014" s="11" t="str">
        <f>IF(B1014="","",_xlfn.XLOOKUP(B1014,'Orders Ledger'!$A:$A,'Orders Ledger'!$B:$B,""))</f>
        <v/>
      </c>
      <c r="D1014" t="str">
        <f>IF(B1014="","",_xlfn.XLOOKUP(B1014,'Orders Ledger'!$A:$A,'Orders Ledger'!$G:$G,""))</f>
        <v/>
      </c>
      <c r="E1014" t="str">
        <f>IF(B1014="","",_xlfn.XLOOKUP(B1014,'Orders Ledger'!$A:$A,'Orders Ledger'!$H:$H,""))</f>
        <v/>
      </c>
      <c r="F1014" t="str">
        <f>IF(B1014="","",_xlfn.XLOOKUP(B1014,'Orders Ledger'!$A:$A,'Orders Ledger'!$F:$F,""))</f>
        <v/>
      </c>
      <c r="G1014" t="str">
        <f>IF(B1014="","",_xlfn.XLOOKUP(B1014,'Orders Ledger'!$A:$A,'Orders Ledger'!$N:$N,0))</f>
        <v/>
      </c>
    </row>
    <row r="1015" spans="2:7" x14ac:dyDescent="0.3">
      <c r="B1015" t="str">
        <f t="array" ref="B1015">IFERROR(INDEX('Orders Ledger'!$A$2:$A$1501, SMALL(IF(('Orders Ledger'!$J$2:$J$1501="disputed")+('Orders Ledger'!$J$2:$J$1501="PENDING_REVIEW"), ROW('Orders Ledger'!$A$2:$A$1501)-ROW('Orders Ledger'!$A$2)+1), ROW(957:957))), "")</f>
        <v/>
      </c>
      <c r="C1015" s="11" t="str">
        <f>IF(B1015="","",_xlfn.XLOOKUP(B1015,'Orders Ledger'!$A:$A,'Orders Ledger'!$B:$B,""))</f>
        <v/>
      </c>
      <c r="D1015" t="str">
        <f>IF(B1015="","",_xlfn.XLOOKUP(B1015,'Orders Ledger'!$A:$A,'Orders Ledger'!$G:$G,""))</f>
        <v/>
      </c>
      <c r="E1015" t="str">
        <f>IF(B1015="","",_xlfn.XLOOKUP(B1015,'Orders Ledger'!$A:$A,'Orders Ledger'!$H:$H,""))</f>
        <v/>
      </c>
      <c r="F1015" t="str">
        <f>IF(B1015="","",_xlfn.XLOOKUP(B1015,'Orders Ledger'!$A:$A,'Orders Ledger'!$F:$F,""))</f>
        <v/>
      </c>
      <c r="G1015" t="str">
        <f>IF(B1015="","",_xlfn.XLOOKUP(B1015,'Orders Ledger'!$A:$A,'Orders Ledger'!$N:$N,0))</f>
        <v/>
      </c>
    </row>
    <row r="1016" spans="2:7" x14ac:dyDescent="0.3">
      <c r="B1016" t="str">
        <f t="array" ref="B1016">IFERROR(INDEX('Orders Ledger'!$A$2:$A$1501, SMALL(IF(('Orders Ledger'!$J$2:$J$1501="disputed")+('Orders Ledger'!$J$2:$J$1501="PENDING_REVIEW"), ROW('Orders Ledger'!$A$2:$A$1501)-ROW('Orders Ledger'!$A$2)+1), ROW(958:958))), "")</f>
        <v/>
      </c>
      <c r="C1016" s="11" t="str">
        <f>IF(B1016="","",_xlfn.XLOOKUP(B1016,'Orders Ledger'!$A:$A,'Orders Ledger'!$B:$B,""))</f>
        <v/>
      </c>
      <c r="D1016" t="str">
        <f>IF(B1016="","",_xlfn.XLOOKUP(B1016,'Orders Ledger'!$A:$A,'Orders Ledger'!$G:$G,""))</f>
        <v/>
      </c>
      <c r="E1016" t="str">
        <f>IF(B1016="","",_xlfn.XLOOKUP(B1016,'Orders Ledger'!$A:$A,'Orders Ledger'!$H:$H,""))</f>
        <v/>
      </c>
      <c r="F1016" t="str">
        <f>IF(B1016="","",_xlfn.XLOOKUP(B1016,'Orders Ledger'!$A:$A,'Orders Ledger'!$F:$F,""))</f>
        <v/>
      </c>
      <c r="G1016" t="str">
        <f>IF(B1016="","",_xlfn.XLOOKUP(B1016,'Orders Ledger'!$A:$A,'Orders Ledger'!$N:$N,0))</f>
        <v/>
      </c>
    </row>
    <row r="1017" spans="2:7" x14ac:dyDescent="0.3">
      <c r="B1017" t="str">
        <f t="array" ref="B1017">IFERROR(INDEX('Orders Ledger'!$A$2:$A$1501, SMALL(IF(('Orders Ledger'!$J$2:$J$1501="disputed")+('Orders Ledger'!$J$2:$J$1501="PENDING_REVIEW"), ROW('Orders Ledger'!$A$2:$A$1501)-ROW('Orders Ledger'!$A$2)+1), ROW(959:959))), "")</f>
        <v/>
      </c>
      <c r="C1017" s="11" t="str">
        <f>IF(B1017="","",_xlfn.XLOOKUP(B1017,'Orders Ledger'!$A:$A,'Orders Ledger'!$B:$B,""))</f>
        <v/>
      </c>
      <c r="D1017" t="str">
        <f>IF(B1017="","",_xlfn.XLOOKUP(B1017,'Orders Ledger'!$A:$A,'Orders Ledger'!$G:$G,""))</f>
        <v/>
      </c>
      <c r="E1017" t="str">
        <f>IF(B1017="","",_xlfn.XLOOKUP(B1017,'Orders Ledger'!$A:$A,'Orders Ledger'!$H:$H,""))</f>
        <v/>
      </c>
      <c r="F1017" t="str">
        <f>IF(B1017="","",_xlfn.XLOOKUP(B1017,'Orders Ledger'!$A:$A,'Orders Ledger'!$F:$F,""))</f>
        <v/>
      </c>
      <c r="G1017" t="str">
        <f>IF(B1017="","",_xlfn.XLOOKUP(B1017,'Orders Ledger'!$A:$A,'Orders Ledger'!$N:$N,0))</f>
        <v/>
      </c>
    </row>
    <row r="1018" spans="2:7" x14ac:dyDescent="0.3">
      <c r="B1018" t="str">
        <f t="array" ref="B1018">IFERROR(INDEX('Orders Ledger'!$A$2:$A$1501, SMALL(IF(('Orders Ledger'!$J$2:$J$1501="disputed")+('Orders Ledger'!$J$2:$J$1501="PENDING_REVIEW"), ROW('Orders Ledger'!$A$2:$A$1501)-ROW('Orders Ledger'!$A$2)+1), ROW(960:960))), "")</f>
        <v/>
      </c>
      <c r="C1018" s="11" t="str">
        <f>IF(B1018="","",_xlfn.XLOOKUP(B1018,'Orders Ledger'!$A:$A,'Orders Ledger'!$B:$B,""))</f>
        <v/>
      </c>
      <c r="D1018" t="str">
        <f>IF(B1018="","",_xlfn.XLOOKUP(B1018,'Orders Ledger'!$A:$A,'Orders Ledger'!$G:$G,""))</f>
        <v/>
      </c>
      <c r="E1018" t="str">
        <f>IF(B1018="","",_xlfn.XLOOKUP(B1018,'Orders Ledger'!$A:$A,'Orders Ledger'!$H:$H,""))</f>
        <v/>
      </c>
      <c r="F1018" t="str">
        <f>IF(B1018="","",_xlfn.XLOOKUP(B1018,'Orders Ledger'!$A:$A,'Orders Ledger'!$F:$F,""))</f>
        <v/>
      </c>
      <c r="G1018" t="str">
        <f>IF(B1018="","",_xlfn.XLOOKUP(B1018,'Orders Ledger'!$A:$A,'Orders Ledger'!$N:$N,0))</f>
        <v/>
      </c>
    </row>
    <row r="1019" spans="2:7" x14ac:dyDescent="0.3">
      <c r="B1019" t="str">
        <f t="array" ref="B1019">IFERROR(INDEX('Orders Ledger'!$A$2:$A$1501, SMALL(IF(('Orders Ledger'!$J$2:$J$1501="disputed")+('Orders Ledger'!$J$2:$J$1501="PENDING_REVIEW"), ROW('Orders Ledger'!$A$2:$A$1501)-ROW('Orders Ledger'!$A$2)+1), ROW(961:961))), "")</f>
        <v/>
      </c>
      <c r="C1019" s="11" t="str">
        <f>IF(B1019="","",_xlfn.XLOOKUP(B1019,'Orders Ledger'!$A:$A,'Orders Ledger'!$B:$B,""))</f>
        <v/>
      </c>
      <c r="D1019" t="str">
        <f>IF(B1019="","",_xlfn.XLOOKUP(B1019,'Orders Ledger'!$A:$A,'Orders Ledger'!$G:$G,""))</f>
        <v/>
      </c>
      <c r="E1019" t="str">
        <f>IF(B1019="","",_xlfn.XLOOKUP(B1019,'Orders Ledger'!$A:$A,'Orders Ledger'!$H:$H,""))</f>
        <v/>
      </c>
      <c r="F1019" t="str">
        <f>IF(B1019="","",_xlfn.XLOOKUP(B1019,'Orders Ledger'!$A:$A,'Orders Ledger'!$F:$F,""))</f>
        <v/>
      </c>
      <c r="G1019" t="str">
        <f>IF(B1019="","",_xlfn.XLOOKUP(B1019,'Orders Ledger'!$A:$A,'Orders Ledger'!$N:$N,0))</f>
        <v/>
      </c>
    </row>
    <row r="1020" spans="2:7" x14ac:dyDescent="0.3">
      <c r="B1020" t="str">
        <f t="array" ref="B1020">IFERROR(INDEX('Orders Ledger'!$A$2:$A$1501, SMALL(IF(('Orders Ledger'!$J$2:$J$1501="disputed")+('Orders Ledger'!$J$2:$J$1501="PENDING_REVIEW"), ROW('Orders Ledger'!$A$2:$A$1501)-ROW('Orders Ledger'!$A$2)+1), ROW(962:962))), "")</f>
        <v/>
      </c>
      <c r="C1020" s="11" t="str">
        <f>IF(B1020="","",_xlfn.XLOOKUP(B1020,'Orders Ledger'!$A:$A,'Orders Ledger'!$B:$B,""))</f>
        <v/>
      </c>
      <c r="D1020" t="str">
        <f>IF(B1020="","",_xlfn.XLOOKUP(B1020,'Orders Ledger'!$A:$A,'Orders Ledger'!$G:$G,""))</f>
        <v/>
      </c>
      <c r="E1020" t="str">
        <f>IF(B1020="","",_xlfn.XLOOKUP(B1020,'Orders Ledger'!$A:$A,'Orders Ledger'!$H:$H,""))</f>
        <v/>
      </c>
      <c r="F1020" t="str">
        <f>IF(B1020="","",_xlfn.XLOOKUP(B1020,'Orders Ledger'!$A:$A,'Orders Ledger'!$F:$F,""))</f>
        <v/>
      </c>
      <c r="G1020" t="str">
        <f>IF(B1020="","",_xlfn.XLOOKUP(B1020,'Orders Ledger'!$A:$A,'Orders Ledger'!$N:$N,0))</f>
        <v/>
      </c>
    </row>
    <row r="1021" spans="2:7" x14ac:dyDescent="0.3">
      <c r="B1021" t="str">
        <f t="array" ref="B1021">IFERROR(INDEX('Orders Ledger'!$A$2:$A$1501, SMALL(IF(('Orders Ledger'!$J$2:$J$1501="disputed")+('Orders Ledger'!$J$2:$J$1501="PENDING_REVIEW"), ROW('Orders Ledger'!$A$2:$A$1501)-ROW('Orders Ledger'!$A$2)+1), ROW(963:963))), "")</f>
        <v/>
      </c>
      <c r="C1021" s="11" t="str">
        <f>IF(B1021="","",_xlfn.XLOOKUP(B1021,'Orders Ledger'!$A:$A,'Orders Ledger'!$B:$B,""))</f>
        <v/>
      </c>
      <c r="D1021" t="str">
        <f>IF(B1021="","",_xlfn.XLOOKUP(B1021,'Orders Ledger'!$A:$A,'Orders Ledger'!$G:$G,""))</f>
        <v/>
      </c>
      <c r="E1021" t="str">
        <f>IF(B1021="","",_xlfn.XLOOKUP(B1021,'Orders Ledger'!$A:$A,'Orders Ledger'!$H:$H,""))</f>
        <v/>
      </c>
      <c r="F1021" t="str">
        <f>IF(B1021="","",_xlfn.XLOOKUP(B1021,'Orders Ledger'!$A:$A,'Orders Ledger'!$F:$F,""))</f>
        <v/>
      </c>
      <c r="G1021" t="str">
        <f>IF(B1021="","",_xlfn.XLOOKUP(B1021,'Orders Ledger'!$A:$A,'Orders Ledger'!$N:$N,0))</f>
        <v/>
      </c>
    </row>
    <row r="1022" spans="2:7" x14ac:dyDescent="0.3">
      <c r="B1022" t="str">
        <f t="array" ref="B1022">IFERROR(INDEX('Orders Ledger'!$A$2:$A$1501, SMALL(IF(('Orders Ledger'!$J$2:$J$1501="disputed")+('Orders Ledger'!$J$2:$J$1501="PENDING_REVIEW"), ROW('Orders Ledger'!$A$2:$A$1501)-ROW('Orders Ledger'!$A$2)+1), ROW(964:964))), "")</f>
        <v/>
      </c>
      <c r="C1022" s="11" t="str">
        <f>IF(B1022="","",_xlfn.XLOOKUP(B1022,'Orders Ledger'!$A:$A,'Orders Ledger'!$B:$B,""))</f>
        <v/>
      </c>
      <c r="D1022" t="str">
        <f>IF(B1022="","",_xlfn.XLOOKUP(B1022,'Orders Ledger'!$A:$A,'Orders Ledger'!$G:$G,""))</f>
        <v/>
      </c>
      <c r="E1022" t="str">
        <f>IF(B1022="","",_xlfn.XLOOKUP(B1022,'Orders Ledger'!$A:$A,'Orders Ledger'!$H:$H,""))</f>
        <v/>
      </c>
      <c r="F1022" t="str">
        <f>IF(B1022="","",_xlfn.XLOOKUP(B1022,'Orders Ledger'!$A:$A,'Orders Ledger'!$F:$F,""))</f>
        <v/>
      </c>
      <c r="G1022" t="str">
        <f>IF(B1022="","",_xlfn.XLOOKUP(B1022,'Orders Ledger'!$A:$A,'Orders Ledger'!$N:$N,0))</f>
        <v/>
      </c>
    </row>
    <row r="1023" spans="2:7" x14ac:dyDescent="0.3">
      <c r="B1023" t="str">
        <f t="array" ref="B1023">IFERROR(INDEX('Orders Ledger'!$A$2:$A$1501, SMALL(IF(('Orders Ledger'!$J$2:$J$1501="disputed")+('Orders Ledger'!$J$2:$J$1501="PENDING_REVIEW"), ROW('Orders Ledger'!$A$2:$A$1501)-ROW('Orders Ledger'!$A$2)+1), ROW(965:965))), "")</f>
        <v/>
      </c>
      <c r="C1023" s="11" t="str">
        <f>IF(B1023="","",_xlfn.XLOOKUP(B1023,'Orders Ledger'!$A:$A,'Orders Ledger'!$B:$B,""))</f>
        <v/>
      </c>
      <c r="D1023" t="str">
        <f>IF(B1023="","",_xlfn.XLOOKUP(B1023,'Orders Ledger'!$A:$A,'Orders Ledger'!$G:$G,""))</f>
        <v/>
      </c>
      <c r="E1023" t="str">
        <f>IF(B1023="","",_xlfn.XLOOKUP(B1023,'Orders Ledger'!$A:$A,'Orders Ledger'!$H:$H,""))</f>
        <v/>
      </c>
      <c r="F1023" t="str">
        <f>IF(B1023="","",_xlfn.XLOOKUP(B1023,'Orders Ledger'!$A:$A,'Orders Ledger'!$F:$F,""))</f>
        <v/>
      </c>
      <c r="G1023" t="str">
        <f>IF(B1023="","",_xlfn.XLOOKUP(B1023,'Orders Ledger'!$A:$A,'Orders Ledger'!$N:$N,0))</f>
        <v/>
      </c>
    </row>
    <row r="1024" spans="2:7" x14ac:dyDescent="0.3">
      <c r="B1024" t="str">
        <f t="array" ref="B1024">IFERROR(INDEX('Orders Ledger'!$A$2:$A$1501, SMALL(IF(('Orders Ledger'!$J$2:$J$1501="disputed")+('Orders Ledger'!$J$2:$J$1501="PENDING_REVIEW"), ROW('Orders Ledger'!$A$2:$A$1501)-ROW('Orders Ledger'!$A$2)+1), ROW(966:966))), "")</f>
        <v/>
      </c>
      <c r="C1024" s="11" t="str">
        <f>IF(B1024="","",_xlfn.XLOOKUP(B1024,'Orders Ledger'!$A:$A,'Orders Ledger'!$B:$B,""))</f>
        <v/>
      </c>
      <c r="D1024" t="str">
        <f>IF(B1024="","",_xlfn.XLOOKUP(B1024,'Orders Ledger'!$A:$A,'Orders Ledger'!$G:$G,""))</f>
        <v/>
      </c>
      <c r="E1024" t="str">
        <f>IF(B1024="","",_xlfn.XLOOKUP(B1024,'Orders Ledger'!$A:$A,'Orders Ledger'!$H:$H,""))</f>
        <v/>
      </c>
      <c r="F1024" t="str">
        <f>IF(B1024="","",_xlfn.XLOOKUP(B1024,'Orders Ledger'!$A:$A,'Orders Ledger'!$F:$F,""))</f>
        <v/>
      </c>
      <c r="G1024" t="str">
        <f>IF(B1024="","",_xlfn.XLOOKUP(B1024,'Orders Ledger'!$A:$A,'Orders Ledger'!$N:$N,0))</f>
        <v/>
      </c>
    </row>
    <row r="1025" spans="2:7" x14ac:dyDescent="0.3">
      <c r="B1025" t="str">
        <f t="array" ref="B1025">IFERROR(INDEX('Orders Ledger'!$A$2:$A$1501, SMALL(IF(('Orders Ledger'!$J$2:$J$1501="disputed")+('Orders Ledger'!$J$2:$J$1501="PENDING_REVIEW"), ROW('Orders Ledger'!$A$2:$A$1501)-ROW('Orders Ledger'!$A$2)+1), ROW(967:967))), "")</f>
        <v/>
      </c>
      <c r="C1025" s="11" t="str">
        <f>IF(B1025="","",_xlfn.XLOOKUP(B1025,'Orders Ledger'!$A:$A,'Orders Ledger'!$B:$B,""))</f>
        <v/>
      </c>
      <c r="D1025" t="str">
        <f>IF(B1025="","",_xlfn.XLOOKUP(B1025,'Orders Ledger'!$A:$A,'Orders Ledger'!$G:$G,""))</f>
        <v/>
      </c>
      <c r="E1025" t="str">
        <f>IF(B1025="","",_xlfn.XLOOKUP(B1025,'Orders Ledger'!$A:$A,'Orders Ledger'!$H:$H,""))</f>
        <v/>
      </c>
      <c r="F1025" t="str">
        <f>IF(B1025="","",_xlfn.XLOOKUP(B1025,'Orders Ledger'!$A:$A,'Orders Ledger'!$F:$F,""))</f>
        <v/>
      </c>
      <c r="G1025" t="str">
        <f>IF(B1025="","",_xlfn.XLOOKUP(B1025,'Orders Ledger'!$A:$A,'Orders Ledger'!$N:$N,0))</f>
        <v/>
      </c>
    </row>
    <row r="1026" spans="2:7" x14ac:dyDescent="0.3">
      <c r="B1026" t="str">
        <f t="array" ref="B1026">IFERROR(INDEX('Orders Ledger'!$A$2:$A$1501, SMALL(IF(('Orders Ledger'!$J$2:$J$1501="disputed")+('Orders Ledger'!$J$2:$J$1501="PENDING_REVIEW"), ROW('Orders Ledger'!$A$2:$A$1501)-ROW('Orders Ledger'!$A$2)+1), ROW(968:968))), "")</f>
        <v/>
      </c>
      <c r="C1026" s="11" t="str">
        <f>IF(B1026="","",_xlfn.XLOOKUP(B1026,'Orders Ledger'!$A:$A,'Orders Ledger'!$B:$B,""))</f>
        <v/>
      </c>
      <c r="D1026" t="str">
        <f>IF(B1026="","",_xlfn.XLOOKUP(B1026,'Orders Ledger'!$A:$A,'Orders Ledger'!$G:$G,""))</f>
        <v/>
      </c>
      <c r="E1026" t="str">
        <f>IF(B1026="","",_xlfn.XLOOKUP(B1026,'Orders Ledger'!$A:$A,'Orders Ledger'!$H:$H,""))</f>
        <v/>
      </c>
      <c r="F1026" t="str">
        <f>IF(B1026="","",_xlfn.XLOOKUP(B1026,'Orders Ledger'!$A:$A,'Orders Ledger'!$F:$F,""))</f>
        <v/>
      </c>
      <c r="G1026" t="str">
        <f>IF(B1026="","",_xlfn.XLOOKUP(B1026,'Orders Ledger'!$A:$A,'Orders Ledger'!$N:$N,0))</f>
        <v/>
      </c>
    </row>
    <row r="1027" spans="2:7" x14ac:dyDescent="0.3">
      <c r="B1027" t="str">
        <f t="array" ref="B1027">IFERROR(INDEX('Orders Ledger'!$A$2:$A$1501, SMALL(IF(('Orders Ledger'!$J$2:$J$1501="disputed")+('Orders Ledger'!$J$2:$J$1501="PENDING_REVIEW"), ROW('Orders Ledger'!$A$2:$A$1501)-ROW('Orders Ledger'!$A$2)+1), ROW(969:969))), "")</f>
        <v/>
      </c>
      <c r="C1027" s="11" t="str">
        <f>IF(B1027="","",_xlfn.XLOOKUP(B1027,'Orders Ledger'!$A:$A,'Orders Ledger'!$B:$B,""))</f>
        <v/>
      </c>
      <c r="D1027" t="str">
        <f>IF(B1027="","",_xlfn.XLOOKUP(B1027,'Orders Ledger'!$A:$A,'Orders Ledger'!$G:$G,""))</f>
        <v/>
      </c>
      <c r="E1027" t="str">
        <f>IF(B1027="","",_xlfn.XLOOKUP(B1027,'Orders Ledger'!$A:$A,'Orders Ledger'!$H:$H,""))</f>
        <v/>
      </c>
      <c r="F1027" t="str">
        <f>IF(B1027="","",_xlfn.XLOOKUP(B1027,'Orders Ledger'!$A:$A,'Orders Ledger'!$F:$F,""))</f>
        <v/>
      </c>
      <c r="G1027" t="str">
        <f>IF(B1027="","",_xlfn.XLOOKUP(B1027,'Orders Ledger'!$A:$A,'Orders Ledger'!$N:$N,0))</f>
        <v/>
      </c>
    </row>
    <row r="1028" spans="2:7" x14ac:dyDescent="0.3">
      <c r="B1028" t="str">
        <f t="array" ref="B1028">IFERROR(INDEX('Orders Ledger'!$A$2:$A$1501, SMALL(IF(('Orders Ledger'!$J$2:$J$1501="disputed")+('Orders Ledger'!$J$2:$J$1501="PENDING_REVIEW"), ROW('Orders Ledger'!$A$2:$A$1501)-ROW('Orders Ledger'!$A$2)+1), ROW(970:970))), "")</f>
        <v/>
      </c>
      <c r="C1028" s="11" t="str">
        <f>IF(B1028="","",_xlfn.XLOOKUP(B1028,'Orders Ledger'!$A:$A,'Orders Ledger'!$B:$B,""))</f>
        <v/>
      </c>
      <c r="D1028" t="str">
        <f>IF(B1028="","",_xlfn.XLOOKUP(B1028,'Orders Ledger'!$A:$A,'Orders Ledger'!$G:$G,""))</f>
        <v/>
      </c>
      <c r="E1028" t="str">
        <f>IF(B1028="","",_xlfn.XLOOKUP(B1028,'Orders Ledger'!$A:$A,'Orders Ledger'!$H:$H,""))</f>
        <v/>
      </c>
      <c r="F1028" t="str">
        <f>IF(B1028="","",_xlfn.XLOOKUP(B1028,'Orders Ledger'!$A:$A,'Orders Ledger'!$F:$F,""))</f>
        <v/>
      </c>
      <c r="G1028" t="str">
        <f>IF(B1028="","",_xlfn.XLOOKUP(B1028,'Orders Ledger'!$A:$A,'Orders Ledger'!$N:$N,0))</f>
        <v/>
      </c>
    </row>
    <row r="1029" spans="2:7" x14ac:dyDescent="0.3">
      <c r="B1029" t="str">
        <f t="array" ref="B1029">IFERROR(INDEX('Orders Ledger'!$A$2:$A$1501, SMALL(IF(('Orders Ledger'!$J$2:$J$1501="disputed")+('Orders Ledger'!$J$2:$J$1501="PENDING_REVIEW"), ROW('Orders Ledger'!$A$2:$A$1501)-ROW('Orders Ledger'!$A$2)+1), ROW(971:971))), "")</f>
        <v/>
      </c>
      <c r="C1029" s="11" t="str">
        <f>IF(B1029="","",_xlfn.XLOOKUP(B1029,'Orders Ledger'!$A:$A,'Orders Ledger'!$B:$B,""))</f>
        <v/>
      </c>
      <c r="D1029" t="str">
        <f>IF(B1029="","",_xlfn.XLOOKUP(B1029,'Orders Ledger'!$A:$A,'Orders Ledger'!$G:$G,""))</f>
        <v/>
      </c>
      <c r="E1029" t="str">
        <f>IF(B1029="","",_xlfn.XLOOKUP(B1029,'Orders Ledger'!$A:$A,'Orders Ledger'!$H:$H,""))</f>
        <v/>
      </c>
      <c r="F1029" t="str">
        <f>IF(B1029="","",_xlfn.XLOOKUP(B1029,'Orders Ledger'!$A:$A,'Orders Ledger'!$F:$F,""))</f>
        <v/>
      </c>
      <c r="G1029" t="str">
        <f>IF(B1029="","",_xlfn.XLOOKUP(B1029,'Orders Ledger'!$A:$A,'Orders Ledger'!$N:$N,0))</f>
        <v/>
      </c>
    </row>
    <row r="1030" spans="2:7" x14ac:dyDescent="0.3">
      <c r="B1030" t="str">
        <f t="array" ref="B1030">IFERROR(INDEX('Orders Ledger'!$A$2:$A$1501, SMALL(IF(('Orders Ledger'!$J$2:$J$1501="disputed")+('Orders Ledger'!$J$2:$J$1501="PENDING_REVIEW"), ROW('Orders Ledger'!$A$2:$A$1501)-ROW('Orders Ledger'!$A$2)+1), ROW(972:972))), "")</f>
        <v/>
      </c>
      <c r="C1030" s="11" t="str">
        <f>IF(B1030="","",_xlfn.XLOOKUP(B1030,'Orders Ledger'!$A:$A,'Orders Ledger'!$B:$B,""))</f>
        <v/>
      </c>
      <c r="D1030" t="str">
        <f>IF(B1030="","",_xlfn.XLOOKUP(B1030,'Orders Ledger'!$A:$A,'Orders Ledger'!$G:$G,""))</f>
        <v/>
      </c>
      <c r="E1030" t="str">
        <f>IF(B1030="","",_xlfn.XLOOKUP(B1030,'Orders Ledger'!$A:$A,'Orders Ledger'!$H:$H,""))</f>
        <v/>
      </c>
      <c r="F1030" t="str">
        <f>IF(B1030="","",_xlfn.XLOOKUP(B1030,'Orders Ledger'!$A:$A,'Orders Ledger'!$F:$F,""))</f>
        <v/>
      </c>
      <c r="G1030" t="str">
        <f>IF(B1030="","",_xlfn.XLOOKUP(B1030,'Orders Ledger'!$A:$A,'Orders Ledger'!$N:$N,0))</f>
        <v/>
      </c>
    </row>
    <row r="1031" spans="2:7" x14ac:dyDescent="0.3">
      <c r="B1031" t="str">
        <f t="array" ref="B1031">IFERROR(INDEX('Orders Ledger'!$A$2:$A$1501, SMALL(IF(('Orders Ledger'!$J$2:$J$1501="disputed")+('Orders Ledger'!$J$2:$J$1501="PENDING_REVIEW"), ROW('Orders Ledger'!$A$2:$A$1501)-ROW('Orders Ledger'!$A$2)+1), ROW(973:973))), "")</f>
        <v/>
      </c>
      <c r="C1031" s="11" t="str">
        <f>IF(B1031="","",_xlfn.XLOOKUP(B1031,'Orders Ledger'!$A:$A,'Orders Ledger'!$B:$B,""))</f>
        <v/>
      </c>
      <c r="D1031" t="str">
        <f>IF(B1031="","",_xlfn.XLOOKUP(B1031,'Orders Ledger'!$A:$A,'Orders Ledger'!$G:$G,""))</f>
        <v/>
      </c>
      <c r="E1031" t="str">
        <f>IF(B1031="","",_xlfn.XLOOKUP(B1031,'Orders Ledger'!$A:$A,'Orders Ledger'!$H:$H,""))</f>
        <v/>
      </c>
      <c r="F1031" t="str">
        <f>IF(B1031="","",_xlfn.XLOOKUP(B1031,'Orders Ledger'!$A:$A,'Orders Ledger'!$F:$F,""))</f>
        <v/>
      </c>
      <c r="G1031" t="str">
        <f>IF(B1031="","",_xlfn.XLOOKUP(B1031,'Orders Ledger'!$A:$A,'Orders Ledger'!$N:$N,0))</f>
        <v/>
      </c>
    </row>
    <row r="1032" spans="2:7" x14ac:dyDescent="0.3">
      <c r="B1032" t="str">
        <f t="array" ref="B1032">IFERROR(INDEX('Orders Ledger'!$A$2:$A$1501, SMALL(IF(('Orders Ledger'!$J$2:$J$1501="disputed")+('Orders Ledger'!$J$2:$J$1501="PENDING_REVIEW"), ROW('Orders Ledger'!$A$2:$A$1501)-ROW('Orders Ledger'!$A$2)+1), ROW(974:974))), "")</f>
        <v/>
      </c>
      <c r="C1032" s="11" t="str">
        <f>IF(B1032="","",_xlfn.XLOOKUP(B1032,'Orders Ledger'!$A:$A,'Orders Ledger'!$B:$B,""))</f>
        <v/>
      </c>
      <c r="D1032" t="str">
        <f>IF(B1032="","",_xlfn.XLOOKUP(B1032,'Orders Ledger'!$A:$A,'Orders Ledger'!$G:$G,""))</f>
        <v/>
      </c>
      <c r="E1032" t="str">
        <f>IF(B1032="","",_xlfn.XLOOKUP(B1032,'Orders Ledger'!$A:$A,'Orders Ledger'!$H:$H,""))</f>
        <v/>
      </c>
      <c r="F1032" t="str">
        <f>IF(B1032="","",_xlfn.XLOOKUP(B1032,'Orders Ledger'!$A:$A,'Orders Ledger'!$F:$F,""))</f>
        <v/>
      </c>
      <c r="G1032" t="str">
        <f>IF(B1032="","",_xlfn.XLOOKUP(B1032,'Orders Ledger'!$A:$A,'Orders Ledger'!$N:$N,0))</f>
        <v/>
      </c>
    </row>
    <row r="1033" spans="2:7" x14ac:dyDescent="0.3">
      <c r="B1033" t="str">
        <f t="array" ref="B1033">IFERROR(INDEX('Orders Ledger'!$A$2:$A$1501, SMALL(IF(('Orders Ledger'!$J$2:$J$1501="disputed")+('Orders Ledger'!$J$2:$J$1501="PENDING_REVIEW"), ROW('Orders Ledger'!$A$2:$A$1501)-ROW('Orders Ledger'!$A$2)+1), ROW(975:975))), "")</f>
        <v/>
      </c>
      <c r="C1033" s="11" t="str">
        <f>IF(B1033="","",_xlfn.XLOOKUP(B1033,'Orders Ledger'!$A:$A,'Orders Ledger'!$B:$B,""))</f>
        <v/>
      </c>
      <c r="D1033" t="str">
        <f>IF(B1033="","",_xlfn.XLOOKUP(B1033,'Orders Ledger'!$A:$A,'Orders Ledger'!$G:$G,""))</f>
        <v/>
      </c>
      <c r="E1033" t="str">
        <f>IF(B1033="","",_xlfn.XLOOKUP(B1033,'Orders Ledger'!$A:$A,'Orders Ledger'!$H:$H,""))</f>
        <v/>
      </c>
      <c r="F1033" t="str">
        <f>IF(B1033="","",_xlfn.XLOOKUP(B1033,'Orders Ledger'!$A:$A,'Orders Ledger'!$F:$F,""))</f>
        <v/>
      </c>
      <c r="G1033" t="str">
        <f>IF(B1033="","",_xlfn.XLOOKUP(B1033,'Orders Ledger'!$A:$A,'Orders Ledger'!$N:$N,0))</f>
        <v/>
      </c>
    </row>
    <row r="1034" spans="2:7" x14ac:dyDescent="0.3">
      <c r="B1034" t="str">
        <f t="array" ref="B1034">IFERROR(INDEX('Orders Ledger'!$A$2:$A$1501, SMALL(IF(('Orders Ledger'!$J$2:$J$1501="disputed")+('Orders Ledger'!$J$2:$J$1501="PENDING_REVIEW"), ROW('Orders Ledger'!$A$2:$A$1501)-ROW('Orders Ledger'!$A$2)+1), ROW(976:976))), "")</f>
        <v/>
      </c>
      <c r="C1034" s="11" t="str">
        <f>IF(B1034="","",_xlfn.XLOOKUP(B1034,'Orders Ledger'!$A:$A,'Orders Ledger'!$B:$B,""))</f>
        <v/>
      </c>
      <c r="D1034" t="str">
        <f>IF(B1034="","",_xlfn.XLOOKUP(B1034,'Orders Ledger'!$A:$A,'Orders Ledger'!$G:$G,""))</f>
        <v/>
      </c>
      <c r="E1034" t="str">
        <f>IF(B1034="","",_xlfn.XLOOKUP(B1034,'Orders Ledger'!$A:$A,'Orders Ledger'!$H:$H,""))</f>
        <v/>
      </c>
      <c r="F1034" t="str">
        <f>IF(B1034="","",_xlfn.XLOOKUP(B1034,'Orders Ledger'!$A:$A,'Orders Ledger'!$F:$F,""))</f>
        <v/>
      </c>
      <c r="G1034" t="str">
        <f>IF(B1034="","",_xlfn.XLOOKUP(B1034,'Orders Ledger'!$A:$A,'Orders Ledger'!$N:$N,0))</f>
        <v/>
      </c>
    </row>
    <row r="1035" spans="2:7" x14ac:dyDescent="0.3">
      <c r="B1035" t="str">
        <f t="array" ref="B1035">IFERROR(INDEX('Orders Ledger'!$A$2:$A$1501, SMALL(IF(('Orders Ledger'!$J$2:$J$1501="disputed")+('Orders Ledger'!$J$2:$J$1501="PENDING_REVIEW"), ROW('Orders Ledger'!$A$2:$A$1501)-ROW('Orders Ledger'!$A$2)+1), ROW(977:977))), "")</f>
        <v/>
      </c>
      <c r="C1035" s="11" t="str">
        <f>IF(B1035="","",_xlfn.XLOOKUP(B1035,'Orders Ledger'!$A:$A,'Orders Ledger'!$B:$B,""))</f>
        <v/>
      </c>
      <c r="D1035" t="str">
        <f>IF(B1035="","",_xlfn.XLOOKUP(B1035,'Orders Ledger'!$A:$A,'Orders Ledger'!$G:$G,""))</f>
        <v/>
      </c>
      <c r="E1035" t="str">
        <f>IF(B1035="","",_xlfn.XLOOKUP(B1035,'Orders Ledger'!$A:$A,'Orders Ledger'!$H:$H,""))</f>
        <v/>
      </c>
      <c r="F1035" t="str">
        <f>IF(B1035="","",_xlfn.XLOOKUP(B1035,'Orders Ledger'!$A:$A,'Orders Ledger'!$F:$F,""))</f>
        <v/>
      </c>
      <c r="G1035" t="str">
        <f>IF(B1035="","",_xlfn.XLOOKUP(B1035,'Orders Ledger'!$A:$A,'Orders Ledger'!$N:$N,0))</f>
        <v/>
      </c>
    </row>
    <row r="1036" spans="2:7" x14ac:dyDescent="0.3">
      <c r="B1036" t="str">
        <f t="array" ref="B1036">IFERROR(INDEX('Orders Ledger'!$A$2:$A$1501, SMALL(IF(('Orders Ledger'!$J$2:$J$1501="disputed")+('Orders Ledger'!$J$2:$J$1501="PENDING_REVIEW"), ROW('Orders Ledger'!$A$2:$A$1501)-ROW('Orders Ledger'!$A$2)+1), ROW(978:978))), "")</f>
        <v/>
      </c>
      <c r="C1036" s="11" t="str">
        <f>IF(B1036="","",_xlfn.XLOOKUP(B1036,'Orders Ledger'!$A:$A,'Orders Ledger'!$B:$B,""))</f>
        <v/>
      </c>
      <c r="D1036" t="str">
        <f>IF(B1036="","",_xlfn.XLOOKUP(B1036,'Orders Ledger'!$A:$A,'Orders Ledger'!$G:$G,""))</f>
        <v/>
      </c>
      <c r="E1036" t="str">
        <f>IF(B1036="","",_xlfn.XLOOKUP(B1036,'Orders Ledger'!$A:$A,'Orders Ledger'!$H:$H,""))</f>
        <v/>
      </c>
      <c r="F1036" t="str">
        <f>IF(B1036="","",_xlfn.XLOOKUP(B1036,'Orders Ledger'!$A:$A,'Orders Ledger'!$F:$F,""))</f>
        <v/>
      </c>
      <c r="G1036" t="str">
        <f>IF(B1036="","",_xlfn.XLOOKUP(B1036,'Orders Ledger'!$A:$A,'Orders Ledger'!$N:$N,0))</f>
        <v/>
      </c>
    </row>
    <row r="1037" spans="2:7" x14ac:dyDescent="0.3">
      <c r="B1037" t="str">
        <f t="array" ref="B1037">IFERROR(INDEX('Orders Ledger'!$A$2:$A$1501, SMALL(IF(('Orders Ledger'!$J$2:$J$1501="disputed")+('Orders Ledger'!$J$2:$J$1501="PENDING_REVIEW"), ROW('Orders Ledger'!$A$2:$A$1501)-ROW('Orders Ledger'!$A$2)+1), ROW(979:979))), "")</f>
        <v/>
      </c>
      <c r="C1037" s="11" t="str">
        <f>IF(B1037="","",_xlfn.XLOOKUP(B1037,'Orders Ledger'!$A:$A,'Orders Ledger'!$B:$B,""))</f>
        <v/>
      </c>
      <c r="D1037" t="str">
        <f>IF(B1037="","",_xlfn.XLOOKUP(B1037,'Orders Ledger'!$A:$A,'Orders Ledger'!$G:$G,""))</f>
        <v/>
      </c>
      <c r="E1037" t="str">
        <f>IF(B1037="","",_xlfn.XLOOKUP(B1037,'Orders Ledger'!$A:$A,'Orders Ledger'!$H:$H,""))</f>
        <v/>
      </c>
      <c r="F1037" t="str">
        <f>IF(B1037="","",_xlfn.XLOOKUP(B1037,'Orders Ledger'!$A:$A,'Orders Ledger'!$F:$F,""))</f>
        <v/>
      </c>
      <c r="G1037" t="str">
        <f>IF(B1037="","",_xlfn.XLOOKUP(B1037,'Orders Ledger'!$A:$A,'Orders Ledger'!$N:$N,0))</f>
        <v/>
      </c>
    </row>
    <row r="1038" spans="2:7" x14ac:dyDescent="0.3">
      <c r="B1038" t="str">
        <f t="array" ref="B1038">IFERROR(INDEX('Orders Ledger'!$A$2:$A$1501, SMALL(IF(('Orders Ledger'!$J$2:$J$1501="disputed")+('Orders Ledger'!$J$2:$J$1501="PENDING_REVIEW"), ROW('Orders Ledger'!$A$2:$A$1501)-ROW('Orders Ledger'!$A$2)+1), ROW(980:980))), "")</f>
        <v/>
      </c>
      <c r="C1038" s="11" t="str">
        <f>IF(B1038="","",_xlfn.XLOOKUP(B1038,'Orders Ledger'!$A:$A,'Orders Ledger'!$B:$B,""))</f>
        <v/>
      </c>
      <c r="D1038" t="str">
        <f>IF(B1038="","",_xlfn.XLOOKUP(B1038,'Orders Ledger'!$A:$A,'Orders Ledger'!$G:$G,""))</f>
        <v/>
      </c>
      <c r="E1038" t="str">
        <f>IF(B1038="","",_xlfn.XLOOKUP(B1038,'Orders Ledger'!$A:$A,'Orders Ledger'!$H:$H,""))</f>
        <v/>
      </c>
      <c r="F1038" t="str">
        <f>IF(B1038="","",_xlfn.XLOOKUP(B1038,'Orders Ledger'!$A:$A,'Orders Ledger'!$F:$F,""))</f>
        <v/>
      </c>
      <c r="G1038" t="str">
        <f>IF(B1038="","",_xlfn.XLOOKUP(B1038,'Orders Ledger'!$A:$A,'Orders Ledger'!$N:$N,0))</f>
        <v/>
      </c>
    </row>
    <row r="1039" spans="2:7" x14ac:dyDescent="0.3">
      <c r="B1039" t="str">
        <f t="array" ref="B1039">IFERROR(INDEX('Orders Ledger'!$A$2:$A$1501, SMALL(IF(('Orders Ledger'!$J$2:$J$1501="disputed")+('Orders Ledger'!$J$2:$J$1501="PENDING_REVIEW"), ROW('Orders Ledger'!$A$2:$A$1501)-ROW('Orders Ledger'!$A$2)+1), ROW(981:981))), "")</f>
        <v/>
      </c>
      <c r="C1039" s="11" t="str">
        <f>IF(B1039="","",_xlfn.XLOOKUP(B1039,'Orders Ledger'!$A:$A,'Orders Ledger'!$B:$B,""))</f>
        <v/>
      </c>
      <c r="D1039" t="str">
        <f>IF(B1039="","",_xlfn.XLOOKUP(B1039,'Orders Ledger'!$A:$A,'Orders Ledger'!$G:$G,""))</f>
        <v/>
      </c>
      <c r="E1039" t="str">
        <f>IF(B1039="","",_xlfn.XLOOKUP(B1039,'Orders Ledger'!$A:$A,'Orders Ledger'!$H:$H,""))</f>
        <v/>
      </c>
      <c r="F1039" t="str">
        <f>IF(B1039="","",_xlfn.XLOOKUP(B1039,'Orders Ledger'!$A:$A,'Orders Ledger'!$F:$F,""))</f>
        <v/>
      </c>
      <c r="G1039" t="str">
        <f>IF(B1039="","",_xlfn.XLOOKUP(B1039,'Orders Ledger'!$A:$A,'Orders Ledger'!$N:$N,0))</f>
        <v/>
      </c>
    </row>
    <row r="1040" spans="2:7" x14ac:dyDescent="0.3">
      <c r="B1040" t="str">
        <f t="array" ref="B1040">IFERROR(INDEX('Orders Ledger'!$A$2:$A$1501, SMALL(IF(('Orders Ledger'!$J$2:$J$1501="disputed")+('Orders Ledger'!$J$2:$J$1501="PENDING_REVIEW"), ROW('Orders Ledger'!$A$2:$A$1501)-ROW('Orders Ledger'!$A$2)+1), ROW(982:982))), "")</f>
        <v/>
      </c>
      <c r="C1040" s="11" t="str">
        <f>IF(B1040="","",_xlfn.XLOOKUP(B1040,'Orders Ledger'!$A:$A,'Orders Ledger'!$B:$B,""))</f>
        <v/>
      </c>
      <c r="D1040" t="str">
        <f>IF(B1040="","",_xlfn.XLOOKUP(B1040,'Orders Ledger'!$A:$A,'Orders Ledger'!$G:$G,""))</f>
        <v/>
      </c>
      <c r="E1040" t="str">
        <f>IF(B1040="","",_xlfn.XLOOKUP(B1040,'Orders Ledger'!$A:$A,'Orders Ledger'!$H:$H,""))</f>
        <v/>
      </c>
      <c r="F1040" t="str">
        <f>IF(B1040="","",_xlfn.XLOOKUP(B1040,'Orders Ledger'!$A:$A,'Orders Ledger'!$F:$F,""))</f>
        <v/>
      </c>
      <c r="G1040" t="str">
        <f>IF(B1040="","",_xlfn.XLOOKUP(B1040,'Orders Ledger'!$A:$A,'Orders Ledger'!$N:$N,0))</f>
        <v/>
      </c>
    </row>
    <row r="1041" spans="2:7" x14ac:dyDescent="0.3">
      <c r="B1041" t="str">
        <f t="array" ref="B1041">IFERROR(INDEX('Orders Ledger'!$A$2:$A$1501, SMALL(IF(('Orders Ledger'!$J$2:$J$1501="disputed")+('Orders Ledger'!$J$2:$J$1501="PENDING_REVIEW"), ROW('Orders Ledger'!$A$2:$A$1501)-ROW('Orders Ledger'!$A$2)+1), ROW(983:983))), "")</f>
        <v/>
      </c>
      <c r="C1041" s="11" t="str">
        <f>IF(B1041="","",_xlfn.XLOOKUP(B1041,'Orders Ledger'!$A:$A,'Orders Ledger'!$B:$B,""))</f>
        <v/>
      </c>
      <c r="D1041" t="str">
        <f>IF(B1041="","",_xlfn.XLOOKUP(B1041,'Orders Ledger'!$A:$A,'Orders Ledger'!$G:$G,""))</f>
        <v/>
      </c>
      <c r="E1041" t="str">
        <f>IF(B1041="","",_xlfn.XLOOKUP(B1041,'Orders Ledger'!$A:$A,'Orders Ledger'!$H:$H,""))</f>
        <v/>
      </c>
      <c r="F1041" t="str">
        <f>IF(B1041="","",_xlfn.XLOOKUP(B1041,'Orders Ledger'!$A:$A,'Orders Ledger'!$F:$F,""))</f>
        <v/>
      </c>
      <c r="G1041" t="str">
        <f>IF(B1041="","",_xlfn.XLOOKUP(B1041,'Orders Ledger'!$A:$A,'Orders Ledger'!$N:$N,0))</f>
        <v/>
      </c>
    </row>
    <row r="1042" spans="2:7" x14ac:dyDescent="0.3">
      <c r="B1042" t="str">
        <f t="array" ref="B1042">IFERROR(INDEX('Orders Ledger'!$A$2:$A$1501, SMALL(IF(('Orders Ledger'!$J$2:$J$1501="disputed")+('Orders Ledger'!$J$2:$J$1501="PENDING_REVIEW"), ROW('Orders Ledger'!$A$2:$A$1501)-ROW('Orders Ledger'!$A$2)+1), ROW(984:984))), "")</f>
        <v/>
      </c>
      <c r="C1042" s="11" t="str">
        <f>IF(B1042="","",_xlfn.XLOOKUP(B1042,'Orders Ledger'!$A:$A,'Orders Ledger'!$B:$B,""))</f>
        <v/>
      </c>
      <c r="D1042" t="str">
        <f>IF(B1042="","",_xlfn.XLOOKUP(B1042,'Orders Ledger'!$A:$A,'Orders Ledger'!$G:$G,""))</f>
        <v/>
      </c>
      <c r="E1042" t="str">
        <f>IF(B1042="","",_xlfn.XLOOKUP(B1042,'Orders Ledger'!$A:$A,'Orders Ledger'!$H:$H,""))</f>
        <v/>
      </c>
      <c r="F1042" t="str">
        <f>IF(B1042="","",_xlfn.XLOOKUP(B1042,'Orders Ledger'!$A:$A,'Orders Ledger'!$F:$F,""))</f>
        <v/>
      </c>
      <c r="G1042" t="str">
        <f>IF(B1042="","",_xlfn.XLOOKUP(B1042,'Orders Ledger'!$A:$A,'Orders Ledger'!$N:$N,0))</f>
        <v/>
      </c>
    </row>
    <row r="1043" spans="2:7" x14ac:dyDescent="0.3">
      <c r="B1043" t="str">
        <f t="array" ref="B1043">IFERROR(INDEX('Orders Ledger'!$A$2:$A$1501, SMALL(IF(('Orders Ledger'!$J$2:$J$1501="disputed")+('Orders Ledger'!$J$2:$J$1501="PENDING_REVIEW"), ROW('Orders Ledger'!$A$2:$A$1501)-ROW('Orders Ledger'!$A$2)+1), ROW(985:985))), "")</f>
        <v/>
      </c>
      <c r="C1043" s="11" t="str">
        <f>IF(B1043="","",_xlfn.XLOOKUP(B1043,'Orders Ledger'!$A:$A,'Orders Ledger'!$B:$B,""))</f>
        <v/>
      </c>
      <c r="D1043" t="str">
        <f>IF(B1043="","",_xlfn.XLOOKUP(B1043,'Orders Ledger'!$A:$A,'Orders Ledger'!$G:$G,""))</f>
        <v/>
      </c>
      <c r="E1043" t="str">
        <f>IF(B1043="","",_xlfn.XLOOKUP(B1043,'Orders Ledger'!$A:$A,'Orders Ledger'!$H:$H,""))</f>
        <v/>
      </c>
      <c r="F1043" t="str">
        <f>IF(B1043="","",_xlfn.XLOOKUP(B1043,'Orders Ledger'!$A:$A,'Orders Ledger'!$F:$F,""))</f>
        <v/>
      </c>
      <c r="G1043" t="str">
        <f>IF(B1043="","",_xlfn.XLOOKUP(B1043,'Orders Ledger'!$A:$A,'Orders Ledger'!$N:$N,0))</f>
        <v/>
      </c>
    </row>
    <row r="1044" spans="2:7" x14ac:dyDescent="0.3">
      <c r="B1044" t="str">
        <f t="array" ref="B1044">IFERROR(INDEX('Orders Ledger'!$A$2:$A$1501, SMALL(IF(('Orders Ledger'!$J$2:$J$1501="disputed")+('Orders Ledger'!$J$2:$J$1501="PENDING_REVIEW"), ROW('Orders Ledger'!$A$2:$A$1501)-ROW('Orders Ledger'!$A$2)+1), ROW(986:986))), "")</f>
        <v/>
      </c>
      <c r="C1044" s="11" t="str">
        <f>IF(B1044="","",_xlfn.XLOOKUP(B1044,'Orders Ledger'!$A:$A,'Orders Ledger'!$B:$B,""))</f>
        <v/>
      </c>
      <c r="D1044" t="str">
        <f>IF(B1044="","",_xlfn.XLOOKUP(B1044,'Orders Ledger'!$A:$A,'Orders Ledger'!$G:$G,""))</f>
        <v/>
      </c>
      <c r="E1044" t="str">
        <f>IF(B1044="","",_xlfn.XLOOKUP(B1044,'Orders Ledger'!$A:$A,'Orders Ledger'!$H:$H,""))</f>
        <v/>
      </c>
      <c r="F1044" t="str">
        <f>IF(B1044="","",_xlfn.XLOOKUP(B1044,'Orders Ledger'!$A:$A,'Orders Ledger'!$F:$F,""))</f>
        <v/>
      </c>
      <c r="G1044" t="str">
        <f>IF(B1044="","",_xlfn.XLOOKUP(B1044,'Orders Ledger'!$A:$A,'Orders Ledger'!$N:$N,0))</f>
        <v/>
      </c>
    </row>
    <row r="1045" spans="2:7" x14ac:dyDescent="0.3">
      <c r="B1045" t="str">
        <f t="array" ref="B1045">IFERROR(INDEX('Orders Ledger'!$A$2:$A$1501, SMALL(IF(('Orders Ledger'!$J$2:$J$1501="disputed")+('Orders Ledger'!$J$2:$J$1501="PENDING_REVIEW"), ROW('Orders Ledger'!$A$2:$A$1501)-ROW('Orders Ledger'!$A$2)+1), ROW(987:987))), "")</f>
        <v/>
      </c>
      <c r="C1045" s="11" t="str">
        <f>IF(B1045="","",_xlfn.XLOOKUP(B1045,'Orders Ledger'!$A:$A,'Orders Ledger'!$B:$B,""))</f>
        <v/>
      </c>
      <c r="D1045" t="str">
        <f>IF(B1045="","",_xlfn.XLOOKUP(B1045,'Orders Ledger'!$A:$A,'Orders Ledger'!$G:$G,""))</f>
        <v/>
      </c>
      <c r="E1045" t="str">
        <f>IF(B1045="","",_xlfn.XLOOKUP(B1045,'Orders Ledger'!$A:$A,'Orders Ledger'!$H:$H,""))</f>
        <v/>
      </c>
      <c r="F1045" t="str">
        <f>IF(B1045="","",_xlfn.XLOOKUP(B1045,'Orders Ledger'!$A:$A,'Orders Ledger'!$F:$F,""))</f>
        <v/>
      </c>
      <c r="G1045" t="str">
        <f>IF(B1045="","",_xlfn.XLOOKUP(B1045,'Orders Ledger'!$A:$A,'Orders Ledger'!$N:$N,0))</f>
        <v/>
      </c>
    </row>
    <row r="1046" spans="2:7" x14ac:dyDescent="0.3">
      <c r="B1046" t="str">
        <f t="array" ref="B1046">IFERROR(INDEX('Orders Ledger'!$A$2:$A$1501, SMALL(IF(('Orders Ledger'!$J$2:$J$1501="disputed")+('Orders Ledger'!$J$2:$J$1501="PENDING_REVIEW"), ROW('Orders Ledger'!$A$2:$A$1501)-ROW('Orders Ledger'!$A$2)+1), ROW(988:988))), "")</f>
        <v/>
      </c>
      <c r="C1046" s="11" t="str">
        <f>IF(B1046="","",_xlfn.XLOOKUP(B1046,'Orders Ledger'!$A:$A,'Orders Ledger'!$B:$B,""))</f>
        <v/>
      </c>
      <c r="D1046" t="str">
        <f>IF(B1046="","",_xlfn.XLOOKUP(B1046,'Orders Ledger'!$A:$A,'Orders Ledger'!$G:$G,""))</f>
        <v/>
      </c>
      <c r="E1046" t="str">
        <f>IF(B1046="","",_xlfn.XLOOKUP(B1046,'Orders Ledger'!$A:$A,'Orders Ledger'!$H:$H,""))</f>
        <v/>
      </c>
      <c r="F1046" t="str">
        <f>IF(B1046="","",_xlfn.XLOOKUP(B1046,'Orders Ledger'!$A:$A,'Orders Ledger'!$F:$F,""))</f>
        <v/>
      </c>
      <c r="G1046" t="str">
        <f>IF(B1046="","",_xlfn.XLOOKUP(B1046,'Orders Ledger'!$A:$A,'Orders Ledger'!$N:$N,0))</f>
        <v/>
      </c>
    </row>
    <row r="1047" spans="2:7" x14ac:dyDescent="0.3">
      <c r="B1047" t="str">
        <f t="array" ref="B1047">IFERROR(INDEX('Orders Ledger'!$A$2:$A$1501, SMALL(IF(('Orders Ledger'!$J$2:$J$1501="disputed")+('Orders Ledger'!$J$2:$J$1501="PENDING_REVIEW"), ROW('Orders Ledger'!$A$2:$A$1501)-ROW('Orders Ledger'!$A$2)+1), ROW(989:989))), "")</f>
        <v/>
      </c>
      <c r="C1047" s="11" t="str">
        <f>IF(B1047="","",_xlfn.XLOOKUP(B1047,'Orders Ledger'!$A:$A,'Orders Ledger'!$B:$B,""))</f>
        <v/>
      </c>
      <c r="D1047" t="str">
        <f>IF(B1047="","",_xlfn.XLOOKUP(B1047,'Orders Ledger'!$A:$A,'Orders Ledger'!$G:$G,""))</f>
        <v/>
      </c>
      <c r="E1047" t="str">
        <f>IF(B1047="","",_xlfn.XLOOKUP(B1047,'Orders Ledger'!$A:$A,'Orders Ledger'!$H:$H,""))</f>
        <v/>
      </c>
      <c r="F1047" t="str">
        <f>IF(B1047="","",_xlfn.XLOOKUP(B1047,'Orders Ledger'!$A:$A,'Orders Ledger'!$F:$F,""))</f>
        <v/>
      </c>
      <c r="G1047" t="str">
        <f>IF(B1047="","",_xlfn.XLOOKUP(B1047,'Orders Ledger'!$A:$A,'Orders Ledger'!$N:$N,0))</f>
        <v/>
      </c>
    </row>
    <row r="1048" spans="2:7" x14ac:dyDescent="0.3">
      <c r="B1048" t="str">
        <f t="array" ref="B1048">IFERROR(INDEX('Orders Ledger'!$A$2:$A$1501, SMALL(IF(('Orders Ledger'!$J$2:$J$1501="disputed")+('Orders Ledger'!$J$2:$J$1501="PENDING_REVIEW"), ROW('Orders Ledger'!$A$2:$A$1501)-ROW('Orders Ledger'!$A$2)+1), ROW(990:990))), "")</f>
        <v/>
      </c>
      <c r="C1048" s="11" t="str">
        <f>IF(B1048="","",_xlfn.XLOOKUP(B1048,'Orders Ledger'!$A:$A,'Orders Ledger'!$B:$B,""))</f>
        <v/>
      </c>
      <c r="D1048" t="str">
        <f>IF(B1048="","",_xlfn.XLOOKUP(B1048,'Orders Ledger'!$A:$A,'Orders Ledger'!$G:$G,""))</f>
        <v/>
      </c>
      <c r="E1048" t="str">
        <f>IF(B1048="","",_xlfn.XLOOKUP(B1048,'Orders Ledger'!$A:$A,'Orders Ledger'!$H:$H,""))</f>
        <v/>
      </c>
      <c r="F1048" t="str">
        <f>IF(B1048="","",_xlfn.XLOOKUP(B1048,'Orders Ledger'!$A:$A,'Orders Ledger'!$F:$F,""))</f>
        <v/>
      </c>
      <c r="G1048" t="str">
        <f>IF(B1048="","",_xlfn.XLOOKUP(B1048,'Orders Ledger'!$A:$A,'Orders Ledger'!$N:$N,0))</f>
        <v/>
      </c>
    </row>
    <row r="1049" spans="2:7" x14ac:dyDescent="0.3">
      <c r="B1049" t="str">
        <f t="array" ref="B1049">IFERROR(INDEX('Orders Ledger'!$A$2:$A$1501, SMALL(IF(('Orders Ledger'!$J$2:$J$1501="disputed")+('Orders Ledger'!$J$2:$J$1501="PENDING_REVIEW"), ROW('Orders Ledger'!$A$2:$A$1501)-ROW('Orders Ledger'!$A$2)+1), ROW(991:991))), "")</f>
        <v/>
      </c>
      <c r="C1049" s="11" t="str">
        <f>IF(B1049="","",_xlfn.XLOOKUP(B1049,'Orders Ledger'!$A:$A,'Orders Ledger'!$B:$B,""))</f>
        <v/>
      </c>
      <c r="D1049" t="str">
        <f>IF(B1049="","",_xlfn.XLOOKUP(B1049,'Orders Ledger'!$A:$A,'Orders Ledger'!$G:$G,""))</f>
        <v/>
      </c>
      <c r="E1049" t="str">
        <f>IF(B1049="","",_xlfn.XLOOKUP(B1049,'Orders Ledger'!$A:$A,'Orders Ledger'!$H:$H,""))</f>
        <v/>
      </c>
      <c r="F1049" t="str">
        <f>IF(B1049="","",_xlfn.XLOOKUP(B1049,'Orders Ledger'!$A:$A,'Orders Ledger'!$F:$F,""))</f>
        <v/>
      </c>
      <c r="G1049" t="str">
        <f>IF(B1049="","",_xlfn.XLOOKUP(B1049,'Orders Ledger'!$A:$A,'Orders Ledger'!$N:$N,0))</f>
        <v/>
      </c>
    </row>
    <row r="1050" spans="2:7" x14ac:dyDescent="0.3">
      <c r="B1050" t="str">
        <f t="array" ref="B1050">IFERROR(INDEX('Orders Ledger'!$A$2:$A$1501, SMALL(IF(('Orders Ledger'!$J$2:$J$1501="disputed")+('Orders Ledger'!$J$2:$J$1501="PENDING_REVIEW"), ROW('Orders Ledger'!$A$2:$A$1501)-ROW('Orders Ledger'!$A$2)+1), ROW(992:992))), "")</f>
        <v/>
      </c>
      <c r="C1050" s="11" t="str">
        <f>IF(B1050="","",_xlfn.XLOOKUP(B1050,'Orders Ledger'!$A:$A,'Orders Ledger'!$B:$B,""))</f>
        <v/>
      </c>
      <c r="D1050" t="str">
        <f>IF(B1050="","",_xlfn.XLOOKUP(B1050,'Orders Ledger'!$A:$A,'Orders Ledger'!$G:$G,""))</f>
        <v/>
      </c>
      <c r="E1050" t="str">
        <f>IF(B1050="","",_xlfn.XLOOKUP(B1050,'Orders Ledger'!$A:$A,'Orders Ledger'!$H:$H,""))</f>
        <v/>
      </c>
      <c r="F1050" t="str">
        <f>IF(B1050="","",_xlfn.XLOOKUP(B1050,'Orders Ledger'!$A:$A,'Orders Ledger'!$F:$F,""))</f>
        <v/>
      </c>
      <c r="G1050" t="str">
        <f>IF(B1050="","",_xlfn.XLOOKUP(B1050,'Orders Ledger'!$A:$A,'Orders Ledger'!$N:$N,0))</f>
        <v/>
      </c>
    </row>
    <row r="1051" spans="2:7" x14ac:dyDescent="0.3">
      <c r="B1051" t="str">
        <f t="array" ref="B1051">IFERROR(INDEX('Orders Ledger'!$A$2:$A$1501, SMALL(IF(('Orders Ledger'!$J$2:$J$1501="disputed")+('Orders Ledger'!$J$2:$J$1501="PENDING_REVIEW"), ROW('Orders Ledger'!$A$2:$A$1501)-ROW('Orders Ledger'!$A$2)+1), ROW(993:993))), "")</f>
        <v/>
      </c>
      <c r="C1051" s="11" t="str">
        <f>IF(B1051="","",_xlfn.XLOOKUP(B1051,'Orders Ledger'!$A:$A,'Orders Ledger'!$B:$B,""))</f>
        <v/>
      </c>
      <c r="D1051" t="str">
        <f>IF(B1051="","",_xlfn.XLOOKUP(B1051,'Orders Ledger'!$A:$A,'Orders Ledger'!$G:$G,""))</f>
        <v/>
      </c>
      <c r="E1051" t="str">
        <f>IF(B1051="","",_xlfn.XLOOKUP(B1051,'Orders Ledger'!$A:$A,'Orders Ledger'!$H:$H,""))</f>
        <v/>
      </c>
      <c r="F1051" t="str">
        <f>IF(B1051="","",_xlfn.XLOOKUP(B1051,'Orders Ledger'!$A:$A,'Orders Ledger'!$F:$F,""))</f>
        <v/>
      </c>
      <c r="G1051" t="str">
        <f>IF(B1051="","",_xlfn.XLOOKUP(B1051,'Orders Ledger'!$A:$A,'Orders Ledger'!$N:$N,0))</f>
        <v/>
      </c>
    </row>
    <row r="1052" spans="2:7" x14ac:dyDescent="0.3">
      <c r="B1052" t="str">
        <f t="array" ref="B1052">IFERROR(INDEX('Orders Ledger'!$A$2:$A$1501, SMALL(IF(('Orders Ledger'!$J$2:$J$1501="disputed")+('Orders Ledger'!$J$2:$J$1501="PENDING_REVIEW"), ROW('Orders Ledger'!$A$2:$A$1501)-ROW('Orders Ledger'!$A$2)+1), ROW(994:994))), "")</f>
        <v/>
      </c>
      <c r="C1052" s="11" t="str">
        <f>IF(B1052="","",_xlfn.XLOOKUP(B1052,'Orders Ledger'!$A:$A,'Orders Ledger'!$B:$B,""))</f>
        <v/>
      </c>
      <c r="D1052" t="str">
        <f>IF(B1052="","",_xlfn.XLOOKUP(B1052,'Orders Ledger'!$A:$A,'Orders Ledger'!$G:$G,""))</f>
        <v/>
      </c>
      <c r="E1052" t="str">
        <f>IF(B1052="","",_xlfn.XLOOKUP(B1052,'Orders Ledger'!$A:$A,'Orders Ledger'!$H:$H,""))</f>
        <v/>
      </c>
      <c r="F1052" t="str">
        <f>IF(B1052="","",_xlfn.XLOOKUP(B1052,'Orders Ledger'!$A:$A,'Orders Ledger'!$F:$F,""))</f>
        <v/>
      </c>
      <c r="G1052" t="str">
        <f>IF(B1052="","",_xlfn.XLOOKUP(B1052,'Orders Ledger'!$A:$A,'Orders Ledger'!$N:$N,0))</f>
        <v/>
      </c>
    </row>
    <row r="1053" spans="2:7" x14ac:dyDescent="0.3">
      <c r="B1053" t="str">
        <f t="array" ref="B1053">IFERROR(INDEX('Orders Ledger'!$A$2:$A$1501, SMALL(IF(('Orders Ledger'!$J$2:$J$1501="disputed")+('Orders Ledger'!$J$2:$J$1501="PENDING_REVIEW"), ROW('Orders Ledger'!$A$2:$A$1501)-ROW('Orders Ledger'!$A$2)+1), ROW(995:995))), "")</f>
        <v/>
      </c>
      <c r="C1053" s="11" t="str">
        <f>IF(B1053="","",_xlfn.XLOOKUP(B1053,'Orders Ledger'!$A:$A,'Orders Ledger'!$B:$B,""))</f>
        <v/>
      </c>
      <c r="D1053" t="str">
        <f>IF(B1053="","",_xlfn.XLOOKUP(B1053,'Orders Ledger'!$A:$A,'Orders Ledger'!$G:$G,""))</f>
        <v/>
      </c>
      <c r="E1053" t="str">
        <f>IF(B1053="","",_xlfn.XLOOKUP(B1053,'Orders Ledger'!$A:$A,'Orders Ledger'!$H:$H,""))</f>
        <v/>
      </c>
      <c r="F1053" t="str">
        <f>IF(B1053="","",_xlfn.XLOOKUP(B1053,'Orders Ledger'!$A:$A,'Orders Ledger'!$F:$F,""))</f>
        <v/>
      </c>
      <c r="G1053" t="str">
        <f>IF(B1053="","",_xlfn.XLOOKUP(B1053,'Orders Ledger'!$A:$A,'Orders Ledger'!$N:$N,0))</f>
        <v/>
      </c>
    </row>
    <row r="1054" spans="2:7" x14ac:dyDescent="0.3">
      <c r="B1054" t="str">
        <f t="array" ref="B1054">IFERROR(INDEX('Orders Ledger'!$A$2:$A$1501, SMALL(IF(('Orders Ledger'!$J$2:$J$1501="disputed")+('Orders Ledger'!$J$2:$J$1501="PENDING_REVIEW"), ROW('Orders Ledger'!$A$2:$A$1501)-ROW('Orders Ledger'!$A$2)+1), ROW(996:996))), "")</f>
        <v/>
      </c>
      <c r="C1054" s="11" t="str">
        <f>IF(B1054="","",_xlfn.XLOOKUP(B1054,'Orders Ledger'!$A:$A,'Orders Ledger'!$B:$B,""))</f>
        <v/>
      </c>
      <c r="D1054" t="str">
        <f>IF(B1054="","",_xlfn.XLOOKUP(B1054,'Orders Ledger'!$A:$A,'Orders Ledger'!$G:$G,""))</f>
        <v/>
      </c>
      <c r="E1054" t="str">
        <f>IF(B1054="","",_xlfn.XLOOKUP(B1054,'Orders Ledger'!$A:$A,'Orders Ledger'!$H:$H,""))</f>
        <v/>
      </c>
      <c r="F1054" t="str">
        <f>IF(B1054="","",_xlfn.XLOOKUP(B1054,'Orders Ledger'!$A:$A,'Orders Ledger'!$F:$F,""))</f>
        <v/>
      </c>
      <c r="G1054" t="str">
        <f>IF(B1054="","",_xlfn.XLOOKUP(B1054,'Orders Ledger'!$A:$A,'Orders Ledger'!$N:$N,0))</f>
        <v/>
      </c>
    </row>
    <row r="1055" spans="2:7" x14ac:dyDescent="0.3">
      <c r="B1055" t="str">
        <f t="array" ref="B1055">IFERROR(INDEX('Orders Ledger'!$A$2:$A$1501, SMALL(IF(('Orders Ledger'!$J$2:$J$1501="disputed")+('Orders Ledger'!$J$2:$J$1501="PENDING_REVIEW"), ROW('Orders Ledger'!$A$2:$A$1501)-ROW('Orders Ledger'!$A$2)+1), ROW(997:997))), "")</f>
        <v/>
      </c>
      <c r="C1055" s="11" t="str">
        <f>IF(B1055="","",_xlfn.XLOOKUP(B1055,'Orders Ledger'!$A:$A,'Orders Ledger'!$B:$B,""))</f>
        <v/>
      </c>
      <c r="D1055" t="str">
        <f>IF(B1055="","",_xlfn.XLOOKUP(B1055,'Orders Ledger'!$A:$A,'Orders Ledger'!$G:$G,""))</f>
        <v/>
      </c>
      <c r="E1055" t="str">
        <f>IF(B1055="","",_xlfn.XLOOKUP(B1055,'Orders Ledger'!$A:$A,'Orders Ledger'!$H:$H,""))</f>
        <v/>
      </c>
      <c r="F1055" t="str">
        <f>IF(B1055="","",_xlfn.XLOOKUP(B1055,'Orders Ledger'!$A:$A,'Orders Ledger'!$F:$F,""))</f>
        <v/>
      </c>
      <c r="G1055" t="str">
        <f>IF(B1055="","",_xlfn.XLOOKUP(B1055,'Orders Ledger'!$A:$A,'Orders Ledger'!$N:$N,0))</f>
        <v/>
      </c>
    </row>
    <row r="1056" spans="2:7" x14ac:dyDescent="0.3">
      <c r="B1056" t="str">
        <f t="array" ref="B1056">IFERROR(INDEX('Orders Ledger'!$A$2:$A$1501, SMALL(IF(('Orders Ledger'!$J$2:$J$1501="disputed")+('Orders Ledger'!$J$2:$J$1501="PENDING_REVIEW"), ROW('Orders Ledger'!$A$2:$A$1501)-ROW('Orders Ledger'!$A$2)+1), ROW(998:998))), "")</f>
        <v/>
      </c>
      <c r="C1056" s="11" t="str">
        <f>IF(B1056="","",_xlfn.XLOOKUP(B1056,'Orders Ledger'!$A:$A,'Orders Ledger'!$B:$B,""))</f>
        <v/>
      </c>
      <c r="D1056" t="str">
        <f>IF(B1056="","",_xlfn.XLOOKUP(B1056,'Orders Ledger'!$A:$A,'Orders Ledger'!$G:$G,""))</f>
        <v/>
      </c>
      <c r="E1056" t="str">
        <f>IF(B1056="","",_xlfn.XLOOKUP(B1056,'Orders Ledger'!$A:$A,'Orders Ledger'!$H:$H,""))</f>
        <v/>
      </c>
      <c r="F1056" t="str">
        <f>IF(B1056="","",_xlfn.XLOOKUP(B1056,'Orders Ledger'!$A:$A,'Orders Ledger'!$F:$F,""))</f>
        <v/>
      </c>
      <c r="G1056" t="str">
        <f>IF(B1056="","",_xlfn.XLOOKUP(B1056,'Orders Ledger'!$A:$A,'Orders Ledger'!$N:$N,0))</f>
        <v/>
      </c>
    </row>
    <row r="1057" spans="2:7" x14ac:dyDescent="0.3">
      <c r="B1057" t="str">
        <f t="array" ref="B1057">IFERROR(INDEX('Orders Ledger'!$A$2:$A$1501, SMALL(IF(('Orders Ledger'!$J$2:$J$1501="disputed")+('Orders Ledger'!$J$2:$J$1501="PENDING_REVIEW"), ROW('Orders Ledger'!$A$2:$A$1501)-ROW('Orders Ledger'!$A$2)+1), ROW(999:999))), "")</f>
        <v/>
      </c>
      <c r="C1057" s="11" t="str">
        <f>IF(B1057="","",_xlfn.XLOOKUP(B1057,'Orders Ledger'!$A:$A,'Orders Ledger'!$B:$B,""))</f>
        <v/>
      </c>
      <c r="D1057" t="str">
        <f>IF(B1057="","",_xlfn.XLOOKUP(B1057,'Orders Ledger'!$A:$A,'Orders Ledger'!$G:$G,""))</f>
        <v/>
      </c>
      <c r="E1057" t="str">
        <f>IF(B1057="","",_xlfn.XLOOKUP(B1057,'Orders Ledger'!$A:$A,'Orders Ledger'!$H:$H,""))</f>
        <v/>
      </c>
      <c r="F1057" t="str">
        <f>IF(B1057="","",_xlfn.XLOOKUP(B1057,'Orders Ledger'!$A:$A,'Orders Ledger'!$F:$F,""))</f>
        <v/>
      </c>
      <c r="G1057" t="str">
        <f>IF(B1057="","",_xlfn.XLOOKUP(B1057,'Orders Ledger'!$A:$A,'Orders Ledger'!$N:$N,0))</f>
        <v/>
      </c>
    </row>
    <row r="1058" spans="2:7" x14ac:dyDescent="0.3">
      <c r="B1058" t="str">
        <f t="array" ref="B1058">IFERROR(INDEX('Orders Ledger'!$A$2:$A$1501, SMALL(IF(('Orders Ledger'!$J$2:$J$1501="disputed")+('Orders Ledger'!$J$2:$J$1501="PENDING_REVIEW"), ROW('Orders Ledger'!$A$2:$A$1501)-ROW('Orders Ledger'!$A$2)+1), ROW(1000:1000))), "")</f>
        <v/>
      </c>
      <c r="C1058" s="11" t="str">
        <f>IF(B1058="","",_xlfn.XLOOKUP(B1058,'Orders Ledger'!$A:$A,'Orders Ledger'!$B:$B,""))</f>
        <v/>
      </c>
      <c r="D1058" t="str">
        <f>IF(B1058="","",_xlfn.XLOOKUP(B1058,'Orders Ledger'!$A:$A,'Orders Ledger'!$G:$G,""))</f>
        <v/>
      </c>
      <c r="E1058" t="str">
        <f>IF(B1058="","",_xlfn.XLOOKUP(B1058,'Orders Ledger'!$A:$A,'Orders Ledger'!$H:$H,""))</f>
        <v/>
      </c>
      <c r="F1058" t="str">
        <f>IF(B1058="","",_xlfn.XLOOKUP(B1058,'Orders Ledger'!$A:$A,'Orders Ledger'!$F:$F,""))</f>
        <v/>
      </c>
      <c r="G1058" t="str">
        <f>IF(B1058="","",_xlfn.XLOOKUP(B1058,'Orders Ledger'!$A:$A,'Orders Ledger'!$N:$N,0))</f>
        <v/>
      </c>
    </row>
    <row r="1059" spans="2:7" x14ac:dyDescent="0.3">
      <c r="B1059" t="str">
        <f t="array" ref="B1059">IFERROR(INDEX('Orders Ledger'!$A$2:$A$1501, SMALL(IF(('Orders Ledger'!$J$2:$J$1501="disputed")+('Orders Ledger'!$J$2:$J$1501="PENDING_REVIEW"), ROW('Orders Ledger'!$A$2:$A$1501)-ROW('Orders Ledger'!$A$2)+1), ROW(1001:1001))), "")</f>
        <v/>
      </c>
      <c r="C1059" s="11" t="str">
        <f>IF(B1059="","",_xlfn.XLOOKUP(B1059,'Orders Ledger'!$A:$A,'Orders Ledger'!$B:$B,""))</f>
        <v/>
      </c>
      <c r="D1059" t="str">
        <f>IF(B1059="","",_xlfn.XLOOKUP(B1059,'Orders Ledger'!$A:$A,'Orders Ledger'!$G:$G,""))</f>
        <v/>
      </c>
      <c r="E1059" t="str">
        <f>IF(B1059="","",_xlfn.XLOOKUP(B1059,'Orders Ledger'!$A:$A,'Orders Ledger'!$H:$H,""))</f>
        <v/>
      </c>
      <c r="F1059" t="str">
        <f>IF(B1059="","",_xlfn.XLOOKUP(B1059,'Orders Ledger'!$A:$A,'Orders Ledger'!$F:$F,""))</f>
        <v/>
      </c>
      <c r="G1059" t="str">
        <f>IF(B1059="","",_xlfn.XLOOKUP(B1059,'Orders Ledger'!$A:$A,'Orders Ledger'!$N:$N,0))</f>
        <v/>
      </c>
    </row>
    <row r="1060" spans="2:7" x14ac:dyDescent="0.3">
      <c r="B1060" t="str">
        <f t="array" ref="B1060">IFERROR(INDEX('Orders Ledger'!$A$2:$A$1501, SMALL(IF(('Orders Ledger'!$J$2:$J$1501="disputed")+('Orders Ledger'!$J$2:$J$1501="PENDING_REVIEW"), ROW('Orders Ledger'!$A$2:$A$1501)-ROW('Orders Ledger'!$A$2)+1), ROW(1002:1002))), "")</f>
        <v/>
      </c>
      <c r="C1060" s="11" t="str">
        <f>IF(B1060="","",_xlfn.XLOOKUP(B1060,'Orders Ledger'!$A:$A,'Orders Ledger'!$B:$B,""))</f>
        <v/>
      </c>
      <c r="D1060" t="str">
        <f>IF(B1060="","",_xlfn.XLOOKUP(B1060,'Orders Ledger'!$A:$A,'Orders Ledger'!$G:$G,""))</f>
        <v/>
      </c>
      <c r="E1060" t="str">
        <f>IF(B1060="","",_xlfn.XLOOKUP(B1060,'Orders Ledger'!$A:$A,'Orders Ledger'!$H:$H,""))</f>
        <v/>
      </c>
      <c r="F1060" t="str">
        <f>IF(B1060="","",_xlfn.XLOOKUP(B1060,'Orders Ledger'!$A:$A,'Orders Ledger'!$F:$F,""))</f>
        <v/>
      </c>
      <c r="G1060" t="str">
        <f>IF(B1060="","",_xlfn.XLOOKUP(B1060,'Orders Ledger'!$A:$A,'Orders Ledger'!$N:$N,0))</f>
        <v/>
      </c>
    </row>
    <row r="1061" spans="2:7" x14ac:dyDescent="0.3">
      <c r="B1061" t="str">
        <f t="array" ref="B1061">IFERROR(INDEX('Orders Ledger'!$A$2:$A$1501, SMALL(IF(('Orders Ledger'!$J$2:$J$1501="disputed")+('Orders Ledger'!$J$2:$J$1501="PENDING_REVIEW"), ROW('Orders Ledger'!$A$2:$A$1501)-ROW('Orders Ledger'!$A$2)+1), ROW(1003:1003))), "")</f>
        <v/>
      </c>
      <c r="C1061" s="11" t="str">
        <f>IF(B1061="","",_xlfn.XLOOKUP(B1061,'Orders Ledger'!$A:$A,'Orders Ledger'!$B:$B,""))</f>
        <v/>
      </c>
      <c r="D1061" t="str">
        <f>IF(B1061="","",_xlfn.XLOOKUP(B1061,'Orders Ledger'!$A:$A,'Orders Ledger'!$G:$G,""))</f>
        <v/>
      </c>
      <c r="E1061" t="str">
        <f>IF(B1061="","",_xlfn.XLOOKUP(B1061,'Orders Ledger'!$A:$A,'Orders Ledger'!$H:$H,""))</f>
        <v/>
      </c>
      <c r="F1061" t="str">
        <f>IF(B1061="","",_xlfn.XLOOKUP(B1061,'Orders Ledger'!$A:$A,'Orders Ledger'!$F:$F,""))</f>
        <v/>
      </c>
      <c r="G1061" t="str">
        <f>IF(B1061="","",_xlfn.XLOOKUP(B1061,'Orders Ledger'!$A:$A,'Orders Ledger'!$N:$N,0))</f>
        <v/>
      </c>
    </row>
    <row r="1062" spans="2:7" x14ac:dyDescent="0.3">
      <c r="B1062" t="str">
        <f t="array" ref="B1062">IFERROR(INDEX('Orders Ledger'!$A$2:$A$1501, SMALL(IF(('Orders Ledger'!$J$2:$J$1501="disputed")+('Orders Ledger'!$J$2:$J$1501="PENDING_REVIEW"), ROW('Orders Ledger'!$A$2:$A$1501)-ROW('Orders Ledger'!$A$2)+1), ROW(1004:1004))), "")</f>
        <v/>
      </c>
      <c r="C1062" s="11" t="str">
        <f>IF(B1062="","",_xlfn.XLOOKUP(B1062,'Orders Ledger'!$A:$A,'Orders Ledger'!$B:$B,""))</f>
        <v/>
      </c>
      <c r="D1062" t="str">
        <f>IF(B1062="","",_xlfn.XLOOKUP(B1062,'Orders Ledger'!$A:$A,'Orders Ledger'!$G:$G,""))</f>
        <v/>
      </c>
      <c r="E1062" t="str">
        <f>IF(B1062="","",_xlfn.XLOOKUP(B1062,'Orders Ledger'!$A:$A,'Orders Ledger'!$H:$H,""))</f>
        <v/>
      </c>
      <c r="F1062" t="str">
        <f>IF(B1062="","",_xlfn.XLOOKUP(B1062,'Orders Ledger'!$A:$A,'Orders Ledger'!$F:$F,""))</f>
        <v/>
      </c>
      <c r="G1062" t="str">
        <f>IF(B1062="","",_xlfn.XLOOKUP(B1062,'Orders Ledger'!$A:$A,'Orders Ledger'!$N:$N,0))</f>
        <v/>
      </c>
    </row>
    <row r="1063" spans="2:7" x14ac:dyDescent="0.3">
      <c r="B1063" t="str">
        <f t="array" ref="B1063">IFERROR(INDEX('Orders Ledger'!$A$2:$A$1501, SMALL(IF(('Orders Ledger'!$J$2:$J$1501="disputed")+('Orders Ledger'!$J$2:$J$1501="PENDING_REVIEW"), ROW('Orders Ledger'!$A$2:$A$1501)-ROW('Orders Ledger'!$A$2)+1), ROW(1005:1005))), "")</f>
        <v/>
      </c>
      <c r="C1063" s="11" t="str">
        <f>IF(B1063="","",_xlfn.XLOOKUP(B1063,'Orders Ledger'!$A:$A,'Orders Ledger'!$B:$B,""))</f>
        <v/>
      </c>
      <c r="D1063" t="str">
        <f>IF(B1063="","",_xlfn.XLOOKUP(B1063,'Orders Ledger'!$A:$A,'Orders Ledger'!$G:$G,""))</f>
        <v/>
      </c>
      <c r="E1063" t="str">
        <f>IF(B1063="","",_xlfn.XLOOKUP(B1063,'Orders Ledger'!$A:$A,'Orders Ledger'!$H:$H,""))</f>
        <v/>
      </c>
      <c r="F1063" t="str">
        <f>IF(B1063="","",_xlfn.XLOOKUP(B1063,'Orders Ledger'!$A:$A,'Orders Ledger'!$F:$F,""))</f>
        <v/>
      </c>
      <c r="G1063" t="str">
        <f>IF(B1063="","",_xlfn.XLOOKUP(B1063,'Orders Ledger'!$A:$A,'Orders Ledger'!$N:$N,0))</f>
        <v/>
      </c>
    </row>
    <row r="1064" spans="2:7" x14ac:dyDescent="0.3">
      <c r="B1064" t="str">
        <f t="array" ref="B1064">IFERROR(INDEX('Orders Ledger'!$A$2:$A$1501, SMALL(IF(('Orders Ledger'!$J$2:$J$1501="disputed")+('Orders Ledger'!$J$2:$J$1501="PENDING_REVIEW"), ROW('Orders Ledger'!$A$2:$A$1501)-ROW('Orders Ledger'!$A$2)+1), ROW(1006:1006))), "")</f>
        <v/>
      </c>
      <c r="C1064" s="11" t="str">
        <f>IF(B1064="","",_xlfn.XLOOKUP(B1064,'Orders Ledger'!$A:$A,'Orders Ledger'!$B:$B,""))</f>
        <v/>
      </c>
      <c r="D1064" t="str">
        <f>IF(B1064="","",_xlfn.XLOOKUP(B1064,'Orders Ledger'!$A:$A,'Orders Ledger'!$G:$G,""))</f>
        <v/>
      </c>
      <c r="E1064" t="str">
        <f>IF(B1064="","",_xlfn.XLOOKUP(B1064,'Orders Ledger'!$A:$A,'Orders Ledger'!$H:$H,""))</f>
        <v/>
      </c>
      <c r="F1064" t="str">
        <f>IF(B1064="","",_xlfn.XLOOKUP(B1064,'Orders Ledger'!$A:$A,'Orders Ledger'!$F:$F,""))</f>
        <v/>
      </c>
      <c r="G1064" t="str">
        <f>IF(B1064="","",_xlfn.XLOOKUP(B1064,'Orders Ledger'!$A:$A,'Orders Ledger'!$N:$N,0))</f>
        <v/>
      </c>
    </row>
    <row r="1065" spans="2:7" x14ac:dyDescent="0.3">
      <c r="B1065" t="str">
        <f t="array" ref="B1065">IFERROR(INDEX('Orders Ledger'!$A$2:$A$1501, SMALL(IF(('Orders Ledger'!$J$2:$J$1501="disputed")+('Orders Ledger'!$J$2:$J$1501="PENDING_REVIEW"), ROW('Orders Ledger'!$A$2:$A$1501)-ROW('Orders Ledger'!$A$2)+1), ROW(1007:1007))), "")</f>
        <v/>
      </c>
      <c r="C1065" s="11" t="str">
        <f>IF(B1065="","",_xlfn.XLOOKUP(B1065,'Orders Ledger'!$A:$A,'Orders Ledger'!$B:$B,""))</f>
        <v/>
      </c>
      <c r="D1065" t="str">
        <f>IF(B1065="","",_xlfn.XLOOKUP(B1065,'Orders Ledger'!$A:$A,'Orders Ledger'!$G:$G,""))</f>
        <v/>
      </c>
      <c r="E1065" t="str">
        <f>IF(B1065="","",_xlfn.XLOOKUP(B1065,'Orders Ledger'!$A:$A,'Orders Ledger'!$H:$H,""))</f>
        <v/>
      </c>
      <c r="F1065" t="str">
        <f>IF(B1065="","",_xlfn.XLOOKUP(B1065,'Orders Ledger'!$A:$A,'Orders Ledger'!$F:$F,""))</f>
        <v/>
      </c>
      <c r="G1065" t="str">
        <f>IF(B1065="","",_xlfn.XLOOKUP(B1065,'Orders Ledger'!$A:$A,'Orders Ledger'!$N:$N,0))</f>
        <v/>
      </c>
    </row>
    <row r="1066" spans="2:7" x14ac:dyDescent="0.3">
      <c r="B1066" t="str">
        <f t="array" ref="B1066">IFERROR(INDEX('Orders Ledger'!$A$2:$A$1501, SMALL(IF(('Orders Ledger'!$J$2:$J$1501="disputed")+('Orders Ledger'!$J$2:$J$1501="PENDING_REVIEW"), ROW('Orders Ledger'!$A$2:$A$1501)-ROW('Orders Ledger'!$A$2)+1), ROW(1008:1008))), "")</f>
        <v/>
      </c>
      <c r="C1066" s="11" t="str">
        <f>IF(B1066="","",_xlfn.XLOOKUP(B1066,'Orders Ledger'!$A:$A,'Orders Ledger'!$B:$B,""))</f>
        <v/>
      </c>
      <c r="D1066" t="str">
        <f>IF(B1066="","",_xlfn.XLOOKUP(B1066,'Orders Ledger'!$A:$A,'Orders Ledger'!$G:$G,""))</f>
        <v/>
      </c>
      <c r="E1066" t="str">
        <f>IF(B1066="","",_xlfn.XLOOKUP(B1066,'Orders Ledger'!$A:$A,'Orders Ledger'!$H:$H,""))</f>
        <v/>
      </c>
      <c r="F1066" t="str">
        <f>IF(B1066="","",_xlfn.XLOOKUP(B1066,'Orders Ledger'!$A:$A,'Orders Ledger'!$F:$F,""))</f>
        <v/>
      </c>
      <c r="G1066" t="str">
        <f>IF(B1066="","",_xlfn.XLOOKUP(B1066,'Orders Ledger'!$A:$A,'Orders Ledger'!$N:$N,0))</f>
        <v/>
      </c>
    </row>
    <row r="1067" spans="2:7" x14ac:dyDescent="0.3">
      <c r="B1067" t="str">
        <f t="array" ref="B1067">IFERROR(INDEX('Orders Ledger'!$A$2:$A$1501, SMALL(IF(('Orders Ledger'!$J$2:$J$1501="disputed")+('Orders Ledger'!$J$2:$J$1501="PENDING_REVIEW"), ROW('Orders Ledger'!$A$2:$A$1501)-ROW('Orders Ledger'!$A$2)+1), ROW(1009:1009))), "")</f>
        <v/>
      </c>
      <c r="C1067" s="11" t="str">
        <f>IF(B1067="","",_xlfn.XLOOKUP(B1067,'Orders Ledger'!$A:$A,'Orders Ledger'!$B:$B,""))</f>
        <v/>
      </c>
      <c r="D1067" t="str">
        <f>IF(B1067="","",_xlfn.XLOOKUP(B1067,'Orders Ledger'!$A:$A,'Orders Ledger'!$G:$G,""))</f>
        <v/>
      </c>
      <c r="E1067" t="str">
        <f>IF(B1067="","",_xlfn.XLOOKUP(B1067,'Orders Ledger'!$A:$A,'Orders Ledger'!$H:$H,""))</f>
        <v/>
      </c>
      <c r="F1067" t="str">
        <f>IF(B1067="","",_xlfn.XLOOKUP(B1067,'Orders Ledger'!$A:$A,'Orders Ledger'!$F:$F,""))</f>
        <v/>
      </c>
      <c r="G1067" t="str">
        <f>IF(B1067="","",_xlfn.XLOOKUP(B1067,'Orders Ledger'!$A:$A,'Orders Ledger'!$N:$N,0))</f>
        <v/>
      </c>
    </row>
    <row r="1068" spans="2:7" x14ac:dyDescent="0.3">
      <c r="B1068" t="str">
        <f t="array" ref="B1068">IFERROR(INDEX('Orders Ledger'!$A$2:$A$1501, SMALL(IF(('Orders Ledger'!$J$2:$J$1501="disputed")+('Orders Ledger'!$J$2:$J$1501="PENDING_REVIEW"), ROW('Orders Ledger'!$A$2:$A$1501)-ROW('Orders Ledger'!$A$2)+1), ROW(1010:1010))), "")</f>
        <v/>
      </c>
      <c r="C1068" s="11" t="str">
        <f>IF(B1068="","",_xlfn.XLOOKUP(B1068,'Orders Ledger'!$A:$A,'Orders Ledger'!$B:$B,""))</f>
        <v/>
      </c>
      <c r="D1068" t="str">
        <f>IF(B1068="","",_xlfn.XLOOKUP(B1068,'Orders Ledger'!$A:$A,'Orders Ledger'!$G:$G,""))</f>
        <v/>
      </c>
      <c r="E1068" t="str">
        <f>IF(B1068="","",_xlfn.XLOOKUP(B1068,'Orders Ledger'!$A:$A,'Orders Ledger'!$H:$H,""))</f>
        <v/>
      </c>
      <c r="F1068" t="str">
        <f>IF(B1068="","",_xlfn.XLOOKUP(B1068,'Orders Ledger'!$A:$A,'Orders Ledger'!$F:$F,""))</f>
        <v/>
      </c>
      <c r="G1068" t="str">
        <f>IF(B1068="","",_xlfn.XLOOKUP(B1068,'Orders Ledger'!$A:$A,'Orders Ledger'!$N:$N,0))</f>
        <v/>
      </c>
    </row>
    <row r="1069" spans="2:7" x14ac:dyDescent="0.3">
      <c r="B1069" t="str">
        <f t="array" ref="B1069">IFERROR(INDEX('Orders Ledger'!$A$2:$A$1501, SMALL(IF(('Orders Ledger'!$J$2:$J$1501="disputed")+('Orders Ledger'!$J$2:$J$1501="PENDING_REVIEW"), ROW('Orders Ledger'!$A$2:$A$1501)-ROW('Orders Ledger'!$A$2)+1), ROW(1011:1011))), "")</f>
        <v/>
      </c>
      <c r="C1069" s="11" t="str">
        <f>IF(B1069="","",_xlfn.XLOOKUP(B1069,'Orders Ledger'!$A:$A,'Orders Ledger'!$B:$B,""))</f>
        <v/>
      </c>
      <c r="D1069" t="str">
        <f>IF(B1069="","",_xlfn.XLOOKUP(B1069,'Orders Ledger'!$A:$A,'Orders Ledger'!$G:$G,""))</f>
        <v/>
      </c>
      <c r="E1069" t="str">
        <f>IF(B1069="","",_xlfn.XLOOKUP(B1069,'Orders Ledger'!$A:$A,'Orders Ledger'!$H:$H,""))</f>
        <v/>
      </c>
      <c r="F1069" t="str">
        <f>IF(B1069="","",_xlfn.XLOOKUP(B1069,'Orders Ledger'!$A:$A,'Orders Ledger'!$F:$F,""))</f>
        <v/>
      </c>
      <c r="G1069" t="str">
        <f>IF(B1069="","",_xlfn.XLOOKUP(B1069,'Orders Ledger'!$A:$A,'Orders Ledger'!$N:$N,0))</f>
        <v/>
      </c>
    </row>
    <row r="1070" spans="2:7" x14ac:dyDescent="0.3">
      <c r="B1070" t="str">
        <f t="array" ref="B1070">IFERROR(INDEX('Orders Ledger'!$A$2:$A$1501, SMALL(IF(('Orders Ledger'!$J$2:$J$1501="disputed")+('Orders Ledger'!$J$2:$J$1501="PENDING_REVIEW"), ROW('Orders Ledger'!$A$2:$A$1501)-ROW('Orders Ledger'!$A$2)+1), ROW(1012:1012))), "")</f>
        <v/>
      </c>
      <c r="C1070" s="11" t="str">
        <f>IF(B1070="","",_xlfn.XLOOKUP(B1070,'Orders Ledger'!$A:$A,'Orders Ledger'!$B:$B,""))</f>
        <v/>
      </c>
      <c r="D1070" t="str">
        <f>IF(B1070="","",_xlfn.XLOOKUP(B1070,'Orders Ledger'!$A:$A,'Orders Ledger'!$G:$G,""))</f>
        <v/>
      </c>
      <c r="E1070" t="str">
        <f>IF(B1070="","",_xlfn.XLOOKUP(B1070,'Orders Ledger'!$A:$A,'Orders Ledger'!$H:$H,""))</f>
        <v/>
      </c>
      <c r="F1070" t="str">
        <f>IF(B1070="","",_xlfn.XLOOKUP(B1070,'Orders Ledger'!$A:$A,'Orders Ledger'!$F:$F,""))</f>
        <v/>
      </c>
      <c r="G1070" t="str">
        <f>IF(B1070="","",_xlfn.XLOOKUP(B1070,'Orders Ledger'!$A:$A,'Orders Ledger'!$N:$N,0))</f>
        <v/>
      </c>
    </row>
    <row r="1071" spans="2:7" x14ac:dyDescent="0.3">
      <c r="B1071" t="str">
        <f t="array" ref="B1071">IFERROR(INDEX('Orders Ledger'!$A$2:$A$1501, SMALL(IF(('Orders Ledger'!$J$2:$J$1501="disputed")+('Orders Ledger'!$J$2:$J$1501="PENDING_REVIEW"), ROW('Orders Ledger'!$A$2:$A$1501)-ROW('Orders Ledger'!$A$2)+1), ROW(1013:1013))), "")</f>
        <v/>
      </c>
      <c r="C1071" s="11" t="str">
        <f>IF(B1071="","",_xlfn.XLOOKUP(B1071,'Orders Ledger'!$A:$A,'Orders Ledger'!$B:$B,""))</f>
        <v/>
      </c>
      <c r="D1071" t="str">
        <f>IF(B1071="","",_xlfn.XLOOKUP(B1071,'Orders Ledger'!$A:$A,'Orders Ledger'!$G:$G,""))</f>
        <v/>
      </c>
      <c r="E1071" t="str">
        <f>IF(B1071="","",_xlfn.XLOOKUP(B1071,'Orders Ledger'!$A:$A,'Orders Ledger'!$H:$H,""))</f>
        <v/>
      </c>
      <c r="F1071" t="str">
        <f>IF(B1071="","",_xlfn.XLOOKUP(B1071,'Orders Ledger'!$A:$A,'Orders Ledger'!$F:$F,""))</f>
        <v/>
      </c>
      <c r="G1071" t="str">
        <f>IF(B1071="","",_xlfn.XLOOKUP(B1071,'Orders Ledger'!$A:$A,'Orders Ledger'!$N:$N,0))</f>
        <v/>
      </c>
    </row>
    <row r="1072" spans="2:7" x14ac:dyDescent="0.3">
      <c r="B1072" t="str">
        <f t="array" ref="B1072">IFERROR(INDEX('Orders Ledger'!$A$2:$A$1501, SMALL(IF(('Orders Ledger'!$J$2:$J$1501="disputed")+('Orders Ledger'!$J$2:$J$1501="PENDING_REVIEW"), ROW('Orders Ledger'!$A$2:$A$1501)-ROW('Orders Ledger'!$A$2)+1), ROW(1014:1014))), "")</f>
        <v/>
      </c>
      <c r="C1072" s="11" t="str">
        <f>IF(B1072="","",_xlfn.XLOOKUP(B1072,'Orders Ledger'!$A:$A,'Orders Ledger'!$B:$B,""))</f>
        <v/>
      </c>
      <c r="D1072" t="str">
        <f>IF(B1072="","",_xlfn.XLOOKUP(B1072,'Orders Ledger'!$A:$A,'Orders Ledger'!$G:$G,""))</f>
        <v/>
      </c>
      <c r="E1072" t="str">
        <f>IF(B1072="","",_xlfn.XLOOKUP(B1072,'Orders Ledger'!$A:$A,'Orders Ledger'!$H:$H,""))</f>
        <v/>
      </c>
      <c r="F1072" t="str">
        <f>IF(B1072="","",_xlfn.XLOOKUP(B1072,'Orders Ledger'!$A:$A,'Orders Ledger'!$F:$F,""))</f>
        <v/>
      </c>
      <c r="G1072" t="str">
        <f>IF(B1072="","",_xlfn.XLOOKUP(B1072,'Orders Ledger'!$A:$A,'Orders Ledger'!$N:$N,0))</f>
        <v/>
      </c>
    </row>
    <row r="1073" spans="2:7" x14ac:dyDescent="0.3">
      <c r="B1073" t="str">
        <f t="array" ref="B1073">IFERROR(INDEX('Orders Ledger'!$A$2:$A$1501, SMALL(IF(('Orders Ledger'!$J$2:$J$1501="disputed")+('Orders Ledger'!$J$2:$J$1501="PENDING_REVIEW"), ROW('Orders Ledger'!$A$2:$A$1501)-ROW('Orders Ledger'!$A$2)+1), ROW(1015:1015))), "")</f>
        <v/>
      </c>
      <c r="C1073" s="11" t="str">
        <f>IF(B1073="","",_xlfn.XLOOKUP(B1073,'Orders Ledger'!$A:$A,'Orders Ledger'!$B:$B,""))</f>
        <v/>
      </c>
      <c r="D1073" t="str">
        <f>IF(B1073="","",_xlfn.XLOOKUP(B1073,'Orders Ledger'!$A:$A,'Orders Ledger'!$G:$G,""))</f>
        <v/>
      </c>
      <c r="E1073" t="str">
        <f>IF(B1073="","",_xlfn.XLOOKUP(B1073,'Orders Ledger'!$A:$A,'Orders Ledger'!$H:$H,""))</f>
        <v/>
      </c>
      <c r="F1073" t="str">
        <f>IF(B1073="","",_xlfn.XLOOKUP(B1073,'Orders Ledger'!$A:$A,'Orders Ledger'!$F:$F,""))</f>
        <v/>
      </c>
      <c r="G1073" t="str">
        <f>IF(B1073="","",_xlfn.XLOOKUP(B1073,'Orders Ledger'!$A:$A,'Orders Ledger'!$N:$N,0))</f>
        <v/>
      </c>
    </row>
    <row r="1074" spans="2:7" x14ac:dyDescent="0.3">
      <c r="B1074" t="str">
        <f t="array" ref="B1074">IFERROR(INDEX('Orders Ledger'!$A$2:$A$1501, SMALL(IF(('Orders Ledger'!$J$2:$J$1501="disputed")+('Orders Ledger'!$J$2:$J$1501="PENDING_REVIEW"), ROW('Orders Ledger'!$A$2:$A$1501)-ROW('Orders Ledger'!$A$2)+1), ROW(1016:1016))), "")</f>
        <v/>
      </c>
      <c r="C1074" s="11" t="str">
        <f>IF(B1074="","",_xlfn.XLOOKUP(B1074,'Orders Ledger'!$A:$A,'Orders Ledger'!$B:$B,""))</f>
        <v/>
      </c>
      <c r="D1074" t="str">
        <f>IF(B1074="","",_xlfn.XLOOKUP(B1074,'Orders Ledger'!$A:$A,'Orders Ledger'!$G:$G,""))</f>
        <v/>
      </c>
      <c r="E1074" t="str">
        <f>IF(B1074="","",_xlfn.XLOOKUP(B1074,'Orders Ledger'!$A:$A,'Orders Ledger'!$H:$H,""))</f>
        <v/>
      </c>
      <c r="F1074" t="str">
        <f>IF(B1074="","",_xlfn.XLOOKUP(B1074,'Orders Ledger'!$A:$A,'Orders Ledger'!$F:$F,""))</f>
        <v/>
      </c>
      <c r="G1074" t="str">
        <f>IF(B1074="","",_xlfn.XLOOKUP(B1074,'Orders Ledger'!$A:$A,'Orders Ledger'!$N:$N,0))</f>
        <v/>
      </c>
    </row>
    <row r="1075" spans="2:7" x14ac:dyDescent="0.3">
      <c r="B1075" t="str">
        <f t="array" ref="B1075">IFERROR(INDEX('Orders Ledger'!$A$2:$A$1501, SMALL(IF(('Orders Ledger'!$J$2:$J$1501="disputed")+('Orders Ledger'!$J$2:$J$1501="PENDING_REVIEW"), ROW('Orders Ledger'!$A$2:$A$1501)-ROW('Orders Ledger'!$A$2)+1), ROW(1017:1017))), "")</f>
        <v/>
      </c>
      <c r="C1075" s="11" t="str">
        <f>IF(B1075="","",_xlfn.XLOOKUP(B1075,'Orders Ledger'!$A:$A,'Orders Ledger'!$B:$B,""))</f>
        <v/>
      </c>
      <c r="D1075" t="str">
        <f>IF(B1075="","",_xlfn.XLOOKUP(B1075,'Orders Ledger'!$A:$A,'Orders Ledger'!$G:$G,""))</f>
        <v/>
      </c>
      <c r="E1075" t="str">
        <f>IF(B1075="","",_xlfn.XLOOKUP(B1075,'Orders Ledger'!$A:$A,'Orders Ledger'!$H:$H,""))</f>
        <v/>
      </c>
      <c r="F1075" t="str">
        <f>IF(B1075="","",_xlfn.XLOOKUP(B1075,'Orders Ledger'!$A:$A,'Orders Ledger'!$F:$F,""))</f>
        <v/>
      </c>
      <c r="G1075" t="str">
        <f>IF(B1075="","",_xlfn.XLOOKUP(B1075,'Orders Ledger'!$A:$A,'Orders Ledger'!$N:$N,0))</f>
        <v/>
      </c>
    </row>
    <row r="1076" spans="2:7" x14ac:dyDescent="0.3">
      <c r="B1076" t="str">
        <f t="array" ref="B1076">IFERROR(INDEX('Orders Ledger'!$A$2:$A$1501, SMALL(IF(('Orders Ledger'!$J$2:$J$1501="disputed")+('Orders Ledger'!$J$2:$J$1501="PENDING_REVIEW"), ROW('Orders Ledger'!$A$2:$A$1501)-ROW('Orders Ledger'!$A$2)+1), ROW(1018:1018))), "")</f>
        <v/>
      </c>
      <c r="C1076" s="11" t="str">
        <f>IF(B1076="","",_xlfn.XLOOKUP(B1076,'Orders Ledger'!$A:$A,'Orders Ledger'!$B:$B,""))</f>
        <v/>
      </c>
      <c r="D1076" t="str">
        <f>IF(B1076="","",_xlfn.XLOOKUP(B1076,'Orders Ledger'!$A:$A,'Orders Ledger'!$G:$G,""))</f>
        <v/>
      </c>
      <c r="E1076" t="str">
        <f>IF(B1076="","",_xlfn.XLOOKUP(B1076,'Orders Ledger'!$A:$A,'Orders Ledger'!$H:$H,""))</f>
        <v/>
      </c>
      <c r="F1076" t="str">
        <f>IF(B1076="","",_xlfn.XLOOKUP(B1076,'Orders Ledger'!$A:$A,'Orders Ledger'!$F:$F,""))</f>
        <v/>
      </c>
      <c r="G1076" t="str">
        <f>IF(B1076="","",_xlfn.XLOOKUP(B1076,'Orders Ledger'!$A:$A,'Orders Ledger'!$N:$N,0))</f>
        <v/>
      </c>
    </row>
    <row r="1077" spans="2:7" x14ac:dyDescent="0.3">
      <c r="B1077" t="str">
        <f t="array" ref="B1077">IFERROR(INDEX('Orders Ledger'!$A$2:$A$1501, SMALL(IF(('Orders Ledger'!$J$2:$J$1501="disputed")+('Orders Ledger'!$J$2:$J$1501="PENDING_REVIEW"), ROW('Orders Ledger'!$A$2:$A$1501)-ROW('Orders Ledger'!$A$2)+1), ROW(1019:1019))), "")</f>
        <v/>
      </c>
      <c r="C1077" s="11" t="str">
        <f>IF(B1077="","",_xlfn.XLOOKUP(B1077,'Orders Ledger'!$A:$A,'Orders Ledger'!$B:$B,""))</f>
        <v/>
      </c>
      <c r="D1077" t="str">
        <f>IF(B1077="","",_xlfn.XLOOKUP(B1077,'Orders Ledger'!$A:$A,'Orders Ledger'!$G:$G,""))</f>
        <v/>
      </c>
      <c r="E1077" t="str">
        <f>IF(B1077="","",_xlfn.XLOOKUP(B1077,'Orders Ledger'!$A:$A,'Orders Ledger'!$H:$H,""))</f>
        <v/>
      </c>
      <c r="F1077" t="str">
        <f>IF(B1077="","",_xlfn.XLOOKUP(B1077,'Orders Ledger'!$A:$A,'Orders Ledger'!$F:$F,""))</f>
        <v/>
      </c>
      <c r="G1077" t="str">
        <f>IF(B1077="","",_xlfn.XLOOKUP(B1077,'Orders Ledger'!$A:$A,'Orders Ledger'!$N:$N,0))</f>
        <v/>
      </c>
    </row>
    <row r="1078" spans="2:7" x14ac:dyDescent="0.3">
      <c r="B1078" t="str">
        <f t="array" ref="B1078">IFERROR(INDEX('Orders Ledger'!$A$2:$A$1501, SMALL(IF(('Orders Ledger'!$J$2:$J$1501="disputed")+('Orders Ledger'!$J$2:$J$1501="PENDING_REVIEW"), ROW('Orders Ledger'!$A$2:$A$1501)-ROW('Orders Ledger'!$A$2)+1), ROW(1020:1020))), "")</f>
        <v/>
      </c>
      <c r="C1078" s="11" t="str">
        <f>IF(B1078="","",_xlfn.XLOOKUP(B1078,'Orders Ledger'!$A:$A,'Orders Ledger'!$B:$B,""))</f>
        <v/>
      </c>
      <c r="D1078" t="str">
        <f>IF(B1078="","",_xlfn.XLOOKUP(B1078,'Orders Ledger'!$A:$A,'Orders Ledger'!$G:$G,""))</f>
        <v/>
      </c>
      <c r="E1078" t="str">
        <f>IF(B1078="","",_xlfn.XLOOKUP(B1078,'Orders Ledger'!$A:$A,'Orders Ledger'!$H:$H,""))</f>
        <v/>
      </c>
      <c r="F1078" t="str">
        <f>IF(B1078="","",_xlfn.XLOOKUP(B1078,'Orders Ledger'!$A:$A,'Orders Ledger'!$F:$F,""))</f>
        <v/>
      </c>
      <c r="G1078" t="str">
        <f>IF(B1078="","",_xlfn.XLOOKUP(B1078,'Orders Ledger'!$A:$A,'Orders Ledger'!$N:$N,0))</f>
        <v/>
      </c>
    </row>
    <row r="1079" spans="2:7" x14ac:dyDescent="0.3">
      <c r="B1079" t="str">
        <f t="array" ref="B1079">IFERROR(INDEX('Orders Ledger'!$A$2:$A$1501, SMALL(IF(('Orders Ledger'!$J$2:$J$1501="disputed")+('Orders Ledger'!$J$2:$J$1501="PENDING_REVIEW"), ROW('Orders Ledger'!$A$2:$A$1501)-ROW('Orders Ledger'!$A$2)+1), ROW(1021:1021))), "")</f>
        <v/>
      </c>
      <c r="C1079" s="11" t="str">
        <f>IF(B1079="","",_xlfn.XLOOKUP(B1079,'Orders Ledger'!$A:$A,'Orders Ledger'!$B:$B,""))</f>
        <v/>
      </c>
      <c r="D1079" t="str">
        <f>IF(B1079="","",_xlfn.XLOOKUP(B1079,'Orders Ledger'!$A:$A,'Orders Ledger'!$G:$G,""))</f>
        <v/>
      </c>
      <c r="E1079" t="str">
        <f>IF(B1079="","",_xlfn.XLOOKUP(B1079,'Orders Ledger'!$A:$A,'Orders Ledger'!$H:$H,""))</f>
        <v/>
      </c>
      <c r="F1079" t="str">
        <f>IF(B1079="","",_xlfn.XLOOKUP(B1079,'Orders Ledger'!$A:$A,'Orders Ledger'!$F:$F,""))</f>
        <v/>
      </c>
      <c r="G1079" t="str">
        <f>IF(B1079="","",_xlfn.XLOOKUP(B1079,'Orders Ledger'!$A:$A,'Orders Ledger'!$N:$N,0))</f>
        <v/>
      </c>
    </row>
    <row r="1080" spans="2:7" x14ac:dyDescent="0.3">
      <c r="B1080" t="str">
        <f t="array" ref="B1080">IFERROR(INDEX('Orders Ledger'!$A$2:$A$1501, SMALL(IF(('Orders Ledger'!$J$2:$J$1501="disputed")+('Orders Ledger'!$J$2:$J$1501="PENDING_REVIEW"), ROW('Orders Ledger'!$A$2:$A$1501)-ROW('Orders Ledger'!$A$2)+1), ROW(1022:1022))), "")</f>
        <v/>
      </c>
      <c r="C1080" s="11" t="str">
        <f>IF(B1080="","",_xlfn.XLOOKUP(B1080,'Orders Ledger'!$A:$A,'Orders Ledger'!$B:$B,""))</f>
        <v/>
      </c>
      <c r="D1080" t="str">
        <f>IF(B1080="","",_xlfn.XLOOKUP(B1080,'Orders Ledger'!$A:$A,'Orders Ledger'!$G:$G,""))</f>
        <v/>
      </c>
      <c r="E1080" t="str">
        <f>IF(B1080="","",_xlfn.XLOOKUP(B1080,'Orders Ledger'!$A:$A,'Orders Ledger'!$H:$H,""))</f>
        <v/>
      </c>
      <c r="F1080" t="str">
        <f>IF(B1080="","",_xlfn.XLOOKUP(B1080,'Orders Ledger'!$A:$A,'Orders Ledger'!$F:$F,""))</f>
        <v/>
      </c>
      <c r="G1080" t="str">
        <f>IF(B1080="","",_xlfn.XLOOKUP(B1080,'Orders Ledger'!$A:$A,'Orders Ledger'!$N:$N,0))</f>
        <v/>
      </c>
    </row>
    <row r="1081" spans="2:7" x14ac:dyDescent="0.3">
      <c r="B1081" t="str">
        <f t="array" ref="B1081">IFERROR(INDEX('Orders Ledger'!$A$2:$A$1501, SMALL(IF(('Orders Ledger'!$J$2:$J$1501="disputed")+('Orders Ledger'!$J$2:$J$1501="PENDING_REVIEW"), ROW('Orders Ledger'!$A$2:$A$1501)-ROW('Orders Ledger'!$A$2)+1), ROW(1023:1023))), "")</f>
        <v/>
      </c>
      <c r="C1081" s="11" t="str">
        <f>IF(B1081="","",_xlfn.XLOOKUP(B1081,'Orders Ledger'!$A:$A,'Orders Ledger'!$B:$B,""))</f>
        <v/>
      </c>
      <c r="D1081" t="str">
        <f>IF(B1081="","",_xlfn.XLOOKUP(B1081,'Orders Ledger'!$A:$A,'Orders Ledger'!$G:$G,""))</f>
        <v/>
      </c>
      <c r="E1081" t="str">
        <f>IF(B1081="","",_xlfn.XLOOKUP(B1081,'Orders Ledger'!$A:$A,'Orders Ledger'!$H:$H,""))</f>
        <v/>
      </c>
      <c r="F1081" t="str">
        <f>IF(B1081="","",_xlfn.XLOOKUP(B1081,'Orders Ledger'!$A:$A,'Orders Ledger'!$F:$F,""))</f>
        <v/>
      </c>
      <c r="G1081" t="str">
        <f>IF(B1081="","",_xlfn.XLOOKUP(B1081,'Orders Ledger'!$A:$A,'Orders Ledger'!$N:$N,0))</f>
        <v/>
      </c>
    </row>
    <row r="1082" spans="2:7" x14ac:dyDescent="0.3">
      <c r="B1082" t="str">
        <f t="array" ref="B1082">IFERROR(INDEX('Orders Ledger'!$A$2:$A$1501, SMALL(IF(('Orders Ledger'!$J$2:$J$1501="disputed")+('Orders Ledger'!$J$2:$J$1501="PENDING_REVIEW"), ROW('Orders Ledger'!$A$2:$A$1501)-ROW('Orders Ledger'!$A$2)+1), ROW(1024:1024))), "")</f>
        <v/>
      </c>
      <c r="C1082" s="11" t="str">
        <f>IF(B1082="","",_xlfn.XLOOKUP(B1082,'Orders Ledger'!$A:$A,'Orders Ledger'!$B:$B,""))</f>
        <v/>
      </c>
      <c r="D1082" t="str">
        <f>IF(B1082="","",_xlfn.XLOOKUP(B1082,'Orders Ledger'!$A:$A,'Orders Ledger'!$G:$G,""))</f>
        <v/>
      </c>
      <c r="E1082" t="str">
        <f>IF(B1082="","",_xlfn.XLOOKUP(B1082,'Orders Ledger'!$A:$A,'Orders Ledger'!$H:$H,""))</f>
        <v/>
      </c>
      <c r="F1082" t="str">
        <f>IF(B1082="","",_xlfn.XLOOKUP(B1082,'Orders Ledger'!$A:$A,'Orders Ledger'!$F:$F,""))</f>
        <v/>
      </c>
      <c r="G1082" t="str">
        <f>IF(B1082="","",_xlfn.XLOOKUP(B1082,'Orders Ledger'!$A:$A,'Orders Ledger'!$N:$N,0))</f>
        <v/>
      </c>
    </row>
    <row r="1083" spans="2:7" x14ac:dyDescent="0.3">
      <c r="B1083" t="str">
        <f t="array" ref="B1083">IFERROR(INDEX('Orders Ledger'!$A$2:$A$1501, SMALL(IF(('Orders Ledger'!$J$2:$J$1501="disputed")+('Orders Ledger'!$J$2:$J$1501="PENDING_REVIEW"), ROW('Orders Ledger'!$A$2:$A$1501)-ROW('Orders Ledger'!$A$2)+1), ROW(1025:1025))), "")</f>
        <v/>
      </c>
      <c r="C1083" s="11" t="str">
        <f>IF(B1083="","",_xlfn.XLOOKUP(B1083,'Orders Ledger'!$A:$A,'Orders Ledger'!$B:$B,""))</f>
        <v/>
      </c>
      <c r="D1083" t="str">
        <f>IF(B1083="","",_xlfn.XLOOKUP(B1083,'Orders Ledger'!$A:$A,'Orders Ledger'!$G:$G,""))</f>
        <v/>
      </c>
      <c r="E1083" t="str">
        <f>IF(B1083="","",_xlfn.XLOOKUP(B1083,'Orders Ledger'!$A:$A,'Orders Ledger'!$H:$H,""))</f>
        <v/>
      </c>
      <c r="F1083" t="str">
        <f>IF(B1083="","",_xlfn.XLOOKUP(B1083,'Orders Ledger'!$A:$A,'Orders Ledger'!$F:$F,""))</f>
        <v/>
      </c>
      <c r="G1083" t="str">
        <f>IF(B1083="","",_xlfn.XLOOKUP(B1083,'Orders Ledger'!$A:$A,'Orders Ledger'!$N:$N,0))</f>
        <v/>
      </c>
    </row>
    <row r="1084" spans="2:7" x14ac:dyDescent="0.3">
      <c r="B1084" t="str">
        <f t="array" ref="B1084">IFERROR(INDEX('Orders Ledger'!$A$2:$A$1501, SMALL(IF(('Orders Ledger'!$J$2:$J$1501="disputed")+('Orders Ledger'!$J$2:$J$1501="PENDING_REVIEW"), ROW('Orders Ledger'!$A$2:$A$1501)-ROW('Orders Ledger'!$A$2)+1), ROW(1026:1026))), "")</f>
        <v/>
      </c>
      <c r="C1084" s="11" t="str">
        <f>IF(B1084="","",_xlfn.XLOOKUP(B1084,'Orders Ledger'!$A:$A,'Orders Ledger'!$B:$B,""))</f>
        <v/>
      </c>
      <c r="D1084" t="str">
        <f>IF(B1084="","",_xlfn.XLOOKUP(B1084,'Orders Ledger'!$A:$A,'Orders Ledger'!$G:$G,""))</f>
        <v/>
      </c>
      <c r="E1084" t="str">
        <f>IF(B1084="","",_xlfn.XLOOKUP(B1084,'Orders Ledger'!$A:$A,'Orders Ledger'!$H:$H,""))</f>
        <v/>
      </c>
      <c r="F1084" t="str">
        <f>IF(B1084="","",_xlfn.XLOOKUP(B1084,'Orders Ledger'!$A:$A,'Orders Ledger'!$F:$F,""))</f>
        <v/>
      </c>
      <c r="G1084" t="str">
        <f>IF(B1084="","",_xlfn.XLOOKUP(B1084,'Orders Ledger'!$A:$A,'Orders Ledger'!$N:$N,0))</f>
        <v/>
      </c>
    </row>
    <row r="1085" spans="2:7" x14ac:dyDescent="0.3">
      <c r="B1085" t="str">
        <f t="array" ref="B1085">IFERROR(INDEX('Orders Ledger'!$A$2:$A$1501, SMALL(IF(('Orders Ledger'!$J$2:$J$1501="disputed")+('Orders Ledger'!$J$2:$J$1501="PENDING_REVIEW"), ROW('Orders Ledger'!$A$2:$A$1501)-ROW('Orders Ledger'!$A$2)+1), ROW(1027:1027))), "")</f>
        <v/>
      </c>
      <c r="C1085" s="11" t="str">
        <f>IF(B1085="","",_xlfn.XLOOKUP(B1085,'Orders Ledger'!$A:$A,'Orders Ledger'!$B:$B,""))</f>
        <v/>
      </c>
      <c r="D1085" t="str">
        <f>IF(B1085="","",_xlfn.XLOOKUP(B1085,'Orders Ledger'!$A:$A,'Orders Ledger'!$G:$G,""))</f>
        <v/>
      </c>
      <c r="E1085" t="str">
        <f>IF(B1085="","",_xlfn.XLOOKUP(B1085,'Orders Ledger'!$A:$A,'Orders Ledger'!$H:$H,""))</f>
        <v/>
      </c>
      <c r="F1085" t="str">
        <f>IF(B1085="","",_xlfn.XLOOKUP(B1085,'Orders Ledger'!$A:$A,'Orders Ledger'!$F:$F,""))</f>
        <v/>
      </c>
      <c r="G1085" t="str">
        <f>IF(B1085="","",_xlfn.XLOOKUP(B1085,'Orders Ledger'!$A:$A,'Orders Ledger'!$N:$N,0))</f>
        <v/>
      </c>
    </row>
    <row r="1086" spans="2:7" x14ac:dyDescent="0.3">
      <c r="B1086" t="str">
        <f t="array" ref="B1086">IFERROR(INDEX('Orders Ledger'!$A$2:$A$1501, SMALL(IF(('Orders Ledger'!$J$2:$J$1501="disputed")+('Orders Ledger'!$J$2:$J$1501="PENDING_REVIEW"), ROW('Orders Ledger'!$A$2:$A$1501)-ROW('Orders Ledger'!$A$2)+1), ROW(1028:1028))), "")</f>
        <v/>
      </c>
      <c r="C1086" s="11" t="str">
        <f>IF(B1086="","",_xlfn.XLOOKUP(B1086,'Orders Ledger'!$A:$A,'Orders Ledger'!$B:$B,""))</f>
        <v/>
      </c>
      <c r="D1086" t="str">
        <f>IF(B1086="","",_xlfn.XLOOKUP(B1086,'Orders Ledger'!$A:$A,'Orders Ledger'!$G:$G,""))</f>
        <v/>
      </c>
      <c r="E1086" t="str">
        <f>IF(B1086="","",_xlfn.XLOOKUP(B1086,'Orders Ledger'!$A:$A,'Orders Ledger'!$H:$H,""))</f>
        <v/>
      </c>
      <c r="F1086" t="str">
        <f>IF(B1086="","",_xlfn.XLOOKUP(B1086,'Orders Ledger'!$A:$A,'Orders Ledger'!$F:$F,""))</f>
        <v/>
      </c>
      <c r="G1086" t="str">
        <f>IF(B1086="","",_xlfn.XLOOKUP(B1086,'Orders Ledger'!$A:$A,'Orders Ledger'!$N:$N,0))</f>
        <v/>
      </c>
    </row>
    <row r="1087" spans="2:7" x14ac:dyDescent="0.3">
      <c r="B1087" t="str">
        <f t="array" ref="B1087">IFERROR(INDEX('Orders Ledger'!$A$2:$A$1501, SMALL(IF(('Orders Ledger'!$J$2:$J$1501="disputed")+('Orders Ledger'!$J$2:$J$1501="PENDING_REVIEW"), ROW('Orders Ledger'!$A$2:$A$1501)-ROW('Orders Ledger'!$A$2)+1), ROW(1029:1029))), "")</f>
        <v/>
      </c>
      <c r="C1087" s="11" t="str">
        <f>IF(B1087="","",_xlfn.XLOOKUP(B1087,'Orders Ledger'!$A:$A,'Orders Ledger'!$B:$B,""))</f>
        <v/>
      </c>
      <c r="D1087" t="str">
        <f>IF(B1087="","",_xlfn.XLOOKUP(B1087,'Orders Ledger'!$A:$A,'Orders Ledger'!$G:$G,""))</f>
        <v/>
      </c>
      <c r="E1087" t="str">
        <f>IF(B1087="","",_xlfn.XLOOKUP(B1087,'Orders Ledger'!$A:$A,'Orders Ledger'!$H:$H,""))</f>
        <v/>
      </c>
      <c r="F1087" t="str">
        <f>IF(B1087="","",_xlfn.XLOOKUP(B1087,'Orders Ledger'!$A:$A,'Orders Ledger'!$F:$F,""))</f>
        <v/>
      </c>
      <c r="G1087" t="str">
        <f>IF(B1087="","",_xlfn.XLOOKUP(B1087,'Orders Ledger'!$A:$A,'Orders Ledger'!$N:$N,0))</f>
        <v/>
      </c>
    </row>
    <row r="1088" spans="2:7" x14ac:dyDescent="0.3">
      <c r="B1088" t="str">
        <f t="array" ref="B1088">IFERROR(INDEX('Orders Ledger'!$A$2:$A$1501, SMALL(IF(('Orders Ledger'!$J$2:$J$1501="disputed")+('Orders Ledger'!$J$2:$J$1501="PENDING_REVIEW"), ROW('Orders Ledger'!$A$2:$A$1501)-ROW('Orders Ledger'!$A$2)+1), ROW(1030:1030))), "")</f>
        <v/>
      </c>
      <c r="C1088" s="11" t="str">
        <f>IF(B1088="","",_xlfn.XLOOKUP(B1088,'Orders Ledger'!$A:$A,'Orders Ledger'!$B:$B,""))</f>
        <v/>
      </c>
      <c r="D1088" t="str">
        <f>IF(B1088="","",_xlfn.XLOOKUP(B1088,'Orders Ledger'!$A:$A,'Orders Ledger'!$G:$G,""))</f>
        <v/>
      </c>
      <c r="E1088" t="str">
        <f>IF(B1088="","",_xlfn.XLOOKUP(B1088,'Orders Ledger'!$A:$A,'Orders Ledger'!$H:$H,""))</f>
        <v/>
      </c>
      <c r="F1088" t="str">
        <f>IF(B1088="","",_xlfn.XLOOKUP(B1088,'Orders Ledger'!$A:$A,'Orders Ledger'!$F:$F,""))</f>
        <v/>
      </c>
      <c r="G1088" t="str">
        <f>IF(B1088="","",_xlfn.XLOOKUP(B1088,'Orders Ledger'!$A:$A,'Orders Ledger'!$N:$N,0))</f>
        <v/>
      </c>
    </row>
    <row r="1089" spans="2:7" x14ac:dyDescent="0.3">
      <c r="B1089" t="str">
        <f t="array" ref="B1089">IFERROR(INDEX('Orders Ledger'!$A$2:$A$1501, SMALL(IF(('Orders Ledger'!$J$2:$J$1501="disputed")+('Orders Ledger'!$J$2:$J$1501="PENDING_REVIEW"), ROW('Orders Ledger'!$A$2:$A$1501)-ROW('Orders Ledger'!$A$2)+1), ROW(1031:1031))), "")</f>
        <v/>
      </c>
      <c r="C1089" s="11" t="str">
        <f>IF(B1089="","",_xlfn.XLOOKUP(B1089,'Orders Ledger'!$A:$A,'Orders Ledger'!$B:$B,""))</f>
        <v/>
      </c>
      <c r="D1089" t="str">
        <f>IF(B1089="","",_xlfn.XLOOKUP(B1089,'Orders Ledger'!$A:$A,'Orders Ledger'!$G:$G,""))</f>
        <v/>
      </c>
      <c r="E1089" t="str">
        <f>IF(B1089="","",_xlfn.XLOOKUP(B1089,'Orders Ledger'!$A:$A,'Orders Ledger'!$H:$H,""))</f>
        <v/>
      </c>
      <c r="F1089" t="str">
        <f>IF(B1089="","",_xlfn.XLOOKUP(B1089,'Orders Ledger'!$A:$A,'Orders Ledger'!$F:$F,""))</f>
        <v/>
      </c>
      <c r="G1089" t="str">
        <f>IF(B1089="","",_xlfn.XLOOKUP(B1089,'Orders Ledger'!$A:$A,'Orders Ledger'!$N:$N,0))</f>
        <v/>
      </c>
    </row>
    <row r="1090" spans="2:7" x14ac:dyDescent="0.3">
      <c r="B1090" t="str">
        <f t="array" ref="B1090">IFERROR(INDEX('Orders Ledger'!$A$2:$A$1501, SMALL(IF(('Orders Ledger'!$J$2:$J$1501="disputed")+('Orders Ledger'!$J$2:$J$1501="PENDING_REVIEW"), ROW('Orders Ledger'!$A$2:$A$1501)-ROW('Orders Ledger'!$A$2)+1), ROW(1032:1032))), "")</f>
        <v/>
      </c>
      <c r="C1090" s="11" t="str">
        <f>IF(B1090="","",_xlfn.XLOOKUP(B1090,'Orders Ledger'!$A:$A,'Orders Ledger'!$B:$B,""))</f>
        <v/>
      </c>
      <c r="D1090" t="str">
        <f>IF(B1090="","",_xlfn.XLOOKUP(B1090,'Orders Ledger'!$A:$A,'Orders Ledger'!$G:$G,""))</f>
        <v/>
      </c>
      <c r="E1090" t="str">
        <f>IF(B1090="","",_xlfn.XLOOKUP(B1090,'Orders Ledger'!$A:$A,'Orders Ledger'!$H:$H,""))</f>
        <v/>
      </c>
      <c r="F1090" t="str">
        <f>IF(B1090="","",_xlfn.XLOOKUP(B1090,'Orders Ledger'!$A:$A,'Orders Ledger'!$F:$F,""))</f>
        <v/>
      </c>
      <c r="G1090" t="str">
        <f>IF(B1090="","",_xlfn.XLOOKUP(B1090,'Orders Ledger'!$A:$A,'Orders Ledger'!$N:$N,0))</f>
        <v/>
      </c>
    </row>
    <row r="1091" spans="2:7" x14ac:dyDescent="0.3">
      <c r="B1091" t="str">
        <f t="array" ref="B1091">IFERROR(INDEX('Orders Ledger'!$A$2:$A$1501, SMALL(IF(('Orders Ledger'!$J$2:$J$1501="disputed")+('Orders Ledger'!$J$2:$J$1501="PENDING_REVIEW"), ROW('Orders Ledger'!$A$2:$A$1501)-ROW('Orders Ledger'!$A$2)+1), ROW(1033:1033))), "")</f>
        <v/>
      </c>
      <c r="C1091" s="11" t="str">
        <f>IF(B1091="","",_xlfn.XLOOKUP(B1091,'Orders Ledger'!$A:$A,'Orders Ledger'!$B:$B,""))</f>
        <v/>
      </c>
      <c r="D1091" t="str">
        <f>IF(B1091="","",_xlfn.XLOOKUP(B1091,'Orders Ledger'!$A:$A,'Orders Ledger'!$G:$G,""))</f>
        <v/>
      </c>
      <c r="E1091" t="str">
        <f>IF(B1091="","",_xlfn.XLOOKUP(B1091,'Orders Ledger'!$A:$A,'Orders Ledger'!$H:$H,""))</f>
        <v/>
      </c>
      <c r="F1091" t="str">
        <f>IF(B1091="","",_xlfn.XLOOKUP(B1091,'Orders Ledger'!$A:$A,'Orders Ledger'!$F:$F,""))</f>
        <v/>
      </c>
      <c r="G1091" t="str">
        <f>IF(B1091="","",_xlfn.XLOOKUP(B1091,'Orders Ledger'!$A:$A,'Orders Ledger'!$N:$N,0))</f>
        <v/>
      </c>
    </row>
    <row r="1092" spans="2:7" x14ac:dyDescent="0.3">
      <c r="B1092" t="str">
        <f t="array" ref="B1092">IFERROR(INDEX('Orders Ledger'!$A$2:$A$1501, SMALL(IF(('Orders Ledger'!$J$2:$J$1501="disputed")+('Orders Ledger'!$J$2:$J$1501="PENDING_REVIEW"), ROW('Orders Ledger'!$A$2:$A$1501)-ROW('Orders Ledger'!$A$2)+1), ROW(1034:1034))), "")</f>
        <v/>
      </c>
      <c r="C1092" s="11" t="str">
        <f>IF(B1092="","",_xlfn.XLOOKUP(B1092,'Orders Ledger'!$A:$A,'Orders Ledger'!$B:$B,""))</f>
        <v/>
      </c>
      <c r="D1092" t="str">
        <f>IF(B1092="","",_xlfn.XLOOKUP(B1092,'Orders Ledger'!$A:$A,'Orders Ledger'!$G:$G,""))</f>
        <v/>
      </c>
      <c r="E1092" t="str">
        <f>IF(B1092="","",_xlfn.XLOOKUP(B1092,'Orders Ledger'!$A:$A,'Orders Ledger'!$H:$H,""))</f>
        <v/>
      </c>
      <c r="F1092" t="str">
        <f>IF(B1092="","",_xlfn.XLOOKUP(B1092,'Orders Ledger'!$A:$A,'Orders Ledger'!$F:$F,""))</f>
        <v/>
      </c>
      <c r="G1092" t="str">
        <f>IF(B1092="","",_xlfn.XLOOKUP(B1092,'Orders Ledger'!$A:$A,'Orders Ledger'!$N:$N,0))</f>
        <v/>
      </c>
    </row>
    <row r="1093" spans="2:7" x14ac:dyDescent="0.3">
      <c r="B1093" t="str">
        <f t="array" ref="B1093">IFERROR(INDEX('Orders Ledger'!$A$2:$A$1501, SMALL(IF(('Orders Ledger'!$J$2:$J$1501="disputed")+('Orders Ledger'!$J$2:$J$1501="PENDING_REVIEW"), ROW('Orders Ledger'!$A$2:$A$1501)-ROW('Orders Ledger'!$A$2)+1), ROW(1035:1035))), "")</f>
        <v/>
      </c>
      <c r="C1093" s="11" t="str">
        <f>IF(B1093="","",_xlfn.XLOOKUP(B1093,'Orders Ledger'!$A:$A,'Orders Ledger'!$B:$B,""))</f>
        <v/>
      </c>
      <c r="D1093" t="str">
        <f>IF(B1093="","",_xlfn.XLOOKUP(B1093,'Orders Ledger'!$A:$A,'Orders Ledger'!$G:$G,""))</f>
        <v/>
      </c>
      <c r="E1093" t="str">
        <f>IF(B1093="","",_xlfn.XLOOKUP(B1093,'Orders Ledger'!$A:$A,'Orders Ledger'!$H:$H,""))</f>
        <v/>
      </c>
      <c r="F1093" t="str">
        <f>IF(B1093="","",_xlfn.XLOOKUP(B1093,'Orders Ledger'!$A:$A,'Orders Ledger'!$F:$F,""))</f>
        <v/>
      </c>
      <c r="G1093" t="str">
        <f>IF(B1093="","",_xlfn.XLOOKUP(B1093,'Orders Ledger'!$A:$A,'Orders Ledger'!$N:$N,0))</f>
        <v/>
      </c>
    </row>
    <row r="1094" spans="2:7" x14ac:dyDescent="0.3">
      <c r="B1094" t="str">
        <f t="array" ref="B1094">IFERROR(INDEX('Orders Ledger'!$A$2:$A$1501, SMALL(IF(('Orders Ledger'!$J$2:$J$1501="disputed")+('Orders Ledger'!$J$2:$J$1501="PENDING_REVIEW"), ROW('Orders Ledger'!$A$2:$A$1501)-ROW('Orders Ledger'!$A$2)+1), ROW(1036:1036))), "")</f>
        <v/>
      </c>
      <c r="C1094" s="11" t="str">
        <f>IF(B1094="","",_xlfn.XLOOKUP(B1094,'Orders Ledger'!$A:$A,'Orders Ledger'!$B:$B,""))</f>
        <v/>
      </c>
      <c r="D1094" t="str">
        <f>IF(B1094="","",_xlfn.XLOOKUP(B1094,'Orders Ledger'!$A:$A,'Orders Ledger'!$G:$G,""))</f>
        <v/>
      </c>
      <c r="E1094" t="str">
        <f>IF(B1094="","",_xlfn.XLOOKUP(B1094,'Orders Ledger'!$A:$A,'Orders Ledger'!$H:$H,""))</f>
        <v/>
      </c>
      <c r="F1094" t="str">
        <f>IF(B1094="","",_xlfn.XLOOKUP(B1094,'Orders Ledger'!$A:$A,'Orders Ledger'!$F:$F,""))</f>
        <v/>
      </c>
      <c r="G1094" t="str">
        <f>IF(B1094="","",_xlfn.XLOOKUP(B1094,'Orders Ledger'!$A:$A,'Orders Ledger'!$N:$N,0))</f>
        <v/>
      </c>
    </row>
    <row r="1095" spans="2:7" x14ac:dyDescent="0.3">
      <c r="B1095" t="str">
        <f t="array" ref="B1095">IFERROR(INDEX('Orders Ledger'!$A$2:$A$1501, SMALL(IF(('Orders Ledger'!$J$2:$J$1501="disputed")+('Orders Ledger'!$J$2:$J$1501="PENDING_REVIEW"), ROW('Orders Ledger'!$A$2:$A$1501)-ROW('Orders Ledger'!$A$2)+1), ROW(1037:1037))), "")</f>
        <v/>
      </c>
      <c r="C1095" s="11" t="str">
        <f>IF(B1095="","",_xlfn.XLOOKUP(B1095,'Orders Ledger'!$A:$A,'Orders Ledger'!$B:$B,""))</f>
        <v/>
      </c>
      <c r="D1095" t="str">
        <f>IF(B1095="","",_xlfn.XLOOKUP(B1095,'Orders Ledger'!$A:$A,'Orders Ledger'!$G:$G,""))</f>
        <v/>
      </c>
      <c r="E1095" t="str">
        <f>IF(B1095="","",_xlfn.XLOOKUP(B1095,'Orders Ledger'!$A:$A,'Orders Ledger'!$H:$H,""))</f>
        <v/>
      </c>
      <c r="F1095" t="str">
        <f>IF(B1095="","",_xlfn.XLOOKUP(B1095,'Orders Ledger'!$A:$A,'Orders Ledger'!$F:$F,""))</f>
        <v/>
      </c>
      <c r="G1095" t="str">
        <f>IF(B1095="","",_xlfn.XLOOKUP(B1095,'Orders Ledger'!$A:$A,'Orders Ledger'!$N:$N,0))</f>
        <v/>
      </c>
    </row>
    <row r="1096" spans="2:7" x14ac:dyDescent="0.3">
      <c r="B1096" t="str">
        <f t="array" ref="B1096">IFERROR(INDEX('Orders Ledger'!$A$2:$A$1501, SMALL(IF(('Orders Ledger'!$J$2:$J$1501="disputed")+('Orders Ledger'!$J$2:$J$1501="PENDING_REVIEW"), ROW('Orders Ledger'!$A$2:$A$1501)-ROW('Orders Ledger'!$A$2)+1), ROW(1038:1038))), "")</f>
        <v/>
      </c>
      <c r="C1096" s="11" t="str">
        <f>IF(B1096="","",_xlfn.XLOOKUP(B1096,'Orders Ledger'!$A:$A,'Orders Ledger'!$B:$B,""))</f>
        <v/>
      </c>
      <c r="D1096" t="str">
        <f>IF(B1096="","",_xlfn.XLOOKUP(B1096,'Orders Ledger'!$A:$A,'Orders Ledger'!$G:$G,""))</f>
        <v/>
      </c>
      <c r="E1096" t="str">
        <f>IF(B1096="","",_xlfn.XLOOKUP(B1096,'Orders Ledger'!$A:$A,'Orders Ledger'!$H:$H,""))</f>
        <v/>
      </c>
      <c r="F1096" t="str">
        <f>IF(B1096="","",_xlfn.XLOOKUP(B1096,'Orders Ledger'!$A:$A,'Orders Ledger'!$F:$F,""))</f>
        <v/>
      </c>
      <c r="G1096" t="str">
        <f>IF(B1096="","",_xlfn.XLOOKUP(B1096,'Orders Ledger'!$A:$A,'Orders Ledger'!$N:$N,0))</f>
        <v/>
      </c>
    </row>
    <row r="1097" spans="2:7" x14ac:dyDescent="0.3">
      <c r="B1097" t="str">
        <f t="array" ref="B1097">IFERROR(INDEX('Orders Ledger'!$A$2:$A$1501, SMALL(IF(('Orders Ledger'!$J$2:$J$1501="disputed")+('Orders Ledger'!$J$2:$J$1501="PENDING_REVIEW"), ROW('Orders Ledger'!$A$2:$A$1501)-ROW('Orders Ledger'!$A$2)+1), ROW(1039:1039))), "")</f>
        <v/>
      </c>
      <c r="C1097" s="11" t="str">
        <f>IF(B1097="","",_xlfn.XLOOKUP(B1097,'Orders Ledger'!$A:$A,'Orders Ledger'!$B:$B,""))</f>
        <v/>
      </c>
      <c r="D1097" t="str">
        <f>IF(B1097="","",_xlfn.XLOOKUP(B1097,'Orders Ledger'!$A:$A,'Orders Ledger'!$G:$G,""))</f>
        <v/>
      </c>
      <c r="E1097" t="str">
        <f>IF(B1097="","",_xlfn.XLOOKUP(B1097,'Orders Ledger'!$A:$A,'Orders Ledger'!$H:$H,""))</f>
        <v/>
      </c>
      <c r="F1097" t="str">
        <f>IF(B1097="","",_xlfn.XLOOKUP(B1097,'Orders Ledger'!$A:$A,'Orders Ledger'!$F:$F,""))</f>
        <v/>
      </c>
      <c r="G1097" t="str">
        <f>IF(B1097="","",_xlfn.XLOOKUP(B1097,'Orders Ledger'!$A:$A,'Orders Ledger'!$N:$N,0))</f>
        <v/>
      </c>
    </row>
    <row r="1098" spans="2:7" x14ac:dyDescent="0.3">
      <c r="B1098" t="str">
        <f t="array" ref="B1098">IFERROR(INDEX('Orders Ledger'!$A$2:$A$1501, SMALL(IF(('Orders Ledger'!$J$2:$J$1501="disputed")+('Orders Ledger'!$J$2:$J$1501="PENDING_REVIEW"), ROW('Orders Ledger'!$A$2:$A$1501)-ROW('Orders Ledger'!$A$2)+1), ROW(1040:1040))), "")</f>
        <v/>
      </c>
      <c r="C1098" s="11" t="str">
        <f>IF(B1098="","",_xlfn.XLOOKUP(B1098,'Orders Ledger'!$A:$A,'Orders Ledger'!$B:$B,""))</f>
        <v/>
      </c>
      <c r="D1098" t="str">
        <f>IF(B1098="","",_xlfn.XLOOKUP(B1098,'Orders Ledger'!$A:$A,'Orders Ledger'!$G:$G,""))</f>
        <v/>
      </c>
      <c r="E1098" t="str">
        <f>IF(B1098="","",_xlfn.XLOOKUP(B1098,'Orders Ledger'!$A:$A,'Orders Ledger'!$H:$H,""))</f>
        <v/>
      </c>
      <c r="F1098" t="str">
        <f>IF(B1098="","",_xlfn.XLOOKUP(B1098,'Orders Ledger'!$A:$A,'Orders Ledger'!$F:$F,""))</f>
        <v/>
      </c>
      <c r="G1098" t="str">
        <f>IF(B1098="","",_xlfn.XLOOKUP(B1098,'Orders Ledger'!$A:$A,'Orders Ledger'!$N:$N,0))</f>
        <v/>
      </c>
    </row>
    <row r="1099" spans="2:7" x14ac:dyDescent="0.3">
      <c r="B1099" t="str">
        <f t="array" ref="B1099">IFERROR(INDEX('Orders Ledger'!$A$2:$A$1501, SMALL(IF(('Orders Ledger'!$J$2:$J$1501="disputed")+('Orders Ledger'!$J$2:$J$1501="PENDING_REVIEW"), ROW('Orders Ledger'!$A$2:$A$1501)-ROW('Orders Ledger'!$A$2)+1), ROW(1041:1041))), "")</f>
        <v/>
      </c>
      <c r="C1099" s="11" t="str">
        <f>IF(B1099="","",_xlfn.XLOOKUP(B1099,'Orders Ledger'!$A:$A,'Orders Ledger'!$B:$B,""))</f>
        <v/>
      </c>
      <c r="D1099" t="str">
        <f>IF(B1099="","",_xlfn.XLOOKUP(B1099,'Orders Ledger'!$A:$A,'Orders Ledger'!$G:$G,""))</f>
        <v/>
      </c>
      <c r="E1099" t="str">
        <f>IF(B1099="","",_xlfn.XLOOKUP(B1099,'Orders Ledger'!$A:$A,'Orders Ledger'!$H:$H,""))</f>
        <v/>
      </c>
      <c r="F1099" t="str">
        <f>IF(B1099="","",_xlfn.XLOOKUP(B1099,'Orders Ledger'!$A:$A,'Orders Ledger'!$F:$F,""))</f>
        <v/>
      </c>
      <c r="G1099" t="str">
        <f>IF(B1099="","",_xlfn.XLOOKUP(B1099,'Orders Ledger'!$A:$A,'Orders Ledger'!$N:$N,0))</f>
        <v/>
      </c>
    </row>
    <row r="1100" spans="2:7" x14ac:dyDescent="0.3">
      <c r="B1100" t="str">
        <f t="array" ref="B1100">IFERROR(INDEX('Orders Ledger'!$A$2:$A$1501, SMALL(IF(('Orders Ledger'!$J$2:$J$1501="disputed")+('Orders Ledger'!$J$2:$J$1501="PENDING_REVIEW"), ROW('Orders Ledger'!$A$2:$A$1501)-ROW('Orders Ledger'!$A$2)+1), ROW(1042:1042))), "")</f>
        <v/>
      </c>
      <c r="C1100" s="11" t="str">
        <f>IF(B1100="","",_xlfn.XLOOKUP(B1100,'Orders Ledger'!$A:$A,'Orders Ledger'!$B:$B,""))</f>
        <v/>
      </c>
      <c r="D1100" t="str">
        <f>IF(B1100="","",_xlfn.XLOOKUP(B1100,'Orders Ledger'!$A:$A,'Orders Ledger'!$G:$G,""))</f>
        <v/>
      </c>
      <c r="E1100" t="str">
        <f>IF(B1100="","",_xlfn.XLOOKUP(B1100,'Orders Ledger'!$A:$A,'Orders Ledger'!$H:$H,""))</f>
        <v/>
      </c>
      <c r="F1100" t="str">
        <f>IF(B1100="","",_xlfn.XLOOKUP(B1100,'Orders Ledger'!$A:$A,'Orders Ledger'!$F:$F,""))</f>
        <v/>
      </c>
      <c r="G1100" t="str">
        <f>IF(B1100="","",_xlfn.XLOOKUP(B1100,'Orders Ledger'!$A:$A,'Orders Ledger'!$N:$N,0))</f>
        <v/>
      </c>
    </row>
    <row r="1101" spans="2:7" x14ac:dyDescent="0.3">
      <c r="B1101" t="str">
        <f t="array" ref="B1101">IFERROR(INDEX('Orders Ledger'!$A$2:$A$1501, SMALL(IF(('Orders Ledger'!$J$2:$J$1501="disputed")+('Orders Ledger'!$J$2:$J$1501="PENDING_REVIEW"), ROW('Orders Ledger'!$A$2:$A$1501)-ROW('Orders Ledger'!$A$2)+1), ROW(1043:1043))), "")</f>
        <v/>
      </c>
      <c r="C1101" s="11" t="str">
        <f>IF(B1101="","",_xlfn.XLOOKUP(B1101,'Orders Ledger'!$A:$A,'Orders Ledger'!$B:$B,""))</f>
        <v/>
      </c>
      <c r="D1101" t="str">
        <f>IF(B1101="","",_xlfn.XLOOKUP(B1101,'Orders Ledger'!$A:$A,'Orders Ledger'!$G:$G,""))</f>
        <v/>
      </c>
      <c r="E1101" t="str">
        <f>IF(B1101="","",_xlfn.XLOOKUP(B1101,'Orders Ledger'!$A:$A,'Orders Ledger'!$H:$H,""))</f>
        <v/>
      </c>
      <c r="F1101" t="str">
        <f>IF(B1101="","",_xlfn.XLOOKUP(B1101,'Orders Ledger'!$A:$A,'Orders Ledger'!$F:$F,""))</f>
        <v/>
      </c>
      <c r="G1101" t="str">
        <f>IF(B1101="","",_xlfn.XLOOKUP(B1101,'Orders Ledger'!$A:$A,'Orders Ledger'!$N:$N,0))</f>
        <v/>
      </c>
    </row>
    <row r="1102" spans="2:7" x14ac:dyDescent="0.3">
      <c r="B1102" t="str">
        <f t="array" ref="B1102">IFERROR(INDEX('Orders Ledger'!$A$2:$A$1501, SMALL(IF(('Orders Ledger'!$J$2:$J$1501="disputed")+('Orders Ledger'!$J$2:$J$1501="PENDING_REVIEW"), ROW('Orders Ledger'!$A$2:$A$1501)-ROW('Orders Ledger'!$A$2)+1), ROW(1044:1044))), "")</f>
        <v/>
      </c>
      <c r="C1102" s="11" t="str">
        <f>IF(B1102="","",_xlfn.XLOOKUP(B1102,'Orders Ledger'!$A:$A,'Orders Ledger'!$B:$B,""))</f>
        <v/>
      </c>
      <c r="D1102" t="str">
        <f>IF(B1102="","",_xlfn.XLOOKUP(B1102,'Orders Ledger'!$A:$A,'Orders Ledger'!$G:$G,""))</f>
        <v/>
      </c>
      <c r="E1102" t="str">
        <f>IF(B1102="","",_xlfn.XLOOKUP(B1102,'Orders Ledger'!$A:$A,'Orders Ledger'!$H:$H,""))</f>
        <v/>
      </c>
      <c r="F1102" t="str">
        <f>IF(B1102="","",_xlfn.XLOOKUP(B1102,'Orders Ledger'!$A:$A,'Orders Ledger'!$F:$F,""))</f>
        <v/>
      </c>
      <c r="G1102" t="str">
        <f>IF(B1102="","",_xlfn.XLOOKUP(B1102,'Orders Ledger'!$A:$A,'Orders Ledger'!$N:$N,0))</f>
        <v/>
      </c>
    </row>
    <row r="1103" spans="2:7" x14ac:dyDescent="0.3">
      <c r="B1103" t="str">
        <f t="array" ref="B1103">IFERROR(INDEX('Orders Ledger'!$A$2:$A$1501, SMALL(IF(('Orders Ledger'!$J$2:$J$1501="disputed")+('Orders Ledger'!$J$2:$J$1501="PENDING_REVIEW"), ROW('Orders Ledger'!$A$2:$A$1501)-ROW('Orders Ledger'!$A$2)+1), ROW(1045:1045))), "")</f>
        <v/>
      </c>
      <c r="C1103" s="11" t="str">
        <f>IF(B1103="","",_xlfn.XLOOKUP(B1103,'Orders Ledger'!$A:$A,'Orders Ledger'!$B:$B,""))</f>
        <v/>
      </c>
      <c r="D1103" t="str">
        <f>IF(B1103="","",_xlfn.XLOOKUP(B1103,'Orders Ledger'!$A:$A,'Orders Ledger'!$G:$G,""))</f>
        <v/>
      </c>
      <c r="E1103" t="str">
        <f>IF(B1103="","",_xlfn.XLOOKUP(B1103,'Orders Ledger'!$A:$A,'Orders Ledger'!$H:$H,""))</f>
        <v/>
      </c>
      <c r="F1103" t="str">
        <f>IF(B1103="","",_xlfn.XLOOKUP(B1103,'Orders Ledger'!$A:$A,'Orders Ledger'!$F:$F,""))</f>
        <v/>
      </c>
      <c r="G1103" t="str">
        <f>IF(B1103="","",_xlfn.XLOOKUP(B1103,'Orders Ledger'!$A:$A,'Orders Ledger'!$N:$N,0))</f>
        <v/>
      </c>
    </row>
    <row r="1104" spans="2:7" x14ac:dyDescent="0.3">
      <c r="B1104" t="str">
        <f t="array" ref="B1104">IFERROR(INDEX('Orders Ledger'!$A$2:$A$1501, SMALL(IF(('Orders Ledger'!$J$2:$J$1501="disputed")+('Orders Ledger'!$J$2:$J$1501="PENDING_REVIEW"), ROW('Orders Ledger'!$A$2:$A$1501)-ROW('Orders Ledger'!$A$2)+1), ROW(1046:1046))), "")</f>
        <v/>
      </c>
      <c r="C1104" s="11" t="str">
        <f>IF(B1104="","",_xlfn.XLOOKUP(B1104,'Orders Ledger'!$A:$A,'Orders Ledger'!$B:$B,""))</f>
        <v/>
      </c>
      <c r="D1104" t="str">
        <f>IF(B1104="","",_xlfn.XLOOKUP(B1104,'Orders Ledger'!$A:$A,'Orders Ledger'!$G:$G,""))</f>
        <v/>
      </c>
      <c r="E1104" t="str">
        <f>IF(B1104="","",_xlfn.XLOOKUP(B1104,'Orders Ledger'!$A:$A,'Orders Ledger'!$H:$H,""))</f>
        <v/>
      </c>
      <c r="F1104" t="str">
        <f>IF(B1104="","",_xlfn.XLOOKUP(B1104,'Orders Ledger'!$A:$A,'Orders Ledger'!$F:$F,""))</f>
        <v/>
      </c>
      <c r="G1104" t="str">
        <f>IF(B1104="","",_xlfn.XLOOKUP(B1104,'Orders Ledger'!$A:$A,'Orders Ledger'!$N:$N,0))</f>
        <v/>
      </c>
    </row>
    <row r="1105" spans="2:7" x14ac:dyDescent="0.3">
      <c r="B1105" t="str">
        <f t="array" ref="B1105">IFERROR(INDEX('Orders Ledger'!$A$2:$A$1501, SMALL(IF(('Orders Ledger'!$J$2:$J$1501="disputed")+('Orders Ledger'!$J$2:$J$1501="PENDING_REVIEW"), ROW('Orders Ledger'!$A$2:$A$1501)-ROW('Orders Ledger'!$A$2)+1), ROW(1047:1047))), "")</f>
        <v/>
      </c>
      <c r="C1105" s="11" t="str">
        <f>IF(B1105="","",_xlfn.XLOOKUP(B1105,'Orders Ledger'!$A:$A,'Orders Ledger'!$B:$B,""))</f>
        <v/>
      </c>
      <c r="D1105" t="str">
        <f>IF(B1105="","",_xlfn.XLOOKUP(B1105,'Orders Ledger'!$A:$A,'Orders Ledger'!$G:$G,""))</f>
        <v/>
      </c>
      <c r="E1105" t="str">
        <f>IF(B1105="","",_xlfn.XLOOKUP(B1105,'Orders Ledger'!$A:$A,'Orders Ledger'!$H:$H,""))</f>
        <v/>
      </c>
      <c r="F1105" t="str">
        <f>IF(B1105="","",_xlfn.XLOOKUP(B1105,'Orders Ledger'!$A:$A,'Orders Ledger'!$F:$F,""))</f>
        <v/>
      </c>
      <c r="G1105" t="str">
        <f>IF(B1105="","",_xlfn.XLOOKUP(B1105,'Orders Ledger'!$A:$A,'Orders Ledger'!$N:$N,0))</f>
        <v/>
      </c>
    </row>
    <row r="1106" spans="2:7" x14ac:dyDescent="0.3">
      <c r="B1106" t="str">
        <f t="array" ref="B1106">IFERROR(INDEX('Orders Ledger'!$A$2:$A$1501, SMALL(IF(('Orders Ledger'!$J$2:$J$1501="disputed")+('Orders Ledger'!$J$2:$J$1501="PENDING_REVIEW"), ROW('Orders Ledger'!$A$2:$A$1501)-ROW('Orders Ledger'!$A$2)+1), ROW(1048:1048))), "")</f>
        <v/>
      </c>
      <c r="C1106" s="11" t="str">
        <f>IF(B1106="","",_xlfn.XLOOKUP(B1106,'Orders Ledger'!$A:$A,'Orders Ledger'!$B:$B,""))</f>
        <v/>
      </c>
      <c r="D1106" t="str">
        <f>IF(B1106="","",_xlfn.XLOOKUP(B1106,'Orders Ledger'!$A:$A,'Orders Ledger'!$G:$G,""))</f>
        <v/>
      </c>
      <c r="E1106" t="str">
        <f>IF(B1106="","",_xlfn.XLOOKUP(B1106,'Orders Ledger'!$A:$A,'Orders Ledger'!$H:$H,""))</f>
        <v/>
      </c>
      <c r="F1106" t="str">
        <f>IF(B1106="","",_xlfn.XLOOKUP(B1106,'Orders Ledger'!$A:$A,'Orders Ledger'!$F:$F,""))</f>
        <v/>
      </c>
      <c r="G1106" t="str">
        <f>IF(B1106="","",_xlfn.XLOOKUP(B1106,'Orders Ledger'!$A:$A,'Orders Ledger'!$N:$N,0))</f>
        <v/>
      </c>
    </row>
    <row r="1107" spans="2:7" x14ac:dyDescent="0.3">
      <c r="B1107" t="str">
        <f t="array" ref="B1107">IFERROR(INDEX('Orders Ledger'!$A$2:$A$1501, SMALL(IF(('Orders Ledger'!$J$2:$J$1501="disputed")+('Orders Ledger'!$J$2:$J$1501="PENDING_REVIEW"), ROW('Orders Ledger'!$A$2:$A$1501)-ROW('Orders Ledger'!$A$2)+1), ROW(1049:1049))), "")</f>
        <v/>
      </c>
      <c r="C1107" s="11" t="str">
        <f>IF(B1107="","",_xlfn.XLOOKUP(B1107,'Orders Ledger'!$A:$A,'Orders Ledger'!$B:$B,""))</f>
        <v/>
      </c>
      <c r="D1107" t="str">
        <f>IF(B1107="","",_xlfn.XLOOKUP(B1107,'Orders Ledger'!$A:$A,'Orders Ledger'!$G:$G,""))</f>
        <v/>
      </c>
      <c r="E1107" t="str">
        <f>IF(B1107="","",_xlfn.XLOOKUP(B1107,'Orders Ledger'!$A:$A,'Orders Ledger'!$H:$H,""))</f>
        <v/>
      </c>
      <c r="F1107" t="str">
        <f>IF(B1107="","",_xlfn.XLOOKUP(B1107,'Orders Ledger'!$A:$A,'Orders Ledger'!$F:$F,""))</f>
        <v/>
      </c>
      <c r="G1107" t="str">
        <f>IF(B1107="","",_xlfn.XLOOKUP(B1107,'Orders Ledger'!$A:$A,'Orders Ledger'!$N:$N,0))</f>
        <v/>
      </c>
    </row>
    <row r="1108" spans="2:7" x14ac:dyDescent="0.3">
      <c r="B1108" t="str">
        <f t="array" ref="B1108">IFERROR(INDEX('Orders Ledger'!$A$2:$A$1501, SMALL(IF(('Orders Ledger'!$J$2:$J$1501="disputed")+('Orders Ledger'!$J$2:$J$1501="PENDING_REVIEW"), ROW('Orders Ledger'!$A$2:$A$1501)-ROW('Orders Ledger'!$A$2)+1), ROW(1050:1050))), "")</f>
        <v/>
      </c>
      <c r="C1108" s="11" t="str">
        <f>IF(B1108="","",_xlfn.XLOOKUP(B1108,'Orders Ledger'!$A:$A,'Orders Ledger'!$B:$B,""))</f>
        <v/>
      </c>
      <c r="D1108" t="str">
        <f>IF(B1108="","",_xlfn.XLOOKUP(B1108,'Orders Ledger'!$A:$A,'Orders Ledger'!$G:$G,""))</f>
        <v/>
      </c>
      <c r="E1108" t="str">
        <f>IF(B1108="","",_xlfn.XLOOKUP(B1108,'Orders Ledger'!$A:$A,'Orders Ledger'!$H:$H,""))</f>
        <v/>
      </c>
      <c r="F1108" t="str">
        <f>IF(B1108="","",_xlfn.XLOOKUP(B1108,'Orders Ledger'!$A:$A,'Orders Ledger'!$F:$F,""))</f>
        <v/>
      </c>
      <c r="G1108" t="str">
        <f>IF(B1108="","",_xlfn.XLOOKUP(B1108,'Orders Ledger'!$A:$A,'Orders Ledger'!$N:$N,0))</f>
        <v/>
      </c>
    </row>
    <row r="1109" spans="2:7" x14ac:dyDescent="0.3">
      <c r="B1109" t="str">
        <f t="array" ref="B1109">IFERROR(INDEX('Orders Ledger'!$A$2:$A$1501, SMALL(IF(('Orders Ledger'!$J$2:$J$1501="disputed")+('Orders Ledger'!$J$2:$J$1501="PENDING_REVIEW"), ROW('Orders Ledger'!$A$2:$A$1501)-ROW('Orders Ledger'!$A$2)+1), ROW(1051:1051))), "")</f>
        <v/>
      </c>
      <c r="C1109" s="11" t="str">
        <f>IF(B1109="","",_xlfn.XLOOKUP(B1109,'Orders Ledger'!$A:$A,'Orders Ledger'!$B:$B,""))</f>
        <v/>
      </c>
      <c r="D1109" t="str">
        <f>IF(B1109="","",_xlfn.XLOOKUP(B1109,'Orders Ledger'!$A:$A,'Orders Ledger'!$G:$G,""))</f>
        <v/>
      </c>
      <c r="E1109" t="str">
        <f>IF(B1109="","",_xlfn.XLOOKUP(B1109,'Orders Ledger'!$A:$A,'Orders Ledger'!$H:$H,""))</f>
        <v/>
      </c>
      <c r="F1109" t="str">
        <f>IF(B1109="","",_xlfn.XLOOKUP(B1109,'Orders Ledger'!$A:$A,'Orders Ledger'!$F:$F,""))</f>
        <v/>
      </c>
      <c r="G1109" t="str">
        <f>IF(B1109="","",_xlfn.XLOOKUP(B1109,'Orders Ledger'!$A:$A,'Orders Ledger'!$N:$N,0))</f>
        <v/>
      </c>
    </row>
    <row r="1110" spans="2:7" x14ac:dyDescent="0.3">
      <c r="B1110" t="str">
        <f t="array" ref="B1110">IFERROR(INDEX('Orders Ledger'!$A$2:$A$1501, SMALL(IF(('Orders Ledger'!$J$2:$J$1501="disputed")+('Orders Ledger'!$J$2:$J$1501="PENDING_REVIEW"), ROW('Orders Ledger'!$A$2:$A$1501)-ROW('Orders Ledger'!$A$2)+1), ROW(1052:1052))), "")</f>
        <v/>
      </c>
      <c r="C1110" s="11" t="str">
        <f>IF(B1110="","",_xlfn.XLOOKUP(B1110,'Orders Ledger'!$A:$A,'Orders Ledger'!$B:$B,""))</f>
        <v/>
      </c>
      <c r="D1110" t="str">
        <f>IF(B1110="","",_xlfn.XLOOKUP(B1110,'Orders Ledger'!$A:$A,'Orders Ledger'!$G:$G,""))</f>
        <v/>
      </c>
      <c r="E1110" t="str">
        <f>IF(B1110="","",_xlfn.XLOOKUP(B1110,'Orders Ledger'!$A:$A,'Orders Ledger'!$H:$H,""))</f>
        <v/>
      </c>
      <c r="F1110" t="str">
        <f>IF(B1110="","",_xlfn.XLOOKUP(B1110,'Orders Ledger'!$A:$A,'Orders Ledger'!$F:$F,""))</f>
        <v/>
      </c>
      <c r="G1110" t="str">
        <f>IF(B1110="","",_xlfn.XLOOKUP(B1110,'Orders Ledger'!$A:$A,'Orders Ledger'!$N:$N,0))</f>
        <v/>
      </c>
    </row>
    <row r="1111" spans="2:7" x14ac:dyDescent="0.3">
      <c r="B1111" t="str">
        <f t="array" ref="B1111">IFERROR(INDEX('Orders Ledger'!$A$2:$A$1501, SMALL(IF(('Orders Ledger'!$J$2:$J$1501="disputed")+('Orders Ledger'!$J$2:$J$1501="PENDING_REVIEW"), ROW('Orders Ledger'!$A$2:$A$1501)-ROW('Orders Ledger'!$A$2)+1), ROW(1053:1053))), "")</f>
        <v/>
      </c>
      <c r="C1111" s="11" t="str">
        <f>IF(B1111="","",_xlfn.XLOOKUP(B1111,'Orders Ledger'!$A:$A,'Orders Ledger'!$B:$B,""))</f>
        <v/>
      </c>
      <c r="D1111" t="str">
        <f>IF(B1111="","",_xlfn.XLOOKUP(B1111,'Orders Ledger'!$A:$A,'Orders Ledger'!$G:$G,""))</f>
        <v/>
      </c>
      <c r="E1111" t="str">
        <f>IF(B1111="","",_xlfn.XLOOKUP(B1111,'Orders Ledger'!$A:$A,'Orders Ledger'!$H:$H,""))</f>
        <v/>
      </c>
      <c r="F1111" t="str">
        <f>IF(B1111="","",_xlfn.XLOOKUP(B1111,'Orders Ledger'!$A:$A,'Orders Ledger'!$F:$F,""))</f>
        <v/>
      </c>
      <c r="G1111" t="str">
        <f>IF(B1111="","",_xlfn.XLOOKUP(B1111,'Orders Ledger'!$A:$A,'Orders Ledger'!$N:$N,0))</f>
        <v/>
      </c>
    </row>
    <row r="1112" spans="2:7" x14ac:dyDescent="0.3">
      <c r="B1112" t="str">
        <f t="array" ref="B1112">IFERROR(INDEX('Orders Ledger'!$A$2:$A$1501, SMALL(IF(('Orders Ledger'!$J$2:$J$1501="disputed")+('Orders Ledger'!$J$2:$J$1501="PENDING_REVIEW"), ROW('Orders Ledger'!$A$2:$A$1501)-ROW('Orders Ledger'!$A$2)+1), ROW(1054:1054))), "")</f>
        <v/>
      </c>
      <c r="C1112" s="11" t="str">
        <f>IF(B1112="","",_xlfn.XLOOKUP(B1112,'Orders Ledger'!$A:$A,'Orders Ledger'!$B:$B,""))</f>
        <v/>
      </c>
      <c r="D1112" t="str">
        <f>IF(B1112="","",_xlfn.XLOOKUP(B1112,'Orders Ledger'!$A:$A,'Orders Ledger'!$G:$G,""))</f>
        <v/>
      </c>
      <c r="E1112" t="str">
        <f>IF(B1112="","",_xlfn.XLOOKUP(B1112,'Orders Ledger'!$A:$A,'Orders Ledger'!$H:$H,""))</f>
        <v/>
      </c>
      <c r="F1112" t="str">
        <f>IF(B1112="","",_xlfn.XLOOKUP(B1112,'Orders Ledger'!$A:$A,'Orders Ledger'!$F:$F,""))</f>
        <v/>
      </c>
      <c r="G1112" t="str">
        <f>IF(B1112="","",_xlfn.XLOOKUP(B1112,'Orders Ledger'!$A:$A,'Orders Ledger'!$N:$N,0))</f>
        <v/>
      </c>
    </row>
    <row r="1113" spans="2:7" x14ac:dyDescent="0.3">
      <c r="B1113" t="str">
        <f t="array" ref="B1113">IFERROR(INDEX('Orders Ledger'!$A$2:$A$1501, SMALL(IF(('Orders Ledger'!$J$2:$J$1501="disputed")+('Orders Ledger'!$J$2:$J$1501="PENDING_REVIEW"), ROW('Orders Ledger'!$A$2:$A$1501)-ROW('Orders Ledger'!$A$2)+1), ROW(1055:1055))), "")</f>
        <v/>
      </c>
      <c r="C1113" s="11" t="str">
        <f>IF(B1113="","",_xlfn.XLOOKUP(B1113,'Orders Ledger'!$A:$A,'Orders Ledger'!$B:$B,""))</f>
        <v/>
      </c>
      <c r="D1113" t="str">
        <f>IF(B1113="","",_xlfn.XLOOKUP(B1113,'Orders Ledger'!$A:$A,'Orders Ledger'!$G:$G,""))</f>
        <v/>
      </c>
      <c r="E1113" t="str">
        <f>IF(B1113="","",_xlfn.XLOOKUP(B1113,'Orders Ledger'!$A:$A,'Orders Ledger'!$H:$H,""))</f>
        <v/>
      </c>
      <c r="F1113" t="str">
        <f>IF(B1113="","",_xlfn.XLOOKUP(B1113,'Orders Ledger'!$A:$A,'Orders Ledger'!$F:$F,""))</f>
        <v/>
      </c>
      <c r="G1113" t="str">
        <f>IF(B1113="","",_xlfn.XLOOKUP(B1113,'Orders Ledger'!$A:$A,'Orders Ledger'!$N:$N,0))</f>
        <v/>
      </c>
    </row>
    <row r="1114" spans="2:7" x14ac:dyDescent="0.3">
      <c r="B1114" t="str">
        <f t="array" ref="B1114">IFERROR(INDEX('Orders Ledger'!$A$2:$A$1501, SMALL(IF(('Orders Ledger'!$J$2:$J$1501="disputed")+('Orders Ledger'!$J$2:$J$1501="PENDING_REVIEW"), ROW('Orders Ledger'!$A$2:$A$1501)-ROW('Orders Ledger'!$A$2)+1), ROW(1056:1056))), "")</f>
        <v/>
      </c>
      <c r="C1114" s="11" t="str">
        <f>IF(B1114="","",_xlfn.XLOOKUP(B1114,'Orders Ledger'!$A:$A,'Orders Ledger'!$B:$B,""))</f>
        <v/>
      </c>
      <c r="D1114" t="str">
        <f>IF(B1114="","",_xlfn.XLOOKUP(B1114,'Orders Ledger'!$A:$A,'Orders Ledger'!$G:$G,""))</f>
        <v/>
      </c>
      <c r="E1114" t="str">
        <f>IF(B1114="","",_xlfn.XLOOKUP(B1114,'Orders Ledger'!$A:$A,'Orders Ledger'!$H:$H,""))</f>
        <v/>
      </c>
      <c r="F1114" t="str">
        <f>IF(B1114="","",_xlfn.XLOOKUP(B1114,'Orders Ledger'!$A:$A,'Orders Ledger'!$F:$F,""))</f>
        <v/>
      </c>
      <c r="G1114" t="str">
        <f>IF(B1114="","",_xlfn.XLOOKUP(B1114,'Orders Ledger'!$A:$A,'Orders Ledger'!$N:$N,0))</f>
        <v/>
      </c>
    </row>
    <row r="1115" spans="2:7" x14ac:dyDescent="0.3">
      <c r="B1115" t="str">
        <f t="array" ref="B1115">IFERROR(INDEX('Orders Ledger'!$A$2:$A$1501, SMALL(IF(('Orders Ledger'!$J$2:$J$1501="disputed")+('Orders Ledger'!$J$2:$J$1501="PENDING_REVIEW"), ROW('Orders Ledger'!$A$2:$A$1501)-ROW('Orders Ledger'!$A$2)+1), ROW(1057:1057))), "")</f>
        <v/>
      </c>
      <c r="C1115" s="11" t="str">
        <f>IF(B1115="","",_xlfn.XLOOKUP(B1115,'Orders Ledger'!$A:$A,'Orders Ledger'!$B:$B,""))</f>
        <v/>
      </c>
      <c r="D1115" t="str">
        <f>IF(B1115="","",_xlfn.XLOOKUP(B1115,'Orders Ledger'!$A:$A,'Orders Ledger'!$G:$G,""))</f>
        <v/>
      </c>
      <c r="E1115" t="str">
        <f>IF(B1115="","",_xlfn.XLOOKUP(B1115,'Orders Ledger'!$A:$A,'Orders Ledger'!$H:$H,""))</f>
        <v/>
      </c>
      <c r="F1115" t="str">
        <f>IF(B1115="","",_xlfn.XLOOKUP(B1115,'Orders Ledger'!$A:$A,'Orders Ledger'!$F:$F,""))</f>
        <v/>
      </c>
      <c r="G1115" t="str">
        <f>IF(B1115="","",_xlfn.XLOOKUP(B1115,'Orders Ledger'!$A:$A,'Orders Ledger'!$N:$N,0))</f>
        <v/>
      </c>
    </row>
    <row r="1116" spans="2:7" x14ac:dyDescent="0.3">
      <c r="B1116" t="str">
        <f t="array" ref="B1116">IFERROR(INDEX('Orders Ledger'!$A$2:$A$1501, SMALL(IF(('Orders Ledger'!$J$2:$J$1501="disputed")+('Orders Ledger'!$J$2:$J$1501="PENDING_REVIEW"), ROW('Orders Ledger'!$A$2:$A$1501)-ROW('Orders Ledger'!$A$2)+1), ROW(1058:1058))), "")</f>
        <v/>
      </c>
      <c r="C1116" s="11" t="str">
        <f>IF(B1116="","",_xlfn.XLOOKUP(B1116,'Orders Ledger'!$A:$A,'Orders Ledger'!$B:$B,""))</f>
        <v/>
      </c>
      <c r="D1116" t="str">
        <f>IF(B1116="","",_xlfn.XLOOKUP(B1116,'Orders Ledger'!$A:$A,'Orders Ledger'!$G:$G,""))</f>
        <v/>
      </c>
      <c r="E1116" t="str">
        <f>IF(B1116="","",_xlfn.XLOOKUP(B1116,'Orders Ledger'!$A:$A,'Orders Ledger'!$H:$H,""))</f>
        <v/>
      </c>
      <c r="F1116" t="str">
        <f>IF(B1116="","",_xlfn.XLOOKUP(B1116,'Orders Ledger'!$A:$A,'Orders Ledger'!$F:$F,""))</f>
        <v/>
      </c>
      <c r="G1116" t="str">
        <f>IF(B1116="","",_xlfn.XLOOKUP(B1116,'Orders Ledger'!$A:$A,'Orders Ledger'!$N:$N,0))</f>
        <v/>
      </c>
    </row>
    <row r="1117" spans="2:7" x14ac:dyDescent="0.3">
      <c r="B1117" t="str">
        <f t="array" ref="B1117">IFERROR(INDEX('Orders Ledger'!$A$2:$A$1501, SMALL(IF(('Orders Ledger'!$J$2:$J$1501="disputed")+('Orders Ledger'!$J$2:$J$1501="PENDING_REVIEW"), ROW('Orders Ledger'!$A$2:$A$1501)-ROW('Orders Ledger'!$A$2)+1), ROW(1059:1059))), "")</f>
        <v/>
      </c>
      <c r="C1117" s="11" t="str">
        <f>IF(B1117="","",_xlfn.XLOOKUP(B1117,'Orders Ledger'!$A:$A,'Orders Ledger'!$B:$B,""))</f>
        <v/>
      </c>
      <c r="D1117" t="str">
        <f>IF(B1117="","",_xlfn.XLOOKUP(B1117,'Orders Ledger'!$A:$A,'Orders Ledger'!$G:$G,""))</f>
        <v/>
      </c>
      <c r="E1117" t="str">
        <f>IF(B1117="","",_xlfn.XLOOKUP(B1117,'Orders Ledger'!$A:$A,'Orders Ledger'!$H:$H,""))</f>
        <v/>
      </c>
      <c r="F1117" t="str">
        <f>IF(B1117="","",_xlfn.XLOOKUP(B1117,'Orders Ledger'!$A:$A,'Orders Ledger'!$F:$F,""))</f>
        <v/>
      </c>
      <c r="G1117" t="str">
        <f>IF(B1117="","",_xlfn.XLOOKUP(B1117,'Orders Ledger'!$A:$A,'Orders Ledger'!$N:$N,0))</f>
        <v/>
      </c>
    </row>
    <row r="1118" spans="2:7" x14ac:dyDescent="0.3">
      <c r="B1118" t="str">
        <f t="array" ref="B1118">IFERROR(INDEX('Orders Ledger'!$A$2:$A$1501, SMALL(IF(('Orders Ledger'!$J$2:$J$1501="disputed")+('Orders Ledger'!$J$2:$J$1501="PENDING_REVIEW"), ROW('Orders Ledger'!$A$2:$A$1501)-ROW('Orders Ledger'!$A$2)+1), ROW(1060:1060))), "")</f>
        <v/>
      </c>
      <c r="C1118" s="11" t="str">
        <f>IF(B1118="","",_xlfn.XLOOKUP(B1118,'Orders Ledger'!$A:$A,'Orders Ledger'!$B:$B,""))</f>
        <v/>
      </c>
      <c r="D1118" t="str">
        <f>IF(B1118="","",_xlfn.XLOOKUP(B1118,'Orders Ledger'!$A:$A,'Orders Ledger'!$G:$G,""))</f>
        <v/>
      </c>
      <c r="E1118" t="str">
        <f>IF(B1118="","",_xlfn.XLOOKUP(B1118,'Orders Ledger'!$A:$A,'Orders Ledger'!$H:$H,""))</f>
        <v/>
      </c>
      <c r="F1118" t="str">
        <f>IF(B1118="","",_xlfn.XLOOKUP(B1118,'Orders Ledger'!$A:$A,'Orders Ledger'!$F:$F,""))</f>
        <v/>
      </c>
      <c r="G1118" t="str">
        <f>IF(B1118="","",_xlfn.XLOOKUP(B1118,'Orders Ledger'!$A:$A,'Orders Ledger'!$N:$N,0))</f>
        <v/>
      </c>
    </row>
    <row r="1119" spans="2:7" x14ac:dyDescent="0.3">
      <c r="B1119" t="str">
        <f t="array" ref="B1119">IFERROR(INDEX('Orders Ledger'!$A$2:$A$1501, SMALL(IF(('Orders Ledger'!$J$2:$J$1501="disputed")+('Orders Ledger'!$J$2:$J$1501="PENDING_REVIEW"), ROW('Orders Ledger'!$A$2:$A$1501)-ROW('Orders Ledger'!$A$2)+1), ROW(1061:1061))), "")</f>
        <v/>
      </c>
      <c r="C1119" s="11" t="str">
        <f>IF(B1119="","",_xlfn.XLOOKUP(B1119,'Orders Ledger'!$A:$A,'Orders Ledger'!$B:$B,""))</f>
        <v/>
      </c>
      <c r="D1119" t="str">
        <f>IF(B1119="","",_xlfn.XLOOKUP(B1119,'Orders Ledger'!$A:$A,'Orders Ledger'!$G:$G,""))</f>
        <v/>
      </c>
      <c r="E1119" t="str">
        <f>IF(B1119="","",_xlfn.XLOOKUP(B1119,'Orders Ledger'!$A:$A,'Orders Ledger'!$H:$H,""))</f>
        <v/>
      </c>
      <c r="F1119" t="str">
        <f>IF(B1119="","",_xlfn.XLOOKUP(B1119,'Orders Ledger'!$A:$A,'Orders Ledger'!$F:$F,""))</f>
        <v/>
      </c>
      <c r="G1119" t="str">
        <f>IF(B1119="","",_xlfn.XLOOKUP(B1119,'Orders Ledger'!$A:$A,'Orders Ledger'!$N:$N,0))</f>
        <v/>
      </c>
    </row>
    <row r="1120" spans="2:7" x14ac:dyDescent="0.3">
      <c r="B1120" t="str">
        <f t="array" ref="B1120">IFERROR(INDEX('Orders Ledger'!$A$2:$A$1501, SMALL(IF(('Orders Ledger'!$J$2:$J$1501="disputed")+('Orders Ledger'!$J$2:$J$1501="PENDING_REVIEW"), ROW('Orders Ledger'!$A$2:$A$1501)-ROW('Orders Ledger'!$A$2)+1), ROW(1062:1062))), "")</f>
        <v/>
      </c>
      <c r="C1120" s="11" t="str">
        <f>IF(B1120="","",_xlfn.XLOOKUP(B1120,'Orders Ledger'!$A:$A,'Orders Ledger'!$B:$B,""))</f>
        <v/>
      </c>
      <c r="D1120" t="str">
        <f>IF(B1120="","",_xlfn.XLOOKUP(B1120,'Orders Ledger'!$A:$A,'Orders Ledger'!$G:$G,""))</f>
        <v/>
      </c>
      <c r="E1120" t="str">
        <f>IF(B1120="","",_xlfn.XLOOKUP(B1120,'Orders Ledger'!$A:$A,'Orders Ledger'!$H:$H,""))</f>
        <v/>
      </c>
      <c r="F1120" t="str">
        <f>IF(B1120="","",_xlfn.XLOOKUP(B1120,'Orders Ledger'!$A:$A,'Orders Ledger'!$F:$F,""))</f>
        <v/>
      </c>
      <c r="G1120" t="str">
        <f>IF(B1120="","",_xlfn.XLOOKUP(B1120,'Orders Ledger'!$A:$A,'Orders Ledger'!$N:$N,0))</f>
        <v/>
      </c>
    </row>
    <row r="1121" spans="2:7" x14ac:dyDescent="0.3">
      <c r="B1121" t="str">
        <f t="array" ref="B1121">IFERROR(INDEX('Orders Ledger'!$A$2:$A$1501, SMALL(IF(('Orders Ledger'!$J$2:$J$1501="disputed")+('Orders Ledger'!$J$2:$J$1501="PENDING_REVIEW"), ROW('Orders Ledger'!$A$2:$A$1501)-ROW('Orders Ledger'!$A$2)+1), ROW(1063:1063))), "")</f>
        <v/>
      </c>
      <c r="C1121" s="11" t="str">
        <f>IF(B1121="","",_xlfn.XLOOKUP(B1121,'Orders Ledger'!$A:$A,'Orders Ledger'!$B:$B,""))</f>
        <v/>
      </c>
      <c r="D1121" t="str">
        <f>IF(B1121="","",_xlfn.XLOOKUP(B1121,'Orders Ledger'!$A:$A,'Orders Ledger'!$G:$G,""))</f>
        <v/>
      </c>
      <c r="E1121" t="str">
        <f>IF(B1121="","",_xlfn.XLOOKUP(B1121,'Orders Ledger'!$A:$A,'Orders Ledger'!$H:$H,""))</f>
        <v/>
      </c>
      <c r="F1121" t="str">
        <f>IF(B1121="","",_xlfn.XLOOKUP(B1121,'Orders Ledger'!$A:$A,'Orders Ledger'!$F:$F,""))</f>
        <v/>
      </c>
      <c r="G1121" t="str">
        <f>IF(B1121="","",_xlfn.XLOOKUP(B1121,'Orders Ledger'!$A:$A,'Orders Ledger'!$N:$N,0))</f>
        <v/>
      </c>
    </row>
    <row r="1122" spans="2:7" x14ac:dyDescent="0.3">
      <c r="B1122" t="str">
        <f t="array" ref="B1122">IFERROR(INDEX('Orders Ledger'!$A$2:$A$1501, SMALL(IF(('Orders Ledger'!$J$2:$J$1501="disputed")+('Orders Ledger'!$J$2:$J$1501="PENDING_REVIEW"), ROW('Orders Ledger'!$A$2:$A$1501)-ROW('Orders Ledger'!$A$2)+1), ROW(1064:1064))), "")</f>
        <v/>
      </c>
      <c r="C1122" s="11" t="str">
        <f>IF(B1122="","",_xlfn.XLOOKUP(B1122,'Orders Ledger'!$A:$A,'Orders Ledger'!$B:$B,""))</f>
        <v/>
      </c>
      <c r="D1122" t="str">
        <f>IF(B1122="","",_xlfn.XLOOKUP(B1122,'Orders Ledger'!$A:$A,'Orders Ledger'!$G:$G,""))</f>
        <v/>
      </c>
      <c r="E1122" t="str">
        <f>IF(B1122="","",_xlfn.XLOOKUP(B1122,'Orders Ledger'!$A:$A,'Orders Ledger'!$H:$H,""))</f>
        <v/>
      </c>
      <c r="F1122" t="str">
        <f>IF(B1122="","",_xlfn.XLOOKUP(B1122,'Orders Ledger'!$A:$A,'Orders Ledger'!$F:$F,""))</f>
        <v/>
      </c>
      <c r="G1122" t="str">
        <f>IF(B1122="","",_xlfn.XLOOKUP(B1122,'Orders Ledger'!$A:$A,'Orders Ledger'!$N:$N,0))</f>
        <v/>
      </c>
    </row>
    <row r="1123" spans="2:7" x14ac:dyDescent="0.3">
      <c r="B1123" t="str">
        <f t="array" ref="B1123">IFERROR(INDEX('Orders Ledger'!$A$2:$A$1501, SMALL(IF(('Orders Ledger'!$J$2:$J$1501="disputed")+('Orders Ledger'!$J$2:$J$1501="PENDING_REVIEW"), ROW('Orders Ledger'!$A$2:$A$1501)-ROW('Orders Ledger'!$A$2)+1), ROW(1065:1065))), "")</f>
        <v/>
      </c>
      <c r="C1123" s="11" t="str">
        <f>IF(B1123="","",_xlfn.XLOOKUP(B1123,'Orders Ledger'!$A:$A,'Orders Ledger'!$B:$B,""))</f>
        <v/>
      </c>
      <c r="D1123" t="str">
        <f>IF(B1123="","",_xlfn.XLOOKUP(B1123,'Orders Ledger'!$A:$A,'Orders Ledger'!$G:$G,""))</f>
        <v/>
      </c>
      <c r="E1123" t="str">
        <f>IF(B1123="","",_xlfn.XLOOKUP(B1123,'Orders Ledger'!$A:$A,'Orders Ledger'!$H:$H,""))</f>
        <v/>
      </c>
      <c r="F1123" t="str">
        <f>IF(B1123="","",_xlfn.XLOOKUP(B1123,'Orders Ledger'!$A:$A,'Orders Ledger'!$F:$F,""))</f>
        <v/>
      </c>
      <c r="G1123" t="str">
        <f>IF(B1123="","",_xlfn.XLOOKUP(B1123,'Orders Ledger'!$A:$A,'Orders Ledger'!$N:$N,0))</f>
        <v/>
      </c>
    </row>
    <row r="1124" spans="2:7" x14ac:dyDescent="0.3">
      <c r="B1124" t="str">
        <f t="array" ref="B1124">IFERROR(INDEX('Orders Ledger'!$A$2:$A$1501, SMALL(IF(('Orders Ledger'!$J$2:$J$1501="disputed")+('Orders Ledger'!$J$2:$J$1501="PENDING_REVIEW"), ROW('Orders Ledger'!$A$2:$A$1501)-ROW('Orders Ledger'!$A$2)+1), ROW(1066:1066))), "")</f>
        <v/>
      </c>
      <c r="C1124" s="11" t="str">
        <f>IF(B1124="","",_xlfn.XLOOKUP(B1124,'Orders Ledger'!$A:$A,'Orders Ledger'!$B:$B,""))</f>
        <v/>
      </c>
      <c r="D1124" t="str">
        <f>IF(B1124="","",_xlfn.XLOOKUP(B1124,'Orders Ledger'!$A:$A,'Orders Ledger'!$G:$G,""))</f>
        <v/>
      </c>
      <c r="E1124" t="str">
        <f>IF(B1124="","",_xlfn.XLOOKUP(B1124,'Orders Ledger'!$A:$A,'Orders Ledger'!$H:$H,""))</f>
        <v/>
      </c>
      <c r="F1124" t="str">
        <f>IF(B1124="","",_xlfn.XLOOKUP(B1124,'Orders Ledger'!$A:$A,'Orders Ledger'!$F:$F,""))</f>
        <v/>
      </c>
      <c r="G1124" t="str">
        <f>IF(B1124="","",_xlfn.XLOOKUP(B1124,'Orders Ledger'!$A:$A,'Orders Ledger'!$N:$N,0))</f>
        <v/>
      </c>
    </row>
    <row r="1125" spans="2:7" x14ac:dyDescent="0.3">
      <c r="B1125" t="str">
        <f t="array" ref="B1125">IFERROR(INDEX('Orders Ledger'!$A$2:$A$1501, SMALL(IF(('Orders Ledger'!$J$2:$J$1501="disputed")+('Orders Ledger'!$J$2:$J$1501="PENDING_REVIEW"), ROW('Orders Ledger'!$A$2:$A$1501)-ROW('Orders Ledger'!$A$2)+1), ROW(1067:1067))), "")</f>
        <v/>
      </c>
      <c r="C1125" s="11" t="str">
        <f>IF(B1125="","",_xlfn.XLOOKUP(B1125,'Orders Ledger'!$A:$A,'Orders Ledger'!$B:$B,""))</f>
        <v/>
      </c>
      <c r="D1125" t="str">
        <f>IF(B1125="","",_xlfn.XLOOKUP(B1125,'Orders Ledger'!$A:$A,'Orders Ledger'!$G:$G,""))</f>
        <v/>
      </c>
      <c r="E1125" t="str">
        <f>IF(B1125="","",_xlfn.XLOOKUP(B1125,'Orders Ledger'!$A:$A,'Orders Ledger'!$H:$H,""))</f>
        <v/>
      </c>
      <c r="F1125" t="str">
        <f>IF(B1125="","",_xlfn.XLOOKUP(B1125,'Orders Ledger'!$A:$A,'Orders Ledger'!$F:$F,""))</f>
        <v/>
      </c>
      <c r="G1125" t="str">
        <f>IF(B1125="","",_xlfn.XLOOKUP(B1125,'Orders Ledger'!$A:$A,'Orders Ledger'!$N:$N,0))</f>
        <v/>
      </c>
    </row>
    <row r="1126" spans="2:7" x14ac:dyDescent="0.3">
      <c r="B1126" t="str">
        <f t="array" ref="B1126">IFERROR(INDEX('Orders Ledger'!$A$2:$A$1501, SMALL(IF(('Orders Ledger'!$J$2:$J$1501="disputed")+('Orders Ledger'!$J$2:$J$1501="PENDING_REVIEW"), ROW('Orders Ledger'!$A$2:$A$1501)-ROW('Orders Ledger'!$A$2)+1), ROW(1068:1068))), "")</f>
        <v/>
      </c>
      <c r="C1126" s="11" t="str">
        <f>IF(B1126="","",_xlfn.XLOOKUP(B1126,'Orders Ledger'!$A:$A,'Orders Ledger'!$B:$B,""))</f>
        <v/>
      </c>
      <c r="D1126" t="str">
        <f>IF(B1126="","",_xlfn.XLOOKUP(B1126,'Orders Ledger'!$A:$A,'Orders Ledger'!$G:$G,""))</f>
        <v/>
      </c>
      <c r="E1126" t="str">
        <f>IF(B1126="","",_xlfn.XLOOKUP(B1126,'Orders Ledger'!$A:$A,'Orders Ledger'!$H:$H,""))</f>
        <v/>
      </c>
      <c r="F1126" t="str">
        <f>IF(B1126="","",_xlfn.XLOOKUP(B1126,'Orders Ledger'!$A:$A,'Orders Ledger'!$F:$F,""))</f>
        <v/>
      </c>
      <c r="G1126" t="str">
        <f>IF(B1126="","",_xlfn.XLOOKUP(B1126,'Orders Ledger'!$A:$A,'Orders Ledger'!$N:$N,0))</f>
        <v/>
      </c>
    </row>
    <row r="1127" spans="2:7" x14ac:dyDescent="0.3">
      <c r="B1127" t="str">
        <f t="array" ref="B1127">IFERROR(INDEX('Orders Ledger'!$A$2:$A$1501, SMALL(IF(('Orders Ledger'!$J$2:$J$1501="disputed")+('Orders Ledger'!$J$2:$J$1501="PENDING_REVIEW"), ROW('Orders Ledger'!$A$2:$A$1501)-ROW('Orders Ledger'!$A$2)+1), ROW(1069:1069))), "")</f>
        <v/>
      </c>
      <c r="C1127" s="11" t="str">
        <f>IF(B1127="","",_xlfn.XLOOKUP(B1127,'Orders Ledger'!$A:$A,'Orders Ledger'!$B:$B,""))</f>
        <v/>
      </c>
      <c r="D1127" t="str">
        <f>IF(B1127="","",_xlfn.XLOOKUP(B1127,'Orders Ledger'!$A:$A,'Orders Ledger'!$G:$G,""))</f>
        <v/>
      </c>
      <c r="E1127" t="str">
        <f>IF(B1127="","",_xlfn.XLOOKUP(B1127,'Orders Ledger'!$A:$A,'Orders Ledger'!$H:$H,""))</f>
        <v/>
      </c>
      <c r="F1127" t="str">
        <f>IF(B1127="","",_xlfn.XLOOKUP(B1127,'Orders Ledger'!$A:$A,'Orders Ledger'!$F:$F,""))</f>
        <v/>
      </c>
      <c r="G1127" t="str">
        <f>IF(B1127="","",_xlfn.XLOOKUP(B1127,'Orders Ledger'!$A:$A,'Orders Ledger'!$N:$N,0))</f>
        <v/>
      </c>
    </row>
    <row r="1128" spans="2:7" x14ac:dyDescent="0.3">
      <c r="B1128" t="str">
        <f t="array" ref="B1128">IFERROR(INDEX('Orders Ledger'!$A$2:$A$1501, SMALL(IF(('Orders Ledger'!$J$2:$J$1501="disputed")+('Orders Ledger'!$J$2:$J$1501="PENDING_REVIEW"), ROW('Orders Ledger'!$A$2:$A$1501)-ROW('Orders Ledger'!$A$2)+1), ROW(1070:1070))), "")</f>
        <v/>
      </c>
      <c r="C1128" s="11" t="str">
        <f>IF(B1128="","",_xlfn.XLOOKUP(B1128,'Orders Ledger'!$A:$A,'Orders Ledger'!$B:$B,""))</f>
        <v/>
      </c>
      <c r="D1128" t="str">
        <f>IF(B1128="","",_xlfn.XLOOKUP(B1128,'Orders Ledger'!$A:$A,'Orders Ledger'!$G:$G,""))</f>
        <v/>
      </c>
      <c r="E1128" t="str">
        <f>IF(B1128="","",_xlfn.XLOOKUP(B1128,'Orders Ledger'!$A:$A,'Orders Ledger'!$H:$H,""))</f>
        <v/>
      </c>
      <c r="F1128" t="str">
        <f>IF(B1128="","",_xlfn.XLOOKUP(B1128,'Orders Ledger'!$A:$A,'Orders Ledger'!$F:$F,""))</f>
        <v/>
      </c>
      <c r="G1128" t="str">
        <f>IF(B1128="","",_xlfn.XLOOKUP(B1128,'Orders Ledger'!$A:$A,'Orders Ledger'!$N:$N,0))</f>
        <v/>
      </c>
    </row>
    <row r="1129" spans="2:7" x14ac:dyDescent="0.3">
      <c r="B1129" t="str">
        <f t="array" ref="B1129">IFERROR(INDEX('Orders Ledger'!$A$2:$A$1501, SMALL(IF(('Orders Ledger'!$J$2:$J$1501="disputed")+('Orders Ledger'!$J$2:$J$1501="PENDING_REVIEW"), ROW('Orders Ledger'!$A$2:$A$1501)-ROW('Orders Ledger'!$A$2)+1), ROW(1071:1071))), "")</f>
        <v/>
      </c>
      <c r="C1129" s="11" t="str">
        <f>IF(B1129="","",_xlfn.XLOOKUP(B1129,'Orders Ledger'!$A:$A,'Orders Ledger'!$B:$B,""))</f>
        <v/>
      </c>
      <c r="D1129" t="str">
        <f>IF(B1129="","",_xlfn.XLOOKUP(B1129,'Orders Ledger'!$A:$A,'Orders Ledger'!$G:$G,""))</f>
        <v/>
      </c>
      <c r="E1129" t="str">
        <f>IF(B1129="","",_xlfn.XLOOKUP(B1129,'Orders Ledger'!$A:$A,'Orders Ledger'!$H:$H,""))</f>
        <v/>
      </c>
      <c r="F1129" t="str">
        <f>IF(B1129="","",_xlfn.XLOOKUP(B1129,'Orders Ledger'!$A:$A,'Orders Ledger'!$F:$F,""))</f>
        <v/>
      </c>
      <c r="G1129" t="str">
        <f>IF(B1129="","",_xlfn.XLOOKUP(B1129,'Orders Ledger'!$A:$A,'Orders Ledger'!$N:$N,0))</f>
        <v/>
      </c>
    </row>
    <row r="1130" spans="2:7" x14ac:dyDescent="0.3">
      <c r="B1130" t="str">
        <f t="array" ref="B1130">IFERROR(INDEX('Orders Ledger'!$A$2:$A$1501, SMALL(IF(('Orders Ledger'!$J$2:$J$1501="disputed")+('Orders Ledger'!$J$2:$J$1501="PENDING_REVIEW"), ROW('Orders Ledger'!$A$2:$A$1501)-ROW('Orders Ledger'!$A$2)+1), ROW(1072:1072))), "")</f>
        <v/>
      </c>
      <c r="C1130" s="11" t="str">
        <f>IF(B1130="","",_xlfn.XLOOKUP(B1130,'Orders Ledger'!$A:$A,'Orders Ledger'!$B:$B,""))</f>
        <v/>
      </c>
      <c r="D1130" t="str">
        <f>IF(B1130="","",_xlfn.XLOOKUP(B1130,'Orders Ledger'!$A:$A,'Orders Ledger'!$G:$G,""))</f>
        <v/>
      </c>
      <c r="E1130" t="str">
        <f>IF(B1130="","",_xlfn.XLOOKUP(B1130,'Orders Ledger'!$A:$A,'Orders Ledger'!$H:$H,""))</f>
        <v/>
      </c>
      <c r="F1130" t="str">
        <f>IF(B1130="","",_xlfn.XLOOKUP(B1130,'Orders Ledger'!$A:$A,'Orders Ledger'!$F:$F,""))</f>
        <v/>
      </c>
      <c r="G1130" t="str">
        <f>IF(B1130="","",_xlfn.XLOOKUP(B1130,'Orders Ledger'!$A:$A,'Orders Ledger'!$N:$N,0))</f>
        <v/>
      </c>
    </row>
    <row r="1131" spans="2:7" x14ac:dyDescent="0.3">
      <c r="B1131" t="str">
        <f t="array" ref="B1131">IFERROR(INDEX('Orders Ledger'!$A$2:$A$1501, SMALL(IF(('Orders Ledger'!$J$2:$J$1501="disputed")+('Orders Ledger'!$J$2:$J$1501="PENDING_REVIEW"), ROW('Orders Ledger'!$A$2:$A$1501)-ROW('Orders Ledger'!$A$2)+1), ROW(1073:1073))), "")</f>
        <v/>
      </c>
      <c r="C1131" s="11" t="str">
        <f>IF(B1131="","",_xlfn.XLOOKUP(B1131,'Orders Ledger'!$A:$A,'Orders Ledger'!$B:$B,""))</f>
        <v/>
      </c>
      <c r="D1131" t="str">
        <f>IF(B1131="","",_xlfn.XLOOKUP(B1131,'Orders Ledger'!$A:$A,'Orders Ledger'!$G:$G,""))</f>
        <v/>
      </c>
      <c r="E1131" t="str">
        <f>IF(B1131="","",_xlfn.XLOOKUP(B1131,'Orders Ledger'!$A:$A,'Orders Ledger'!$H:$H,""))</f>
        <v/>
      </c>
      <c r="F1131" t="str">
        <f>IF(B1131="","",_xlfn.XLOOKUP(B1131,'Orders Ledger'!$A:$A,'Orders Ledger'!$F:$F,""))</f>
        <v/>
      </c>
      <c r="G1131" t="str">
        <f>IF(B1131="","",_xlfn.XLOOKUP(B1131,'Orders Ledger'!$A:$A,'Orders Ledger'!$N:$N,0))</f>
        <v/>
      </c>
    </row>
    <row r="1132" spans="2:7" x14ac:dyDescent="0.3">
      <c r="B1132" t="str">
        <f t="array" ref="B1132">IFERROR(INDEX('Orders Ledger'!$A$2:$A$1501, SMALL(IF(('Orders Ledger'!$J$2:$J$1501="disputed")+('Orders Ledger'!$J$2:$J$1501="PENDING_REVIEW"), ROW('Orders Ledger'!$A$2:$A$1501)-ROW('Orders Ledger'!$A$2)+1), ROW(1074:1074))), "")</f>
        <v/>
      </c>
      <c r="C1132" s="11" t="str">
        <f>IF(B1132="","",_xlfn.XLOOKUP(B1132,'Orders Ledger'!$A:$A,'Orders Ledger'!$B:$B,""))</f>
        <v/>
      </c>
      <c r="D1132" t="str">
        <f>IF(B1132="","",_xlfn.XLOOKUP(B1132,'Orders Ledger'!$A:$A,'Orders Ledger'!$G:$G,""))</f>
        <v/>
      </c>
      <c r="E1132" t="str">
        <f>IF(B1132="","",_xlfn.XLOOKUP(B1132,'Orders Ledger'!$A:$A,'Orders Ledger'!$H:$H,""))</f>
        <v/>
      </c>
      <c r="F1132" t="str">
        <f>IF(B1132="","",_xlfn.XLOOKUP(B1132,'Orders Ledger'!$A:$A,'Orders Ledger'!$F:$F,""))</f>
        <v/>
      </c>
      <c r="G1132" t="str">
        <f>IF(B1132="","",_xlfn.XLOOKUP(B1132,'Orders Ledger'!$A:$A,'Orders Ledger'!$N:$N,0))</f>
        <v/>
      </c>
    </row>
    <row r="1133" spans="2:7" x14ac:dyDescent="0.3">
      <c r="B1133" t="str">
        <f t="array" ref="B1133">IFERROR(INDEX('Orders Ledger'!$A$2:$A$1501, SMALL(IF(('Orders Ledger'!$J$2:$J$1501="disputed")+('Orders Ledger'!$J$2:$J$1501="PENDING_REVIEW"), ROW('Orders Ledger'!$A$2:$A$1501)-ROW('Orders Ledger'!$A$2)+1), ROW(1075:1075))), "")</f>
        <v/>
      </c>
      <c r="C1133" s="11" t="str">
        <f>IF(B1133="","",_xlfn.XLOOKUP(B1133,'Orders Ledger'!$A:$A,'Orders Ledger'!$B:$B,""))</f>
        <v/>
      </c>
      <c r="D1133" t="str">
        <f>IF(B1133="","",_xlfn.XLOOKUP(B1133,'Orders Ledger'!$A:$A,'Orders Ledger'!$G:$G,""))</f>
        <v/>
      </c>
      <c r="E1133" t="str">
        <f>IF(B1133="","",_xlfn.XLOOKUP(B1133,'Orders Ledger'!$A:$A,'Orders Ledger'!$H:$H,""))</f>
        <v/>
      </c>
      <c r="F1133" t="str">
        <f>IF(B1133="","",_xlfn.XLOOKUP(B1133,'Orders Ledger'!$A:$A,'Orders Ledger'!$F:$F,""))</f>
        <v/>
      </c>
      <c r="G1133" t="str">
        <f>IF(B1133="","",_xlfn.XLOOKUP(B1133,'Orders Ledger'!$A:$A,'Orders Ledger'!$N:$N,0))</f>
        <v/>
      </c>
    </row>
    <row r="1134" spans="2:7" x14ac:dyDescent="0.3">
      <c r="B1134" t="str">
        <f t="array" ref="B1134">IFERROR(INDEX('Orders Ledger'!$A$2:$A$1501, SMALL(IF(('Orders Ledger'!$J$2:$J$1501="disputed")+('Orders Ledger'!$J$2:$J$1501="PENDING_REVIEW"), ROW('Orders Ledger'!$A$2:$A$1501)-ROW('Orders Ledger'!$A$2)+1), ROW(1076:1076))), "")</f>
        <v/>
      </c>
      <c r="C1134" s="11" t="str">
        <f>IF(B1134="","",_xlfn.XLOOKUP(B1134,'Orders Ledger'!$A:$A,'Orders Ledger'!$B:$B,""))</f>
        <v/>
      </c>
      <c r="D1134" t="str">
        <f>IF(B1134="","",_xlfn.XLOOKUP(B1134,'Orders Ledger'!$A:$A,'Orders Ledger'!$G:$G,""))</f>
        <v/>
      </c>
      <c r="E1134" t="str">
        <f>IF(B1134="","",_xlfn.XLOOKUP(B1134,'Orders Ledger'!$A:$A,'Orders Ledger'!$H:$H,""))</f>
        <v/>
      </c>
      <c r="F1134" t="str">
        <f>IF(B1134="","",_xlfn.XLOOKUP(B1134,'Orders Ledger'!$A:$A,'Orders Ledger'!$F:$F,""))</f>
        <v/>
      </c>
      <c r="G1134" t="str">
        <f>IF(B1134="","",_xlfn.XLOOKUP(B1134,'Orders Ledger'!$A:$A,'Orders Ledger'!$N:$N,0))</f>
        <v/>
      </c>
    </row>
    <row r="1135" spans="2:7" x14ac:dyDescent="0.3">
      <c r="B1135" t="str">
        <f t="array" ref="B1135">IFERROR(INDEX('Orders Ledger'!$A$2:$A$1501, SMALL(IF(('Orders Ledger'!$J$2:$J$1501="disputed")+('Orders Ledger'!$J$2:$J$1501="PENDING_REVIEW"), ROW('Orders Ledger'!$A$2:$A$1501)-ROW('Orders Ledger'!$A$2)+1), ROW(1077:1077))), "")</f>
        <v/>
      </c>
      <c r="C1135" s="11" t="str">
        <f>IF(B1135="","",_xlfn.XLOOKUP(B1135,'Orders Ledger'!$A:$A,'Orders Ledger'!$B:$B,""))</f>
        <v/>
      </c>
      <c r="D1135" t="str">
        <f>IF(B1135="","",_xlfn.XLOOKUP(B1135,'Orders Ledger'!$A:$A,'Orders Ledger'!$G:$G,""))</f>
        <v/>
      </c>
      <c r="E1135" t="str">
        <f>IF(B1135="","",_xlfn.XLOOKUP(B1135,'Orders Ledger'!$A:$A,'Orders Ledger'!$H:$H,""))</f>
        <v/>
      </c>
      <c r="F1135" t="str">
        <f>IF(B1135="","",_xlfn.XLOOKUP(B1135,'Orders Ledger'!$A:$A,'Orders Ledger'!$F:$F,""))</f>
        <v/>
      </c>
      <c r="G1135" t="str">
        <f>IF(B1135="","",_xlfn.XLOOKUP(B1135,'Orders Ledger'!$A:$A,'Orders Ledger'!$N:$N,0))</f>
        <v/>
      </c>
    </row>
    <row r="1136" spans="2:7" x14ac:dyDescent="0.3">
      <c r="B1136" t="str">
        <f t="array" ref="B1136">IFERROR(INDEX('Orders Ledger'!$A$2:$A$1501, SMALL(IF(('Orders Ledger'!$J$2:$J$1501="disputed")+('Orders Ledger'!$J$2:$J$1501="PENDING_REVIEW"), ROW('Orders Ledger'!$A$2:$A$1501)-ROW('Orders Ledger'!$A$2)+1), ROW(1078:1078))), "")</f>
        <v/>
      </c>
      <c r="C1136" s="11" t="str">
        <f>IF(B1136="","",_xlfn.XLOOKUP(B1136,'Orders Ledger'!$A:$A,'Orders Ledger'!$B:$B,""))</f>
        <v/>
      </c>
      <c r="D1136" t="str">
        <f>IF(B1136="","",_xlfn.XLOOKUP(B1136,'Orders Ledger'!$A:$A,'Orders Ledger'!$G:$G,""))</f>
        <v/>
      </c>
      <c r="E1136" t="str">
        <f>IF(B1136="","",_xlfn.XLOOKUP(B1136,'Orders Ledger'!$A:$A,'Orders Ledger'!$H:$H,""))</f>
        <v/>
      </c>
      <c r="F1136" t="str">
        <f>IF(B1136="","",_xlfn.XLOOKUP(B1136,'Orders Ledger'!$A:$A,'Orders Ledger'!$F:$F,""))</f>
        <v/>
      </c>
      <c r="G1136" t="str">
        <f>IF(B1136="","",_xlfn.XLOOKUP(B1136,'Orders Ledger'!$A:$A,'Orders Ledger'!$N:$N,0))</f>
        <v/>
      </c>
    </row>
    <row r="1137" spans="2:7" x14ac:dyDescent="0.3">
      <c r="B1137" t="str">
        <f t="array" ref="B1137">IFERROR(INDEX('Orders Ledger'!$A$2:$A$1501, SMALL(IF(('Orders Ledger'!$J$2:$J$1501="disputed")+('Orders Ledger'!$J$2:$J$1501="PENDING_REVIEW"), ROW('Orders Ledger'!$A$2:$A$1501)-ROW('Orders Ledger'!$A$2)+1), ROW(1079:1079))), "")</f>
        <v/>
      </c>
      <c r="C1137" s="11" t="str">
        <f>IF(B1137="","",_xlfn.XLOOKUP(B1137,'Orders Ledger'!$A:$A,'Orders Ledger'!$B:$B,""))</f>
        <v/>
      </c>
      <c r="D1137" t="str">
        <f>IF(B1137="","",_xlfn.XLOOKUP(B1137,'Orders Ledger'!$A:$A,'Orders Ledger'!$G:$G,""))</f>
        <v/>
      </c>
      <c r="E1137" t="str">
        <f>IF(B1137="","",_xlfn.XLOOKUP(B1137,'Orders Ledger'!$A:$A,'Orders Ledger'!$H:$H,""))</f>
        <v/>
      </c>
      <c r="F1137" t="str">
        <f>IF(B1137="","",_xlfn.XLOOKUP(B1137,'Orders Ledger'!$A:$A,'Orders Ledger'!$F:$F,""))</f>
        <v/>
      </c>
      <c r="G1137" t="str">
        <f>IF(B1137="","",_xlfn.XLOOKUP(B1137,'Orders Ledger'!$A:$A,'Orders Ledger'!$N:$N,0))</f>
        <v/>
      </c>
    </row>
    <row r="1138" spans="2:7" x14ac:dyDescent="0.3">
      <c r="B1138" t="str">
        <f t="array" ref="B1138">IFERROR(INDEX('Orders Ledger'!$A$2:$A$1501, SMALL(IF(('Orders Ledger'!$J$2:$J$1501="disputed")+('Orders Ledger'!$J$2:$J$1501="PENDING_REVIEW"), ROW('Orders Ledger'!$A$2:$A$1501)-ROW('Orders Ledger'!$A$2)+1), ROW(1080:1080))), "")</f>
        <v/>
      </c>
      <c r="C1138" s="11" t="str">
        <f>IF(B1138="","",_xlfn.XLOOKUP(B1138,'Orders Ledger'!$A:$A,'Orders Ledger'!$B:$B,""))</f>
        <v/>
      </c>
      <c r="D1138" t="str">
        <f>IF(B1138="","",_xlfn.XLOOKUP(B1138,'Orders Ledger'!$A:$A,'Orders Ledger'!$G:$G,""))</f>
        <v/>
      </c>
      <c r="E1138" t="str">
        <f>IF(B1138="","",_xlfn.XLOOKUP(B1138,'Orders Ledger'!$A:$A,'Orders Ledger'!$H:$H,""))</f>
        <v/>
      </c>
      <c r="F1138" t="str">
        <f>IF(B1138="","",_xlfn.XLOOKUP(B1138,'Orders Ledger'!$A:$A,'Orders Ledger'!$F:$F,""))</f>
        <v/>
      </c>
      <c r="G1138" t="str">
        <f>IF(B1138="","",_xlfn.XLOOKUP(B1138,'Orders Ledger'!$A:$A,'Orders Ledger'!$N:$N,0))</f>
        <v/>
      </c>
    </row>
    <row r="1139" spans="2:7" x14ac:dyDescent="0.3">
      <c r="B1139" t="str">
        <f t="array" ref="B1139">IFERROR(INDEX('Orders Ledger'!$A$2:$A$1501, SMALL(IF(('Orders Ledger'!$J$2:$J$1501="disputed")+('Orders Ledger'!$J$2:$J$1501="PENDING_REVIEW"), ROW('Orders Ledger'!$A$2:$A$1501)-ROW('Orders Ledger'!$A$2)+1), ROW(1081:1081))), "")</f>
        <v/>
      </c>
      <c r="C1139" s="11" t="str">
        <f>IF(B1139="","",_xlfn.XLOOKUP(B1139,'Orders Ledger'!$A:$A,'Orders Ledger'!$B:$B,""))</f>
        <v/>
      </c>
      <c r="D1139" t="str">
        <f>IF(B1139="","",_xlfn.XLOOKUP(B1139,'Orders Ledger'!$A:$A,'Orders Ledger'!$G:$G,""))</f>
        <v/>
      </c>
      <c r="E1139" t="str">
        <f>IF(B1139="","",_xlfn.XLOOKUP(B1139,'Orders Ledger'!$A:$A,'Orders Ledger'!$H:$H,""))</f>
        <v/>
      </c>
      <c r="F1139" t="str">
        <f>IF(B1139="","",_xlfn.XLOOKUP(B1139,'Orders Ledger'!$A:$A,'Orders Ledger'!$F:$F,""))</f>
        <v/>
      </c>
      <c r="G1139" t="str">
        <f>IF(B1139="","",_xlfn.XLOOKUP(B1139,'Orders Ledger'!$A:$A,'Orders Ledger'!$N:$N,0))</f>
        <v/>
      </c>
    </row>
    <row r="1140" spans="2:7" x14ac:dyDescent="0.3">
      <c r="B1140" t="str">
        <f t="array" ref="B1140">IFERROR(INDEX('Orders Ledger'!$A$2:$A$1501, SMALL(IF(('Orders Ledger'!$J$2:$J$1501="disputed")+('Orders Ledger'!$J$2:$J$1501="PENDING_REVIEW"), ROW('Orders Ledger'!$A$2:$A$1501)-ROW('Orders Ledger'!$A$2)+1), ROW(1082:1082))), "")</f>
        <v/>
      </c>
      <c r="C1140" s="11" t="str">
        <f>IF(B1140="","",_xlfn.XLOOKUP(B1140,'Orders Ledger'!$A:$A,'Orders Ledger'!$B:$B,""))</f>
        <v/>
      </c>
      <c r="D1140" t="str">
        <f>IF(B1140="","",_xlfn.XLOOKUP(B1140,'Orders Ledger'!$A:$A,'Orders Ledger'!$G:$G,""))</f>
        <v/>
      </c>
      <c r="E1140" t="str">
        <f>IF(B1140="","",_xlfn.XLOOKUP(B1140,'Orders Ledger'!$A:$A,'Orders Ledger'!$H:$H,""))</f>
        <v/>
      </c>
      <c r="F1140" t="str">
        <f>IF(B1140="","",_xlfn.XLOOKUP(B1140,'Orders Ledger'!$A:$A,'Orders Ledger'!$F:$F,""))</f>
        <v/>
      </c>
      <c r="G1140" t="str">
        <f>IF(B1140="","",_xlfn.XLOOKUP(B1140,'Orders Ledger'!$A:$A,'Orders Ledger'!$N:$N,0))</f>
        <v/>
      </c>
    </row>
    <row r="1141" spans="2:7" x14ac:dyDescent="0.3">
      <c r="B1141" t="str">
        <f t="array" ref="B1141">IFERROR(INDEX('Orders Ledger'!$A$2:$A$1501, SMALL(IF(('Orders Ledger'!$J$2:$J$1501="disputed")+('Orders Ledger'!$J$2:$J$1501="PENDING_REVIEW"), ROW('Orders Ledger'!$A$2:$A$1501)-ROW('Orders Ledger'!$A$2)+1), ROW(1083:1083))), "")</f>
        <v/>
      </c>
      <c r="C1141" s="11" t="str">
        <f>IF(B1141="","",_xlfn.XLOOKUP(B1141,'Orders Ledger'!$A:$A,'Orders Ledger'!$B:$B,""))</f>
        <v/>
      </c>
      <c r="D1141" t="str">
        <f>IF(B1141="","",_xlfn.XLOOKUP(B1141,'Orders Ledger'!$A:$A,'Orders Ledger'!$G:$G,""))</f>
        <v/>
      </c>
      <c r="E1141" t="str">
        <f>IF(B1141="","",_xlfn.XLOOKUP(B1141,'Orders Ledger'!$A:$A,'Orders Ledger'!$H:$H,""))</f>
        <v/>
      </c>
      <c r="F1141" t="str">
        <f>IF(B1141="","",_xlfn.XLOOKUP(B1141,'Orders Ledger'!$A:$A,'Orders Ledger'!$F:$F,""))</f>
        <v/>
      </c>
      <c r="G1141" t="str">
        <f>IF(B1141="","",_xlfn.XLOOKUP(B1141,'Orders Ledger'!$A:$A,'Orders Ledger'!$N:$N,0))</f>
        <v/>
      </c>
    </row>
    <row r="1142" spans="2:7" x14ac:dyDescent="0.3">
      <c r="B1142" t="str">
        <f t="array" ref="B1142">IFERROR(INDEX('Orders Ledger'!$A$2:$A$1501, SMALL(IF(('Orders Ledger'!$J$2:$J$1501="disputed")+('Orders Ledger'!$J$2:$J$1501="PENDING_REVIEW"), ROW('Orders Ledger'!$A$2:$A$1501)-ROW('Orders Ledger'!$A$2)+1), ROW(1084:1084))), "")</f>
        <v/>
      </c>
      <c r="C1142" s="11" t="str">
        <f>IF(B1142="","",_xlfn.XLOOKUP(B1142,'Orders Ledger'!$A:$A,'Orders Ledger'!$B:$B,""))</f>
        <v/>
      </c>
      <c r="D1142" t="str">
        <f>IF(B1142="","",_xlfn.XLOOKUP(B1142,'Orders Ledger'!$A:$A,'Orders Ledger'!$G:$G,""))</f>
        <v/>
      </c>
      <c r="E1142" t="str">
        <f>IF(B1142="","",_xlfn.XLOOKUP(B1142,'Orders Ledger'!$A:$A,'Orders Ledger'!$H:$H,""))</f>
        <v/>
      </c>
      <c r="F1142" t="str">
        <f>IF(B1142="","",_xlfn.XLOOKUP(B1142,'Orders Ledger'!$A:$A,'Orders Ledger'!$F:$F,""))</f>
        <v/>
      </c>
      <c r="G1142" t="str">
        <f>IF(B1142="","",_xlfn.XLOOKUP(B1142,'Orders Ledger'!$A:$A,'Orders Ledger'!$N:$N,0))</f>
        <v/>
      </c>
    </row>
    <row r="1143" spans="2:7" x14ac:dyDescent="0.3">
      <c r="B1143" t="str">
        <f t="array" ref="B1143">IFERROR(INDEX('Orders Ledger'!$A$2:$A$1501, SMALL(IF(('Orders Ledger'!$J$2:$J$1501="disputed")+('Orders Ledger'!$J$2:$J$1501="PENDING_REVIEW"), ROW('Orders Ledger'!$A$2:$A$1501)-ROW('Orders Ledger'!$A$2)+1), ROW(1085:1085))), "")</f>
        <v/>
      </c>
      <c r="C1143" s="11" t="str">
        <f>IF(B1143="","",_xlfn.XLOOKUP(B1143,'Orders Ledger'!$A:$A,'Orders Ledger'!$B:$B,""))</f>
        <v/>
      </c>
      <c r="D1143" t="str">
        <f>IF(B1143="","",_xlfn.XLOOKUP(B1143,'Orders Ledger'!$A:$A,'Orders Ledger'!$G:$G,""))</f>
        <v/>
      </c>
      <c r="E1143" t="str">
        <f>IF(B1143="","",_xlfn.XLOOKUP(B1143,'Orders Ledger'!$A:$A,'Orders Ledger'!$H:$H,""))</f>
        <v/>
      </c>
      <c r="F1143" t="str">
        <f>IF(B1143="","",_xlfn.XLOOKUP(B1143,'Orders Ledger'!$A:$A,'Orders Ledger'!$F:$F,""))</f>
        <v/>
      </c>
      <c r="G1143" t="str">
        <f>IF(B1143="","",_xlfn.XLOOKUP(B1143,'Orders Ledger'!$A:$A,'Orders Ledger'!$N:$N,0))</f>
        <v/>
      </c>
    </row>
    <row r="1144" spans="2:7" x14ac:dyDescent="0.3">
      <c r="B1144" t="str">
        <f t="array" ref="B1144">IFERROR(INDEX('Orders Ledger'!$A$2:$A$1501, SMALL(IF(('Orders Ledger'!$J$2:$J$1501="disputed")+('Orders Ledger'!$J$2:$J$1501="PENDING_REVIEW"), ROW('Orders Ledger'!$A$2:$A$1501)-ROW('Orders Ledger'!$A$2)+1), ROW(1086:1086))), "")</f>
        <v/>
      </c>
      <c r="C1144" s="11" t="str">
        <f>IF(B1144="","",_xlfn.XLOOKUP(B1144,'Orders Ledger'!$A:$A,'Orders Ledger'!$B:$B,""))</f>
        <v/>
      </c>
      <c r="D1144" t="str">
        <f>IF(B1144="","",_xlfn.XLOOKUP(B1144,'Orders Ledger'!$A:$A,'Orders Ledger'!$G:$G,""))</f>
        <v/>
      </c>
      <c r="E1144" t="str">
        <f>IF(B1144="","",_xlfn.XLOOKUP(B1144,'Orders Ledger'!$A:$A,'Orders Ledger'!$H:$H,""))</f>
        <v/>
      </c>
      <c r="F1144" t="str">
        <f>IF(B1144="","",_xlfn.XLOOKUP(B1144,'Orders Ledger'!$A:$A,'Orders Ledger'!$F:$F,""))</f>
        <v/>
      </c>
      <c r="G1144" t="str">
        <f>IF(B1144="","",_xlfn.XLOOKUP(B1144,'Orders Ledger'!$A:$A,'Orders Ledger'!$N:$N,0))</f>
        <v/>
      </c>
    </row>
    <row r="1145" spans="2:7" x14ac:dyDescent="0.3">
      <c r="B1145" t="str">
        <f t="array" ref="B1145">IFERROR(INDEX('Orders Ledger'!$A$2:$A$1501, SMALL(IF(('Orders Ledger'!$J$2:$J$1501="disputed")+('Orders Ledger'!$J$2:$J$1501="PENDING_REVIEW"), ROW('Orders Ledger'!$A$2:$A$1501)-ROW('Orders Ledger'!$A$2)+1), ROW(1087:1087))), "")</f>
        <v/>
      </c>
      <c r="C1145" s="11" t="str">
        <f>IF(B1145="","",_xlfn.XLOOKUP(B1145,'Orders Ledger'!$A:$A,'Orders Ledger'!$B:$B,""))</f>
        <v/>
      </c>
      <c r="D1145" t="str">
        <f>IF(B1145="","",_xlfn.XLOOKUP(B1145,'Orders Ledger'!$A:$A,'Orders Ledger'!$G:$G,""))</f>
        <v/>
      </c>
      <c r="E1145" t="str">
        <f>IF(B1145="","",_xlfn.XLOOKUP(B1145,'Orders Ledger'!$A:$A,'Orders Ledger'!$H:$H,""))</f>
        <v/>
      </c>
      <c r="F1145" t="str">
        <f>IF(B1145="","",_xlfn.XLOOKUP(B1145,'Orders Ledger'!$A:$A,'Orders Ledger'!$F:$F,""))</f>
        <v/>
      </c>
      <c r="G1145" t="str">
        <f>IF(B1145="","",_xlfn.XLOOKUP(B1145,'Orders Ledger'!$A:$A,'Orders Ledger'!$N:$N,0))</f>
        <v/>
      </c>
    </row>
    <row r="1146" spans="2:7" x14ac:dyDescent="0.3">
      <c r="B1146" t="str">
        <f t="array" ref="B1146">IFERROR(INDEX('Orders Ledger'!$A$2:$A$1501, SMALL(IF(('Orders Ledger'!$J$2:$J$1501="disputed")+('Orders Ledger'!$J$2:$J$1501="PENDING_REVIEW"), ROW('Orders Ledger'!$A$2:$A$1501)-ROW('Orders Ledger'!$A$2)+1), ROW(1088:1088))), "")</f>
        <v/>
      </c>
      <c r="C1146" s="11" t="str">
        <f>IF(B1146="","",_xlfn.XLOOKUP(B1146,'Orders Ledger'!$A:$A,'Orders Ledger'!$B:$B,""))</f>
        <v/>
      </c>
      <c r="D1146" t="str">
        <f>IF(B1146="","",_xlfn.XLOOKUP(B1146,'Orders Ledger'!$A:$A,'Orders Ledger'!$G:$G,""))</f>
        <v/>
      </c>
      <c r="E1146" t="str">
        <f>IF(B1146="","",_xlfn.XLOOKUP(B1146,'Orders Ledger'!$A:$A,'Orders Ledger'!$H:$H,""))</f>
        <v/>
      </c>
      <c r="F1146" t="str">
        <f>IF(B1146="","",_xlfn.XLOOKUP(B1146,'Orders Ledger'!$A:$A,'Orders Ledger'!$F:$F,""))</f>
        <v/>
      </c>
      <c r="G1146" t="str">
        <f>IF(B1146="","",_xlfn.XLOOKUP(B1146,'Orders Ledger'!$A:$A,'Orders Ledger'!$N:$N,0))</f>
        <v/>
      </c>
    </row>
    <row r="1147" spans="2:7" x14ac:dyDescent="0.3">
      <c r="B1147" t="str">
        <f t="array" ref="B1147">IFERROR(INDEX('Orders Ledger'!$A$2:$A$1501, SMALL(IF(('Orders Ledger'!$J$2:$J$1501="disputed")+('Orders Ledger'!$J$2:$J$1501="PENDING_REVIEW"), ROW('Orders Ledger'!$A$2:$A$1501)-ROW('Orders Ledger'!$A$2)+1), ROW(1089:1089))), "")</f>
        <v/>
      </c>
      <c r="C1147" s="11" t="str">
        <f>IF(B1147="","",_xlfn.XLOOKUP(B1147,'Orders Ledger'!$A:$A,'Orders Ledger'!$B:$B,""))</f>
        <v/>
      </c>
      <c r="D1147" t="str">
        <f>IF(B1147="","",_xlfn.XLOOKUP(B1147,'Orders Ledger'!$A:$A,'Orders Ledger'!$G:$G,""))</f>
        <v/>
      </c>
      <c r="E1147" t="str">
        <f>IF(B1147="","",_xlfn.XLOOKUP(B1147,'Orders Ledger'!$A:$A,'Orders Ledger'!$H:$H,""))</f>
        <v/>
      </c>
      <c r="F1147" t="str">
        <f>IF(B1147="","",_xlfn.XLOOKUP(B1147,'Orders Ledger'!$A:$A,'Orders Ledger'!$F:$F,""))</f>
        <v/>
      </c>
      <c r="G1147" t="str">
        <f>IF(B1147="","",_xlfn.XLOOKUP(B1147,'Orders Ledger'!$A:$A,'Orders Ledger'!$N:$N,0))</f>
        <v/>
      </c>
    </row>
    <row r="1148" spans="2:7" x14ac:dyDescent="0.3">
      <c r="B1148" t="str">
        <f t="array" ref="B1148">IFERROR(INDEX('Orders Ledger'!$A$2:$A$1501, SMALL(IF(('Orders Ledger'!$J$2:$J$1501="disputed")+('Orders Ledger'!$J$2:$J$1501="PENDING_REVIEW"), ROW('Orders Ledger'!$A$2:$A$1501)-ROW('Orders Ledger'!$A$2)+1), ROW(1090:1090))), "")</f>
        <v/>
      </c>
      <c r="C1148" s="11" t="str">
        <f>IF(B1148="","",_xlfn.XLOOKUP(B1148,'Orders Ledger'!$A:$A,'Orders Ledger'!$B:$B,""))</f>
        <v/>
      </c>
      <c r="D1148" t="str">
        <f>IF(B1148="","",_xlfn.XLOOKUP(B1148,'Orders Ledger'!$A:$A,'Orders Ledger'!$G:$G,""))</f>
        <v/>
      </c>
      <c r="E1148" t="str">
        <f>IF(B1148="","",_xlfn.XLOOKUP(B1148,'Orders Ledger'!$A:$A,'Orders Ledger'!$H:$H,""))</f>
        <v/>
      </c>
      <c r="F1148" t="str">
        <f>IF(B1148="","",_xlfn.XLOOKUP(B1148,'Orders Ledger'!$A:$A,'Orders Ledger'!$F:$F,""))</f>
        <v/>
      </c>
      <c r="G1148" t="str">
        <f>IF(B1148="","",_xlfn.XLOOKUP(B1148,'Orders Ledger'!$A:$A,'Orders Ledger'!$N:$N,0))</f>
        <v/>
      </c>
    </row>
    <row r="1149" spans="2:7" x14ac:dyDescent="0.3">
      <c r="B1149" t="str">
        <f t="array" ref="B1149">IFERROR(INDEX('Orders Ledger'!$A$2:$A$1501, SMALL(IF(('Orders Ledger'!$J$2:$J$1501="disputed")+('Orders Ledger'!$J$2:$J$1501="PENDING_REVIEW"), ROW('Orders Ledger'!$A$2:$A$1501)-ROW('Orders Ledger'!$A$2)+1), ROW(1091:1091))), "")</f>
        <v/>
      </c>
      <c r="C1149" s="11" t="str">
        <f>IF(B1149="","",_xlfn.XLOOKUP(B1149,'Orders Ledger'!$A:$A,'Orders Ledger'!$B:$B,""))</f>
        <v/>
      </c>
      <c r="D1149" t="str">
        <f>IF(B1149="","",_xlfn.XLOOKUP(B1149,'Orders Ledger'!$A:$A,'Orders Ledger'!$G:$G,""))</f>
        <v/>
      </c>
      <c r="E1149" t="str">
        <f>IF(B1149="","",_xlfn.XLOOKUP(B1149,'Orders Ledger'!$A:$A,'Orders Ledger'!$H:$H,""))</f>
        <v/>
      </c>
      <c r="F1149" t="str">
        <f>IF(B1149="","",_xlfn.XLOOKUP(B1149,'Orders Ledger'!$A:$A,'Orders Ledger'!$F:$F,""))</f>
        <v/>
      </c>
      <c r="G1149" t="str">
        <f>IF(B1149="","",_xlfn.XLOOKUP(B1149,'Orders Ledger'!$A:$A,'Orders Ledger'!$N:$N,0))</f>
        <v/>
      </c>
    </row>
    <row r="1150" spans="2:7" x14ac:dyDescent="0.3">
      <c r="B1150" t="str">
        <f t="array" ref="B1150">IFERROR(INDEX('Orders Ledger'!$A$2:$A$1501, SMALL(IF(('Orders Ledger'!$J$2:$J$1501="disputed")+('Orders Ledger'!$J$2:$J$1501="PENDING_REVIEW"), ROW('Orders Ledger'!$A$2:$A$1501)-ROW('Orders Ledger'!$A$2)+1), ROW(1092:1092))), "")</f>
        <v/>
      </c>
      <c r="C1150" s="11" t="str">
        <f>IF(B1150="","",_xlfn.XLOOKUP(B1150,'Orders Ledger'!$A:$A,'Orders Ledger'!$B:$B,""))</f>
        <v/>
      </c>
      <c r="D1150" t="str">
        <f>IF(B1150="","",_xlfn.XLOOKUP(B1150,'Orders Ledger'!$A:$A,'Orders Ledger'!$G:$G,""))</f>
        <v/>
      </c>
      <c r="E1150" t="str">
        <f>IF(B1150="","",_xlfn.XLOOKUP(B1150,'Orders Ledger'!$A:$A,'Orders Ledger'!$H:$H,""))</f>
        <v/>
      </c>
      <c r="F1150" t="str">
        <f>IF(B1150="","",_xlfn.XLOOKUP(B1150,'Orders Ledger'!$A:$A,'Orders Ledger'!$F:$F,""))</f>
        <v/>
      </c>
      <c r="G1150" t="str">
        <f>IF(B1150="","",_xlfn.XLOOKUP(B1150,'Orders Ledger'!$A:$A,'Orders Ledger'!$N:$N,0))</f>
        <v/>
      </c>
    </row>
    <row r="1151" spans="2:7" x14ac:dyDescent="0.3">
      <c r="B1151" t="str">
        <f t="array" ref="B1151">IFERROR(INDEX('Orders Ledger'!$A$2:$A$1501, SMALL(IF(('Orders Ledger'!$J$2:$J$1501="disputed")+('Orders Ledger'!$J$2:$J$1501="PENDING_REVIEW"), ROW('Orders Ledger'!$A$2:$A$1501)-ROW('Orders Ledger'!$A$2)+1), ROW(1093:1093))), "")</f>
        <v/>
      </c>
      <c r="C1151" s="11" t="str">
        <f>IF(B1151="","",_xlfn.XLOOKUP(B1151,'Orders Ledger'!$A:$A,'Orders Ledger'!$B:$B,""))</f>
        <v/>
      </c>
      <c r="D1151" t="str">
        <f>IF(B1151="","",_xlfn.XLOOKUP(B1151,'Orders Ledger'!$A:$A,'Orders Ledger'!$G:$G,""))</f>
        <v/>
      </c>
      <c r="E1151" t="str">
        <f>IF(B1151="","",_xlfn.XLOOKUP(B1151,'Orders Ledger'!$A:$A,'Orders Ledger'!$H:$H,""))</f>
        <v/>
      </c>
      <c r="F1151" t="str">
        <f>IF(B1151="","",_xlfn.XLOOKUP(B1151,'Orders Ledger'!$A:$A,'Orders Ledger'!$F:$F,""))</f>
        <v/>
      </c>
      <c r="G1151" t="str">
        <f>IF(B1151="","",_xlfn.XLOOKUP(B1151,'Orders Ledger'!$A:$A,'Orders Ledger'!$N:$N,0))</f>
        <v/>
      </c>
    </row>
    <row r="1152" spans="2:7" x14ac:dyDescent="0.3">
      <c r="B1152" t="str">
        <f t="array" ref="B1152">IFERROR(INDEX('Orders Ledger'!$A$2:$A$1501, SMALL(IF(('Orders Ledger'!$J$2:$J$1501="disputed")+('Orders Ledger'!$J$2:$J$1501="PENDING_REVIEW"), ROW('Orders Ledger'!$A$2:$A$1501)-ROW('Orders Ledger'!$A$2)+1), ROW(1094:1094))), "")</f>
        <v/>
      </c>
      <c r="C1152" s="11" t="str">
        <f>IF(B1152="","",_xlfn.XLOOKUP(B1152,'Orders Ledger'!$A:$A,'Orders Ledger'!$B:$B,""))</f>
        <v/>
      </c>
      <c r="D1152" t="str">
        <f>IF(B1152="","",_xlfn.XLOOKUP(B1152,'Orders Ledger'!$A:$A,'Orders Ledger'!$G:$G,""))</f>
        <v/>
      </c>
      <c r="E1152" t="str">
        <f>IF(B1152="","",_xlfn.XLOOKUP(B1152,'Orders Ledger'!$A:$A,'Orders Ledger'!$H:$H,""))</f>
        <v/>
      </c>
      <c r="F1152" t="str">
        <f>IF(B1152="","",_xlfn.XLOOKUP(B1152,'Orders Ledger'!$A:$A,'Orders Ledger'!$F:$F,""))</f>
        <v/>
      </c>
      <c r="G1152" t="str">
        <f>IF(B1152="","",_xlfn.XLOOKUP(B1152,'Orders Ledger'!$A:$A,'Orders Ledger'!$N:$N,0))</f>
        <v/>
      </c>
    </row>
    <row r="1153" spans="2:7" x14ac:dyDescent="0.3">
      <c r="B1153" t="str">
        <f t="array" ref="B1153">IFERROR(INDEX('Orders Ledger'!$A$2:$A$1501, SMALL(IF(('Orders Ledger'!$J$2:$J$1501="disputed")+('Orders Ledger'!$J$2:$J$1501="PENDING_REVIEW"), ROW('Orders Ledger'!$A$2:$A$1501)-ROW('Orders Ledger'!$A$2)+1), ROW(1095:1095))), "")</f>
        <v/>
      </c>
      <c r="C1153" s="11" t="str">
        <f>IF(B1153="","",_xlfn.XLOOKUP(B1153,'Orders Ledger'!$A:$A,'Orders Ledger'!$B:$B,""))</f>
        <v/>
      </c>
      <c r="D1153" t="str">
        <f>IF(B1153="","",_xlfn.XLOOKUP(B1153,'Orders Ledger'!$A:$A,'Orders Ledger'!$G:$G,""))</f>
        <v/>
      </c>
      <c r="E1153" t="str">
        <f>IF(B1153="","",_xlfn.XLOOKUP(B1153,'Orders Ledger'!$A:$A,'Orders Ledger'!$H:$H,""))</f>
        <v/>
      </c>
      <c r="F1153" t="str">
        <f>IF(B1153="","",_xlfn.XLOOKUP(B1153,'Orders Ledger'!$A:$A,'Orders Ledger'!$F:$F,""))</f>
        <v/>
      </c>
      <c r="G1153" t="str">
        <f>IF(B1153="","",_xlfn.XLOOKUP(B1153,'Orders Ledger'!$A:$A,'Orders Ledger'!$N:$N,0))</f>
        <v/>
      </c>
    </row>
    <row r="1154" spans="2:7" x14ac:dyDescent="0.3">
      <c r="B1154" t="str">
        <f t="array" ref="B1154">IFERROR(INDEX('Orders Ledger'!$A$2:$A$1501, SMALL(IF(('Orders Ledger'!$J$2:$J$1501="disputed")+('Orders Ledger'!$J$2:$J$1501="PENDING_REVIEW"), ROW('Orders Ledger'!$A$2:$A$1501)-ROW('Orders Ledger'!$A$2)+1), ROW(1096:1096))), "")</f>
        <v/>
      </c>
      <c r="C1154" s="11" t="str">
        <f>IF(B1154="","",_xlfn.XLOOKUP(B1154,'Orders Ledger'!$A:$A,'Orders Ledger'!$B:$B,""))</f>
        <v/>
      </c>
      <c r="D1154" t="str">
        <f>IF(B1154="","",_xlfn.XLOOKUP(B1154,'Orders Ledger'!$A:$A,'Orders Ledger'!$G:$G,""))</f>
        <v/>
      </c>
      <c r="E1154" t="str">
        <f>IF(B1154="","",_xlfn.XLOOKUP(B1154,'Orders Ledger'!$A:$A,'Orders Ledger'!$H:$H,""))</f>
        <v/>
      </c>
      <c r="F1154" t="str">
        <f>IF(B1154="","",_xlfn.XLOOKUP(B1154,'Orders Ledger'!$A:$A,'Orders Ledger'!$F:$F,""))</f>
        <v/>
      </c>
      <c r="G1154" t="str">
        <f>IF(B1154="","",_xlfn.XLOOKUP(B1154,'Orders Ledger'!$A:$A,'Orders Ledger'!$N:$N,0))</f>
        <v/>
      </c>
    </row>
    <row r="1155" spans="2:7" x14ac:dyDescent="0.3">
      <c r="B1155" t="str">
        <f t="array" ref="B1155">IFERROR(INDEX('Orders Ledger'!$A$2:$A$1501, SMALL(IF(('Orders Ledger'!$J$2:$J$1501="disputed")+('Orders Ledger'!$J$2:$J$1501="PENDING_REVIEW"), ROW('Orders Ledger'!$A$2:$A$1501)-ROW('Orders Ledger'!$A$2)+1), ROW(1097:1097))), "")</f>
        <v/>
      </c>
      <c r="C1155" s="11" t="str">
        <f>IF(B1155="","",_xlfn.XLOOKUP(B1155,'Orders Ledger'!$A:$A,'Orders Ledger'!$B:$B,""))</f>
        <v/>
      </c>
      <c r="D1155" t="str">
        <f>IF(B1155="","",_xlfn.XLOOKUP(B1155,'Orders Ledger'!$A:$A,'Orders Ledger'!$G:$G,""))</f>
        <v/>
      </c>
      <c r="E1155" t="str">
        <f>IF(B1155="","",_xlfn.XLOOKUP(B1155,'Orders Ledger'!$A:$A,'Orders Ledger'!$H:$H,""))</f>
        <v/>
      </c>
      <c r="F1155" t="str">
        <f>IF(B1155="","",_xlfn.XLOOKUP(B1155,'Orders Ledger'!$A:$A,'Orders Ledger'!$F:$F,""))</f>
        <v/>
      </c>
      <c r="G1155" t="str">
        <f>IF(B1155="","",_xlfn.XLOOKUP(B1155,'Orders Ledger'!$A:$A,'Orders Ledger'!$N:$N,0))</f>
        <v/>
      </c>
    </row>
    <row r="1156" spans="2:7" x14ac:dyDescent="0.3">
      <c r="B1156" t="str">
        <f t="array" ref="B1156">IFERROR(INDEX('Orders Ledger'!$A$2:$A$1501, SMALL(IF(('Orders Ledger'!$J$2:$J$1501="disputed")+('Orders Ledger'!$J$2:$J$1501="PENDING_REVIEW"), ROW('Orders Ledger'!$A$2:$A$1501)-ROW('Orders Ledger'!$A$2)+1), ROW(1098:1098))), "")</f>
        <v/>
      </c>
      <c r="C1156" s="11" t="str">
        <f>IF(B1156="","",_xlfn.XLOOKUP(B1156,'Orders Ledger'!$A:$A,'Orders Ledger'!$B:$B,""))</f>
        <v/>
      </c>
      <c r="D1156" t="str">
        <f>IF(B1156="","",_xlfn.XLOOKUP(B1156,'Orders Ledger'!$A:$A,'Orders Ledger'!$G:$G,""))</f>
        <v/>
      </c>
      <c r="E1156" t="str">
        <f>IF(B1156="","",_xlfn.XLOOKUP(B1156,'Orders Ledger'!$A:$A,'Orders Ledger'!$H:$H,""))</f>
        <v/>
      </c>
      <c r="F1156" t="str">
        <f>IF(B1156="","",_xlfn.XLOOKUP(B1156,'Orders Ledger'!$A:$A,'Orders Ledger'!$F:$F,""))</f>
        <v/>
      </c>
      <c r="G1156" t="str">
        <f>IF(B1156="","",_xlfn.XLOOKUP(B1156,'Orders Ledger'!$A:$A,'Orders Ledger'!$N:$N,0))</f>
        <v/>
      </c>
    </row>
    <row r="1157" spans="2:7" x14ac:dyDescent="0.3">
      <c r="B1157" t="str">
        <f t="array" ref="B1157">IFERROR(INDEX('Orders Ledger'!$A$2:$A$1501, SMALL(IF(('Orders Ledger'!$J$2:$J$1501="disputed")+('Orders Ledger'!$J$2:$J$1501="PENDING_REVIEW"), ROW('Orders Ledger'!$A$2:$A$1501)-ROW('Orders Ledger'!$A$2)+1), ROW(1099:1099))), "")</f>
        <v/>
      </c>
      <c r="C1157" s="11" t="str">
        <f>IF(B1157="","",_xlfn.XLOOKUP(B1157,'Orders Ledger'!$A:$A,'Orders Ledger'!$B:$B,""))</f>
        <v/>
      </c>
      <c r="D1157" t="str">
        <f>IF(B1157="","",_xlfn.XLOOKUP(B1157,'Orders Ledger'!$A:$A,'Orders Ledger'!$G:$G,""))</f>
        <v/>
      </c>
      <c r="E1157" t="str">
        <f>IF(B1157="","",_xlfn.XLOOKUP(B1157,'Orders Ledger'!$A:$A,'Orders Ledger'!$H:$H,""))</f>
        <v/>
      </c>
      <c r="F1157" t="str">
        <f>IF(B1157="","",_xlfn.XLOOKUP(B1157,'Orders Ledger'!$A:$A,'Orders Ledger'!$F:$F,""))</f>
        <v/>
      </c>
      <c r="G1157" t="str">
        <f>IF(B1157="","",_xlfn.XLOOKUP(B1157,'Orders Ledger'!$A:$A,'Orders Ledger'!$N:$N,0))</f>
        <v/>
      </c>
    </row>
    <row r="1158" spans="2:7" x14ac:dyDescent="0.3">
      <c r="B1158" t="str">
        <f t="array" ref="B1158">IFERROR(INDEX('Orders Ledger'!$A$2:$A$1501, SMALL(IF(('Orders Ledger'!$J$2:$J$1501="disputed")+('Orders Ledger'!$J$2:$J$1501="PENDING_REVIEW"), ROW('Orders Ledger'!$A$2:$A$1501)-ROW('Orders Ledger'!$A$2)+1), ROW(1100:1100))), "")</f>
        <v/>
      </c>
      <c r="C1158" s="11" t="str">
        <f>IF(B1158="","",_xlfn.XLOOKUP(B1158,'Orders Ledger'!$A:$A,'Orders Ledger'!$B:$B,""))</f>
        <v/>
      </c>
      <c r="D1158" t="str">
        <f>IF(B1158="","",_xlfn.XLOOKUP(B1158,'Orders Ledger'!$A:$A,'Orders Ledger'!$G:$G,""))</f>
        <v/>
      </c>
      <c r="E1158" t="str">
        <f>IF(B1158="","",_xlfn.XLOOKUP(B1158,'Orders Ledger'!$A:$A,'Orders Ledger'!$H:$H,""))</f>
        <v/>
      </c>
      <c r="F1158" t="str">
        <f>IF(B1158="","",_xlfn.XLOOKUP(B1158,'Orders Ledger'!$A:$A,'Orders Ledger'!$F:$F,""))</f>
        <v/>
      </c>
      <c r="G1158" t="str">
        <f>IF(B1158="","",_xlfn.XLOOKUP(B1158,'Orders Ledger'!$A:$A,'Orders Ledger'!$N:$N,0))</f>
        <v/>
      </c>
    </row>
    <row r="1159" spans="2:7" x14ac:dyDescent="0.3">
      <c r="B1159" t="str">
        <f t="array" ref="B1159">IFERROR(INDEX('Orders Ledger'!$A$2:$A$1501, SMALL(IF(('Orders Ledger'!$J$2:$J$1501="disputed")+('Orders Ledger'!$J$2:$J$1501="PENDING_REVIEW"), ROW('Orders Ledger'!$A$2:$A$1501)-ROW('Orders Ledger'!$A$2)+1), ROW(1101:1101))), "")</f>
        <v/>
      </c>
      <c r="C1159" s="11" t="str">
        <f>IF(B1159="","",_xlfn.XLOOKUP(B1159,'Orders Ledger'!$A:$A,'Orders Ledger'!$B:$B,""))</f>
        <v/>
      </c>
      <c r="D1159" t="str">
        <f>IF(B1159="","",_xlfn.XLOOKUP(B1159,'Orders Ledger'!$A:$A,'Orders Ledger'!$G:$G,""))</f>
        <v/>
      </c>
      <c r="E1159" t="str">
        <f>IF(B1159="","",_xlfn.XLOOKUP(B1159,'Orders Ledger'!$A:$A,'Orders Ledger'!$H:$H,""))</f>
        <v/>
      </c>
      <c r="F1159" t="str">
        <f>IF(B1159="","",_xlfn.XLOOKUP(B1159,'Orders Ledger'!$A:$A,'Orders Ledger'!$F:$F,""))</f>
        <v/>
      </c>
      <c r="G1159" t="str">
        <f>IF(B1159="","",_xlfn.XLOOKUP(B1159,'Orders Ledger'!$A:$A,'Orders Ledger'!$N:$N,0))</f>
        <v/>
      </c>
    </row>
    <row r="1160" spans="2:7" x14ac:dyDescent="0.3">
      <c r="B1160" t="str">
        <f t="array" ref="B1160">IFERROR(INDEX('Orders Ledger'!$A$2:$A$1501, SMALL(IF(('Orders Ledger'!$J$2:$J$1501="disputed")+('Orders Ledger'!$J$2:$J$1501="PENDING_REVIEW"), ROW('Orders Ledger'!$A$2:$A$1501)-ROW('Orders Ledger'!$A$2)+1), ROW(1102:1102))), "")</f>
        <v/>
      </c>
      <c r="C1160" s="11" t="str">
        <f>IF(B1160="","",_xlfn.XLOOKUP(B1160,'Orders Ledger'!$A:$A,'Orders Ledger'!$B:$B,""))</f>
        <v/>
      </c>
      <c r="D1160" t="str">
        <f>IF(B1160="","",_xlfn.XLOOKUP(B1160,'Orders Ledger'!$A:$A,'Orders Ledger'!$G:$G,""))</f>
        <v/>
      </c>
      <c r="E1160" t="str">
        <f>IF(B1160="","",_xlfn.XLOOKUP(B1160,'Orders Ledger'!$A:$A,'Orders Ledger'!$H:$H,""))</f>
        <v/>
      </c>
      <c r="F1160" t="str">
        <f>IF(B1160="","",_xlfn.XLOOKUP(B1160,'Orders Ledger'!$A:$A,'Orders Ledger'!$F:$F,""))</f>
        <v/>
      </c>
      <c r="G1160" t="str">
        <f>IF(B1160="","",_xlfn.XLOOKUP(B1160,'Orders Ledger'!$A:$A,'Orders Ledger'!$N:$N,0))</f>
        <v/>
      </c>
    </row>
    <row r="1161" spans="2:7" x14ac:dyDescent="0.3">
      <c r="B1161" t="str">
        <f t="array" ref="B1161">IFERROR(INDEX('Orders Ledger'!$A$2:$A$1501, SMALL(IF(('Orders Ledger'!$J$2:$J$1501="disputed")+('Orders Ledger'!$J$2:$J$1501="PENDING_REVIEW"), ROW('Orders Ledger'!$A$2:$A$1501)-ROW('Orders Ledger'!$A$2)+1), ROW(1103:1103))), "")</f>
        <v/>
      </c>
      <c r="C1161" s="11" t="str">
        <f>IF(B1161="","",_xlfn.XLOOKUP(B1161,'Orders Ledger'!$A:$A,'Orders Ledger'!$B:$B,""))</f>
        <v/>
      </c>
      <c r="D1161" t="str">
        <f>IF(B1161="","",_xlfn.XLOOKUP(B1161,'Orders Ledger'!$A:$A,'Orders Ledger'!$G:$G,""))</f>
        <v/>
      </c>
      <c r="E1161" t="str">
        <f>IF(B1161="","",_xlfn.XLOOKUP(B1161,'Orders Ledger'!$A:$A,'Orders Ledger'!$H:$H,""))</f>
        <v/>
      </c>
      <c r="F1161" t="str">
        <f>IF(B1161="","",_xlfn.XLOOKUP(B1161,'Orders Ledger'!$A:$A,'Orders Ledger'!$F:$F,""))</f>
        <v/>
      </c>
      <c r="G1161" t="str">
        <f>IF(B1161="","",_xlfn.XLOOKUP(B1161,'Orders Ledger'!$A:$A,'Orders Ledger'!$N:$N,0))</f>
        <v/>
      </c>
    </row>
    <row r="1162" spans="2:7" x14ac:dyDescent="0.3">
      <c r="B1162" t="str">
        <f t="array" ref="B1162">IFERROR(INDEX('Orders Ledger'!$A$2:$A$1501, SMALL(IF(('Orders Ledger'!$J$2:$J$1501="disputed")+('Orders Ledger'!$J$2:$J$1501="PENDING_REVIEW"), ROW('Orders Ledger'!$A$2:$A$1501)-ROW('Orders Ledger'!$A$2)+1), ROW(1104:1104))), "")</f>
        <v/>
      </c>
      <c r="C1162" s="11" t="str">
        <f>IF(B1162="","",_xlfn.XLOOKUP(B1162,'Orders Ledger'!$A:$A,'Orders Ledger'!$B:$B,""))</f>
        <v/>
      </c>
      <c r="D1162" t="str">
        <f>IF(B1162="","",_xlfn.XLOOKUP(B1162,'Orders Ledger'!$A:$A,'Orders Ledger'!$G:$G,""))</f>
        <v/>
      </c>
      <c r="E1162" t="str">
        <f>IF(B1162="","",_xlfn.XLOOKUP(B1162,'Orders Ledger'!$A:$A,'Orders Ledger'!$H:$H,""))</f>
        <v/>
      </c>
      <c r="F1162" t="str">
        <f>IF(B1162="","",_xlfn.XLOOKUP(B1162,'Orders Ledger'!$A:$A,'Orders Ledger'!$F:$F,""))</f>
        <v/>
      </c>
      <c r="G1162" t="str">
        <f>IF(B1162="","",_xlfn.XLOOKUP(B1162,'Orders Ledger'!$A:$A,'Orders Ledger'!$N:$N,0))</f>
        <v/>
      </c>
    </row>
    <row r="1163" spans="2:7" x14ac:dyDescent="0.3">
      <c r="B1163" t="str">
        <f t="array" ref="B1163">IFERROR(INDEX('Orders Ledger'!$A$2:$A$1501, SMALL(IF(('Orders Ledger'!$J$2:$J$1501="disputed")+('Orders Ledger'!$J$2:$J$1501="PENDING_REVIEW"), ROW('Orders Ledger'!$A$2:$A$1501)-ROW('Orders Ledger'!$A$2)+1), ROW(1105:1105))), "")</f>
        <v/>
      </c>
      <c r="C1163" s="11" t="str">
        <f>IF(B1163="","",_xlfn.XLOOKUP(B1163,'Orders Ledger'!$A:$A,'Orders Ledger'!$B:$B,""))</f>
        <v/>
      </c>
      <c r="D1163" t="str">
        <f>IF(B1163="","",_xlfn.XLOOKUP(B1163,'Orders Ledger'!$A:$A,'Orders Ledger'!$G:$G,""))</f>
        <v/>
      </c>
      <c r="E1163" t="str">
        <f>IF(B1163="","",_xlfn.XLOOKUP(B1163,'Orders Ledger'!$A:$A,'Orders Ledger'!$H:$H,""))</f>
        <v/>
      </c>
      <c r="F1163" t="str">
        <f>IF(B1163="","",_xlfn.XLOOKUP(B1163,'Orders Ledger'!$A:$A,'Orders Ledger'!$F:$F,""))</f>
        <v/>
      </c>
      <c r="G1163" t="str">
        <f>IF(B1163="","",_xlfn.XLOOKUP(B1163,'Orders Ledger'!$A:$A,'Orders Ledger'!$N:$N,0))</f>
        <v/>
      </c>
    </row>
    <row r="1164" spans="2:7" x14ac:dyDescent="0.3">
      <c r="B1164" t="str">
        <f t="array" ref="B1164">IFERROR(INDEX('Orders Ledger'!$A$2:$A$1501, SMALL(IF(('Orders Ledger'!$J$2:$J$1501="disputed")+('Orders Ledger'!$J$2:$J$1501="PENDING_REVIEW"), ROW('Orders Ledger'!$A$2:$A$1501)-ROW('Orders Ledger'!$A$2)+1), ROW(1106:1106))), "")</f>
        <v/>
      </c>
      <c r="C1164" s="11" t="str">
        <f>IF(B1164="","",_xlfn.XLOOKUP(B1164,'Orders Ledger'!$A:$A,'Orders Ledger'!$B:$B,""))</f>
        <v/>
      </c>
      <c r="D1164" t="str">
        <f>IF(B1164="","",_xlfn.XLOOKUP(B1164,'Orders Ledger'!$A:$A,'Orders Ledger'!$G:$G,""))</f>
        <v/>
      </c>
      <c r="E1164" t="str">
        <f>IF(B1164="","",_xlfn.XLOOKUP(B1164,'Orders Ledger'!$A:$A,'Orders Ledger'!$H:$H,""))</f>
        <v/>
      </c>
      <c r="F1164" t="str">
        <f>IF(B1164="","",_xlfn.XLOOKUP(B1164,'Orders Ledger'!$A:$A,'Orders Ledger'!$F:$F,""))</f>
        <v/>
      </c>
      <c r="G1164" t="str">
        <f>IF(B1164="","",_xlfn.XLOOKUP(B1164,'Orders Ledger'!$A:$A,'Orders Ledger'!$N:$N,0))</f>
        <v/>
      </c>
    </row>
    <row r="1165" spans="2:7" x14ac:dyDescent="0.3">
      <c r="B1165" t="str">
        <f t="array" ref="B1165">IFERROR(INDEX('Orders Ledger'!$A$2:$A$1501, SMALL(IF(('Orders Ledger'!$J$2:$J$1501="disputed")+('Orders Ledger'!$J$2:$J$1501="PENDING_REVIEW"), ROW('Orders Ledger'!$A$2:$A$1501)-ROW('Orders Ledger'!$A$2)+1), ROW(1107:1107))), "")</f>
        <v/>
      </c>
      <c r="C1165" s="11" t="str">
        <f>IF(B1165="","",_xlfn.XLOOKUP(B1165,'Orders Ledger'!$A:$A,'Orders Ledger'!$B:$B,""))</f>
        <v/>
      </c>
      <c r="D1165" t="str">
        <f>IF(B1165="","",_xlfn.XLOOKUP(B1165,'Orders Ledger'!$A:$A,'Orders Ledger'!$G:$G,""))</f>
        <v/>
      </c>
      <c r="E1165" t="str">
        <f>IF(B1165="","",_xlfn.XLOOKUP(B1165,'Orders Ledger'!$A:$A,'Orders Ledger'!$H:$H,""))</f>
        <v/>
      </c>
      <c r="F1165" t="str">
        <f>IF(B1165="","",_xlfn.XLOOKUP(B1165,'Orders Ledger'!$A:$A,'Orders Ledger'!$F:$F,""))</f>
        <v/>
      </c>
      <c r="G1165" t="str">
        <f>IF(B1165="","",_xlfn.XLOOKUP(B1165,'Orders Ledger'!$A:$A,'Orders Ledger'!$N:$N,0))</f>
        <v/>
      </c>
    </row>
    <row r="1166" spans="2:7" x14ac:dyDescent="0.3">
      <c r="B1166" t="str">
        <f t="array" ref="B1166">IFERROR(INDEX('Orders Ledger'!$A$2:$A$1501, SMALL(IF(('Orders Ledger'!$J$2:$J$1501="disputed")+('Orders Ledger'!$J$2:$J$1501="PENDING_REVIEW"), ROW('Orders Ledger'!$A$2:$A$1501)-ROW('Orders Ledger'!$A$2)+1), ROW(1108:1108))), "")</f>
        <v/>
      </c>
      <c r="C1166" s="11" t="str">
        <f>IF(B1166="","",_xlfn.XLOOKUP(B1166,'Orders Ledger'!$A:$A,'Orders Ledger'!$B:$B,""))</f>
        <v/>
      </c>
      <c r="D1166" t="str">
        <f>IF(B1166="","",_xlfn.XLOOKUP(B1166,'Orders Ledger'!$A:$A,'Orders Ledger'!$G:$G,""))</f>
        <v/>
      </c>
      <c r="E1166" t="str">
        <f>IF(B1166="","",_xlfn.XLOOKUP(B1166,'Orders Ledger'!$A:$A,'Orders Ledger'!$H:$H,""))</f>
        <v/>
      </c>
      <c r="F1166" t="str">
        <f>IF(B1166="","",_xlfn.XLOOKUP(B1166,'Orders Ledger'!$A:$A,'Orders Ledger'!$F:$F,""))</f>
        <v/>
      </c>
      <c r="G1166" t="str">
        <f>IF(B1166="","",_xlfn.XLOOKUP(B1166,'Orders Ledger'!$A:$A,'Orders Ledger'!$N:$N,0))</f>
        <v/>
      </c>
    </row>
    <row r="1167" spans="2:7" x14ac:dyDescent="0.3">
      <c r="B1167" t="str">
        <f t="array" ref="B1167">IFERROR(INDEX('Orders Ledger'!$A$2:$A$1501, SMALL(IF(('Orders Ledger'!$J$2:$J$1501="disputed")+('Orders Ledger'!$J$2:$J$1501="PENDING_REVIEW"), ROW('Orders Ledger'!$A$2:$A$1501)-ROW('Orders Ledger'!$A$2)+1), ROW(1109:1109))), "")</f>
        <v/>
      </c>
      <c r="C1167" s="11" t="str">
        <f>IF(B1167="","",_xlfn.XLOOKUP(B1167,'Orders Ledger'!$A:$A,'Orders Ledger'!$B:$B,""))</f>
        <v/>
      </c>
      <c r="D1167" t="str">
        <f>IF(B1167="","",_xlfn.XLOOKUP(B1167,'Orders Ledger'!$A:$A,'Orders Ledger'!$G:$G,""))</f>
        <v/>
      </c>
      <c r="E1167" t="str">
        <f>IF(B1167="","",_xlfn.XLOOKUP(B1167,'Orders Ledger'!$A:$A,'Orders Ledger'!$H:$H,""))</f>
        <v/>
      </c>
      <c r="F1167" t="str">
        <f>IF(B1167="","",_xlfn.XLOOKUP(B1167,'Orders Ledger'!$A:$A,'Orders Ledger'!$F:$F,""))</f>
        <v/>
      </c>
      <c r="G1167" t="str">
        <f>IF(B1167="","",_xlfn.XLOOKUP(B1167,'Orders Ledger'!$A:$A,'Orders Ledger'!$N:$N,0))</f>
        <v/>
      </c>
    </row>
    <row r="1168" spans="2:7" x14ac:dyDescent="0.3">
      <c r="B1168" t="str">
        <f t="array" ref="B1168">IFERROR(INDEX('Orders Ledger'!$A$2:$A$1501, SMALL(IF(('Orders Ledger'!$J$2:$J$1501="disputed")+('Orders Ledger'!$J$2:$J$1501="PENDING_REVIEW"), ROW('Orders Ledger'!$A$2:$A$1501)-ROW('Orders Ledger'!$A$2)+1), ROW(1110:1110))), "")</f>
        <v/>
      </c>
      <c r="C1168" s="11" t="str">
        <f>IF(B1168="","",_xlfn.XLOOKUP(B1168,'Orders Ledger'!$A:$A,'Orders Ledger'!$B:$B,""))</f>
        <v/>
      </c>
      <c r="D1168" t="str">
        <f>IF(B1168="","",_xlfn.XLOOKUP(B1168,'Orders Ledger'!$A:$A,'Orders Ledger'!$G:$G,""))</f>
        <v/>
      </c>
      <c r="E1168" t="str">
        <f>IF(B1168="","",_xlfn.XLOOKUP(B1168,'Orders Ledger'!$A:$A,'Orders Ledger'!$H:$H,""))</f>
        <v/>
      </c>
      <c r="F1168" t="str">
        <f>IF(B1168="","",_xlfn.XLOOKUP(B1168,'Orders Ledger'!$A:$A,'Orders Ledger'!$F:$F,""))</f>
        <v/>
      </c>
      <c r="G1168" t="str">
        <f>IF(B1168="","",_xlfn.XLOOKUP(B1168,'Orders Ledger'!$A:$A,'Orders Ledger'!$N:$N,0))</f>
        <v/>
      </c>
    </row>
    <row r="1169" spans="2:7" x14ac:dyDescent="0.3">
      <c r="B1169" t="str">
        <f t="array" ref="B1169">IFERROR(INDEX('Orders Ledger'!$A$2:$A$1501, SMALL(IF(('Orders Ledger'!$J$2:$J$1501="disputed")+('Orders Ledger'!$J$2:$J$1501="PENDING_REVIEW"), ROW('Orders Ledger'!$A$2:$A$1501)-ROW('Orders Ledger'!$A$2)+1), ROW(1111:1111))), "")</f>
        <v/>
      </c>
      <c r="C1169" s="11" t="str">
        <f>IF(B1169="","",_xlfn.XLOOKUP(B1169,'Orders Ledger'!$A:$A,'Orders Ledger'!$B:$B,""))</f>
        <v/>
      </c>
      <c r="D1169" t="str">
        <f>IF(B1169="","",_xlfn.XLOOKUP(B1169,'Orders Ledger'!$A:$A,'Orders Ledger'!$G:$G,""))</f>
        <v/>
      </c>
      <c r="E1169" t="str">
        <f>IF(B1169="","",_xlfn.XLOOKUP(B1169,'Orders Ledger'!$A:$A,'Orders Ledger'!$H:$H,""))</f>
        <v/>
      </c>
      <c r="F1169" t="str">
        <f>IF(B1169="","",_xlfn.XLOOKUP(B1169,'Orders Ledger'!$A:$A,'Orders Ledger'!$F:$F,""))</f>
        <v/>
      </c>
      <c r="G1169" t="str">
        <f>IF(B1169="","",_xlfn.XLOOKUP(B1169,'Orders Ledger'!$A:$A,'Orders Ledger'!$N:$N,0))</f>
        <v/>
      </c>
    </row>
    <row r="1170" spans="2:7" x14ac:dyDescent="0.3">
      <c r="B1170" t="str">
        <f t="array" ref="B1170">IFERROR(INDEX('Orders Ledger'!$A$2:$A$1501, SMALL(IF(('Orders Ledger'!$J$2:$J$1501="disputed")+('Orders Ledger'!$J$2:$J$1501="PENDING_REVIEW"), ROW('Orders Ledger'!$A$2:$A$1501)-ROW('Orders Ledger'!$A$2)+1), ROW(1112:1112))), "")</f>
        <v/>
      </c>
      <c r="C1170" s="11" t="str">
        <f>IF(B1170="","",_xlfn.XLOOKUP(B1170,'Orders Ledger'!$A:$A,'Orders Ledger'!$B:$B,""))</f>
        <v/>
      </c>
      <c r="D1170" t="str">
        <f>IF(B1170="","",_xlfn.XLOOKUP(B1170,'Orders Ledger'!$A:$A,'Orders Ledger'!$G:$G,""))</f>
        <v/>
      </c>
      <c r="E1170" t="str">
        <f>IF(B1170="","",_xlfn.XLOOKUP(B1170,'Orders Ledger'!$A:$A,'Orders Ledger'!$H:$H,""))</f>
        <v/>
      </c>
      <c r="F1170" t="str">
        <f>IF(B1170="","",_xlfn.XLOOKUP(B1170,'Orders Ledger'!$A:$A,'Orders Ledger'!$F:$F,""))</f>
        <v/>
      </c>
      <c r="G1170" t="str">
        <f>IF(B1170="","",_xlfn.XLOOKUP(B1170,'Orders Ledger'!$A:$A,'Orders Ledger'!$N:$N,0))</f>
        <v/>
      </c>
    </row>
    <row r="1171" spans="2:7" x14ac:dyDescent="0.3">
      <c r="B1171" t="str">
        <f t="array" ref="B1171">IFERROR(INDEX('Orders Ledger'!$A$2:$A$1501, SMALL(IF(('Orders Ledger'!$J$2:$J$1501="disputed")+('Orders Ledger'!$J$2:$J$1501="PENDING_REVIEW"), ROW('Orders Ledger'!$A$2:$A$1501)-ROW('Orders Ledger'!$A$2)+1), ROW(1113:1113))), "")</f>
        <v/>
      </c>
      <c r="C1171" s="11" t="str">
        <f>IF(B1171="","",_xlfn.XLOOKUP(B1171,'Orders Ledger'!$A:$A,'Orders Ledger'!$B:$B,""))</f>
        <v/>
      </c>
      <c r="D1171" t="str">
        <f>IF(B1171="","",_xlfn.XLOOKUP(B1171,'Orders Ledger'!$A:$A,'Orders Ledger'!$G:$G,""))</f>
        <v/>
      </c>
      <c r="E1171" t="str">
        <f>IF(B1171="","",_xlfn.XLOOKUP(B1171,'Orders Ledger'!$A:$A,'Orders Ledger'!$H:$H,""))</f>
        <v/>
      </c>
      <c r="F1171" t="str">
        <f>IF(B1171="","",_xlfn.XLOOKUP(B1171,'Orders Ledger'!$A:$A,'Orders Ledger'!$F:$F,""))</f>
        <v/>
      </c>
      <c r="G1171" t="str">
        <f>IF(B1171="","",_xlfn.XLOOKUP(B1171,'Orders Ledger'!$A:$A,'Orders Ledger'!$N:$N,0))</f>
        <v/>
      </c>
    </row>
    <row r="1172" spans="2:7" x14ac:dyDescent="0.3">
      <c r="B1172" t="str">
        <f t="array" ref="B1172">IFERROR(INDEX('Orders Ledger'!$A$2:$A$1501, SMALL(IF(('Orders Ledger'!$J$2:$J$1501="disputed")+('Orders Ledger'!$J$2:$J$1501="PENDING_REVIEW"), ROW('Orders Ledger'!$A$2:$A$1501)-ROW('Orders Ledger'!$A$2)+1), ROW(1114:1114))), "")</f>
        <v/>
      </c>
      <c r="C1172" s="11" t="str">
        <f>IF(B1172="","",_xlfn.XLOOKUP(B1172,'Orders Ledger'!$A:$A,'Orders Ledger'!$B:$B,""))</f>
        <v/>
      </c>
      <c r="D1172" t="str">
        <f>IF(B1172="","",_xlfn.XLOOKUP(B1172,'Orders Ledger'!$A:$A,'Orders Ledger'!$G:$G,""))</f>
        <v/>
      </c>
      <c r="E1172" t="str">
        <f>IF(B1172="","",_xlfn.XLOOKUP(B1172,'Orders Ledger'!$A:$A,'Orders Ledger'!$H:$H,""))</f>
        <v/>
      </c>
      <c r="F1172" t="str">
        <f>IF(B1172="","",_xlfn.XLOOKUP(B1172,'Orders Ledger'!$A:$A,'Orders Ledger'!$F:$F,""))</f>
        <v/>
      </c>
      <c r="G1172" t="str">
        <f>IF(B1172="","",_xlfn.XLOOKUP(B1172,'Orders Ledger'!$A:$A,'Orders Ledger'!$N:$N,0))</f>
        <v/>
      </c>
    </row>
    <row r="1173" spans="2:7" x14ac:dyDescent="0.3">
      <c r="B1173" t="str">
        <f t="array" ref="B1173">IFERROR(INDEX('Orders Ledger'!$A$2:$A$1501, SMALL(IF(('Orders Ledger'!$J$2:$J$1501="disputed")+('Orders Ledger'!$J$2:$J$1501="PENDING_REVIEW"), ROW('Orders Ledger'!$A$2:$A$1501)-ROW('Orders Ledger'!$A$2)+1), ROW(1115:1115))), "")</f>
        <v/>
      </c>
      <c r="C1173" s="11" t="str">
        <f>IF(B1173="","",_xlfn.XLOOKUP(B1173,'Orders Ledger'!$A:$A,'Orders Ledger'!$B:$B,""))</f>
        <v/>
      </c>
      <c r="D1173" t="str">
        <f>IF(B1173="","",_xlfn.XLOOKUP(B1173,'Orders Ledger'!$A:$A,'Orders Ledger'!$G:$G,""))</f>
        <v/>
      </c>
      <c r="E1173" t="str">
        <f>IF(B1173="","",_xlfn.XLOOKUP(B1173,'Orders Ledger'!$A:$A,'Orders Ledger'!$H:$H,""))</f>
        <v/>
      </c>
      <c r="F1173" t="str">
        <f>IF(B1173="","",_xlfn.XLOOKUP(B1173,'Orders Ledger'!$A:$A,'Orders Ledger'!$F:$F,""))</f>
        <v/>
      </c>
      <c r="G1173" t="str">
        <f>IF(B1173="","",_xlfn.XLOOKUP(B1173,'Orders Ledger'!$A:$A,'Orders Ledger'!$N:$N,0))</f>
        <v/>
      </c>
    </row>
    <row r="1174" spans="2:7" x14ac:dyDescent="0.3">
      <c r="B1174" t="str">
        <f t="array" ref="B1174">IFERROR(INDEX('Orders Ledger'!$A$2:$A$1501, SMALL(IF(('Orders Ledger'!$J$2:$J$1501="disputed")+('Orders Ledger'!$J$2:$J$1501="PENDING_REVIEW"), ROW('Orders Ledger'!$A$2:$A$1501)-ROW('Orders Ledger'!$A$2)+1), ROW(1116:1116))), "")</f>
        <v/>
      </c>
      <c r="C1174" s="11" t="str">
        <f>IF(B1174="","",_xlfn.XLOOKUP(B1174,'Orders Ledger'!$A:$A,'Orders Ledger'!$B:$B,""))</f>
        <v/>
      </c>
      <c r="D1174" t="str">
        <f>IF(B1174="","",_xlfn.XLOOKUP(B1174,'Orders Ledger'!$A:$A,'Orders Ledger'!$G:$G,""))</f>
        <v/>
      </c>
      <c r="E1174" t="str">
        <f>IF(B1174="","",_xlfn.XLOOKUP(B1174,'Orders Ledger'!$A:$A,'Orders Ledger'!$H:$H,""))</f>
        <v/>
      </c>
      <c r="F1174" t="str">
        <f>IF(B1174="","",_xlfn.XLOOKUP(B1174,'Orders Ledger'!$A:$A,'Orders Ledger'!$F:$F,""))</f>
        <v/>
      </c>
      <c r="G1174" t="str">
        <f>IF(B1174="","",_xlfn.XLOOKUP(B1174,'Orders Ledger'!$A:$A,'Orders Ledger'!$N:$N,0))</f>
        <v/>
      </c>
    </row>
    <row r="1175" spans="2:7" x14ac:dyDescent="0.3">
      <c r="B1175" t="str">
        <f t="array" ref="B1175">IFERROR(INDEX('Orders Ledger'!$A$2:$A$1501, SMALL(IF(('Orders Ledger'!$J$2:$J$1501="disputed")+('Orders Ledger'!$J$2:$J$1501="PENDING_REVIEW"), ROW('Orders Ledger'!$A$2:$A$1501)-ROW('Orders Ledger'!$A$2)+1), ROW(1117:1117))), "")</f>
        <v/>
      </c>
      <c r="C1175" s="11" t="str">
        <f>IF(B1175="","",_xlfn.XLOOKUP(B1175,'Orders Ledger'!$A:$A,'Orders Ledger'!$B:$B,""))</f>
        <v/>
      </c>
      <c r="D1175" t="str">
        <f>IF(B1175="","",_xlfn.XLOOKUP(B1175,'Orders Ledger'!$A:$A,'Orders Ledger'!$G:$G,""))</f>
        <v/>
      </c>
      <c r="E1175" t="str">
        <f>IF(B1175="","",_xlfn.XLOOKUP(B1175,'Orders Ledger'!$A:$A,'Orders Ledger'!$H:$H,""))</f>
        <v/>
      </c>
      <c r="F1175" t="str">
        <f>IF(B1175="","",_xlfn.XLOOKUP(B1175,'Orders Ledger'!$A:$A,'Orders Ledger'!$F:$F,""))</f>
        <v/>
      </c>
      <c r="G1175" t="str">
        <f>IF(B1175="","",_xlfn.XLOOKUP(B1175,'Orders Ledger'!$A:$A,'Orders Ledger'!$N:$N,0))</f>
        <v/>
      </c>
    </row>
    <row r="1176" spans="2:7" x14ac:dyDescent="0.3">
      <c r="B1176" t="str">
        <f t="array" ref="B1176">IFERROR(INDEX('Orders Ledger'!$A$2:$A$1501, SMALL(IF(('Orders Ledger'!$J$2:$J$1501="disputed")+('Orders Ledger'!$J$2:$J$1501="PENDING_REVIEW"), ROW('Orders Ledger'!$A$2:$A$1501)-ROW('Orders Ledger'!$A$2)+1), ROW(1118:1118))), "")</f>
        <v/>
      </c>
      <c r="C1176" s="11" t="str">
        <f>IF(B1176="","",_xlfn.XLOOKUP(B1176,'Orders Ledger'!$A:$A,'Orders Ledger'!$B:$B,""))</f>
        <v/>
      </c>
      <c r="D1176" t="str">
        <f>IF(B1176="","",_xlfn.XLOOKUP(B1176,'Orders Ledger'!$A:$A,'Orders Ledger'!$G:$G,""))</f>
        <v/>
      </c>
      <c r="E1176" t="str">
        <f>IF(B1176="","",_xlfn.XLOOKUP(B1176,'Orders Ledger'!$A:$A,'Orders Ledger'!$H:$H,""))</f>
        <v/>
      </c>
      <c r="F1176" t="str">
        <f>IF(B1176="","",_xlfn.XLOOKUP(B1176,'Orders Ledger'!$A:$A,'Orders Ledger'!$F:$F,""))</f>
        <v/>
      </c>
      <c r="G1176" t="str">
        <f>IF(B1176="","",_xlfn.XLOOKUP(B1176,'Orders Ledger'!$A:$A,'Orders Ledger'!$N:$N,0))</f>
        <v/>
      </c>
    </row>
    <row r="1177" spans="2:7" x14ac:dyDescent="0.3">
      <c r="B1177" t="str">
        <f t="array" ref="B1177">IFERROR(INDEX('Orders Ledger'!$A$2:$A$1501, SMALL(IF(('Orders Ledger'!$J$2:$J$1501="disputed")+('Orders Ledger'!$J$2:$J$1501="PENDING_REVIEW"), ROW('Orders Ledger'!$A$2:$A$1501)-ROW('Orders Ledger'!$A$2)+1), ROW(1119:1119))), "")</f>
        <v/>
      </c>
      <c r="C1177" s="11" t="str">
        <f>IF(B1177="","",_xlfn.XLOOKUP(B1177,'Orders Ledger'!$A:$A,'Orders Ledger'!$B:$B,""))</f>
        <v/>
      </c>
      <c r="D1177" t="str">
        <f>IF(B1177="","",_xlfn.XLOOKUP(B1177,'Orders Ledger'!$A:$A,'Orders Ledger'!$G:$G,""))</f>
        <v/>
      </c>
      <c r="E1177" t="str">
        <f>IF(B1177="","",_xlfn.XLOOKUP(B1177,'Orders Ledger'!$A:$A,'Orders Ledger'!$H:$H,""))</f>
        <v/>
      </c>
      <c r="F1177" t="str">
        <f>IF(B1177="","",_xlfn.XLOOKUP(B1177,'Orders Ledger'!$A:$A,'Orders Ledger'!$F:$F,""))</f>
        <v/>
      </c>
      <c r="G1177" t="str">
        <f>IF(B1177="","",_xlfn.XLOOKUP(B1177,'Orders Ledger'!$A:$A,'Orders Ledger'!$N:$N,0))</f>
        <v/>
      </c>
    </row>
    <row r="1178" spans="2:7" x14ac:dyDescent="0.3">
      <c r="B1178" t="str">
        <f t="array" ref="B1178">IFERROR(INDEX('Orders Ledger'!$A$2:$A$1501, SMALL(IF(('Orders Ledger'!$J$2:$J$1501="disputed")+('Orders Ledger'!$J$2:$J$1501="PENDING_REVIEW"), ROW('Orders Ledger'!$A$2:$A$1501)-ROW('Orders Ledger'!$A$2)+1), ROW(1120:1120))), "")</f>
        <v/>
      </c>
      <c r="C1178" s="11" t="str">
        <f>IF(B1178="","",_xlfn.XLOOKUP(B1178,'Orders Ledger'!$A:$A,'Orders Ledger'!$B:$B,""))</f>
        <v/>
      </c>
      <c r="D1178" t="str">
        <f>IF(B1178="","",_xlfn.XLOOKUP(B1178,'Orders Ledger'!$A:$A,'Orders Ledger'!$G:$G,""))</f>
        <v/>
      </c>
      <c r="E1178" t="str">
        <f>IF(B1178="","",_xlfn.XLOOKUP(B1178,'Orders Ledger'!$A:$A,'Orders Ledger'!$H:$H,""))</f>
        <v/>
      </c>
      <c r="F1178" t="str">
        <f>IF(B1178="","",_xlfn.XLOOKUP(B1178,'Orders Ledger'!$A:$A,'Orders Ledger'!$F:$F,""))</f>
        <v/>
      </c>
      <c r="G1178" t="str">
        <f>IF(B1178="","",_xlfn.XLOOKUP(B1178,'Orders Ledger'!$A:$A,'Orders Ledger'!$N:$N,0))</f>
        <v/>
      </c>
    </row>
    <row r="1179" spans="2:7" x14ac:dyDescent="0.3">
      <c r="B1179" t="str">
        <f t="array" ref="B1179">IFERROR(INDEX('Orders Ledger'!$A$2:$A$1501, SMALL(IF(('Orders Ledger'!$J$2:$J$1501="disputed")+('Orders Ledger'!$J$2:$J$1501="PENDING_REVIEW"), ROW('Orders Ledger'!$A$2:$A$1501)-ROW('Orders Ledger'!$A$2)+1), ROW(1121:1121))), "")</f>
        <v/>
      </c>
      <c r="C1179" s="11" t="str">
        <f>IF(B1179="","",_xlfn.XLOOKUP(B1179,'Orders Ledger'!$A:$A,'Orders Ledger'!$B:$B,""))</f>
        <v/>
      </c>
      <c r="D1179" t="str">
        <f>IF(B1179="","",_xlfn.XLOOKUP(B1179,'Orders Ledger'!$A:$A,'Orders Ledger'!$G:$G,""))</f>
        <v/>
      </c>
      <c r="E1179" t="str">
        <f>IF(B1179="","",_xlfn.XLOOKUP(B1179,'Orders Ledger'!$A:$A,'Orders Ledger'!$H:$H,""))</f>
        <v/>
      </c>
      <c r="F1179" t="str">
        <f>IF(B1179="","",_xlfn.XLOOKUP(B1179,'Orders Ledger'!$A:$A,'Orders Ledger'!$F:$F,""))</f>
        <v/>
      </c>
      <c r="G1179" t="str">
        <f>IF(B1179="","",_xlfn.XLOOKUP(B1179,'Orders Ledger'!$A:$A,'Orders Ledger'!$N:$N,0))</f>
        <v/>
      </c>
    </row>
    <row r="1180" spans="2:7" x14ac:dyDescent="0.3">
      <c r="B1180" t="str">
        <f t="array" ref="B1180">IFERROR(INDEX('Orders Ledger'!$A$2:$A$1501, SMALL(IF(('Orders Ledger'!$J$2:$J$1501="disputed")+('Orders Ledger'!$J$2:$J$1501="PENDING_REVIEW"), ROW('Orders Ledger'!$A$2:$A$1501)-ROW('Orders Ledger'!$A$2)+1), ROW(1122:1122))), "")</f>
        <v/>
      </c>
      <c r="C1180" s="11" t="str">
        <f>IF(B1180="","",_xlfn.XLOOKUP(B1180,'Orders Ledger'!$A:$A,'Orders Ledger'!$B:$B,""))</f>
        <v/>
      </c>
      <c r="D1180" t="str">
        <f>IF(B1180="","",_xlfn.XLOOKUP(B1180,'Orders Ledger'!$A:$A,'Orders Ledger'!$G:$G,""))</f>
        <v/>
      </c>
      <c r="E1180" t="str">
        <f>IF(B1180="","",_xlfn.XLOOKUP(B1180,'Orders Ledger'!$A:$A,'Orders Ledger'!$H:$H,""))</f>
        <v/>
      </c>
      <c r="F1180" t="str">
        <f>IF(B1180="","",_xlfn.XLOOKUP(B1180,'Orders Ledger'!$A:$A,'Orders Ledger'!$F:$F,""))</f>
        <v/>
      </c>
      <c r="G1180" t="str">
        <f>IF(B1180="","",_xlfn.XLOOKUP(B1180,'Orders Ledger'!$A:$A,'Orders Ledger'!$N:$N,0))</f>
        <v/>
      </c>
    </row>
    <row r="1181" spans="2:7" x14ac:dyDescent="0.3">
      <c r="B1181" t="str">
        <f t="array" ref="B1181">IFERROR(INDEX('Orders Ledger'!$A$2:$A$1501, SMALL(IF(('Orders Ledger'!$J$2:$J$1501="disputed")+('Orders Ledger'!$J$2:$J$1501="PENDING_REVIEW"), ROW('Orders Ledger'!$A$2:$A$1501)-ROW('Orders Ledger'!$A$2)+1), ROW(1123:1123))), "")</f>
        <v/>
      </c>
      <c r="C1181" s="11" t="str">
        <f>IF(B1181="","",_xlfn.XLOOKUP(B1181,'Orders Ledger'!$A:$A,'Orders Ledger'!$B:$B,""))</f>
        <v/>
      </c>
      <c r="D1181" t="str">
        <f>IF(B1181="","",_xlfn.XLOOKUP(B1181,'Orders Ledger'!$A:$A,'Orders Ledger'!$G:$G,""))</f>
        <v/>
      </c>
      <c r="E1181" t="str">
        <f>IF(B1181="","",_xlfn.XLOOKUP(B1181,'Orders Ledger'!$A:$A,'Orders Ledger'!$H:$H,""))</f>
        <v/>
      </c>
      <c r="F1181" t="str">
        <f>IF(B1181="","",_xlfn.XLOOKUP(B1181,'Orders Ledger'!$A:$A,'Orders Ledger'!$F:$F,""))</f>
        <v/>
      </c>
      <c r="G1181" t="str">
        <f>IF(B1181="","",_xlfn.XLOOKUP(B1181,'Orders Ledger'!$A:$A,'Orders Ledger'!$N:$N,0))</f>
        <v/>
      </c>
    </row>
    <row r="1182" spans="2:7" x14ac:dyDescent="0.3">
      <c r="B1182" t="str">
        <f t="array" ref="B1182">IFERROR(INDEX('Orders Ledger'!$A$2:$A$1501, SMALL(IF(('Orders Ledger'!$J$2:$J$1501="disputed")+('Orders Ledger'!$J$2:$J$1501="PENDING_REVIEW"), ROW('Orders Ledger'!$A$2:$A$1501)-ROW('Orders Ledger'!$A$2)+1), ROW(1124:1124))), "")</f>
        <v/>
      </c>
      <c r="C1182" s="11" t="str">
        <f>IF(B1182="","",_xlfn.XLOOKUP(B1182,'Orders Ledger'!$A:$A,'Orders Ledger'!$B:$B,""))</f>
        <v/>
      </c>
      <c r="D1182" t="str">
        <f>IF(B1182="","",_xlfn.XLOOKUP(B1182,'Orders Ledger'!$A:$A,'Orders Ledger'!$G:$G,""))</f>
        <v/>
      </c>
      <c r="E1182" t="str">
        <f>IF(B1182="","",_xlfn.XLOOKUP(B1182,'Orders Ledger'!$A:$A,'Orders Ledger'!$H:$H,""))</f>
        <v/>
      </c>
      <c r="F1182" t="str">
        <f>IF(B1182="","",_xlfn.XLOOKUP(B1182,'Orders Ledger'!$A:$A,'Orders Ledger'!$F:$F,""))</f>
        <v/>
      </c>
      <c r="G1182" t="str">
        <f>IF(B1182="","",_xlfn.XLOOKUP(B1182,'Orders Ledger'!$A:$A,'Orders Ledger'!$N:$N,0))</f>
        <v/>
      </c>
    </row>
    <row r="1183" spans="2:7" x14ac:dyDescent="0.3">
      <c r="B1183" t="str">
        <f t="array" ref="B1183">IFERROR(INDEX('Orders Ledger'!$A$2:$A$1501, SMALL(IF(('Orders Ledger'!$J$2:$J$1501="disputed")+('Orders Ledger'!$J$2:$J$1501="PENDING_REVIEW"), ROW('Orders Ledger'!$A$2:$A$1501)-ROW('Orders Ledger'!$A$2)+1), ROW(1125:1125))), "")</f>
        <v/>
      </c>
      <c r="C1183" s="11" t="str">
        <f>IF(B1183="","",_xlfn.XLOOKUP(B1183,'Orders Ledger'!$A:$A,'Orders Ledger'!$B:$B,""))</f>
        <v/>
      </c>
      <c r="D1183" t="str">
        <f>IF(B1183="","",_xlfn.XLOOKUP(B1183,'Orders Ledger'!$A:$A,'Orders Ledger'!$G:$G,""))</f>
        <v/>
      </c>
      <c r="E1183" t="str">
        <f>IF(B1183="","",_xlfn.XLOOKUP(B1183,'Orders Ledger'!$A:$A,'Orders Ledger'!$H:$H,""))</f>
        <v/>
      </c>
      <c r="F1183" t="str">
        <f>IF(B1183="","",_xlfn.XLOOKUP(B1183,'Orders Ledger'!$A:$A,'Orders Ledger'!$F:$F,""))</f>
        <v/>
      </c>
      <c r="G1183" t="str">
        <f>IF(B1183="","",_xlfn.XLOOKUP(B1183,'Orders Ledger'!$A:$A,'Orders Ledger'!$N:$N,0))</f>
        <v/>
      </c>
    </row>
    <row r="1184" spans="2:7" x14ac:dyDescent="0.3">
      <c r="B1184" t="str">
        <f t="array" ref="B1184">IFERROR(INDEX('Orders Ledger'!$A$2:$A$1501, SMALL(IF(('Orders Ledger'!$J$2:$J$1501="disputed")+('Orders Ledger'!$J$2:$J$1501="PENDING_REVIEW"), ROW('Orders Ledger'!$A$2:$A$1501)-ROW('Orders Ledger'!$A$2)+1), ROW(1126:1126))), "")</f>
        <v/>
      </c>
      <c r="C1184" s="11" t="str">
        <f>IF(B1184="","",_xlfn.XLOOKUP(B1184,'Orders Ledger'!$A:$A,'Orders Ledger'!$B:$B,""))</f>
        <v/>
      </c>
      <c r="D1184" t="str">
        <f>IF(B1184="","",_xlfn.XLOOKUP(B1184,'Orders Ledger'!$A:$A,'Orders Ledger'!$G:$G,""))</f>
        <v/>
      </c>
      <c r="E1184" t="str">
        <f>IF(B1184="","",_xlfn.XLOOKUP(B1184,'Orders Ledger'!$A:$A,'Orders Ledger'!$H:$H,""))</f>
        <v/>
      </c>
      <c r="F1184" t="str">
        <f>IF(B1184="","",_xlfn.XLOOKUP(B1184,'Orders Ledger'!$A:$A,'Orders Ledger'!$F:$F,""))</f>
        <v/>
      </c>
      <c r="G1184" t="str">
        <f>IF(B1184="","",_xlfn.XLOOKUP(B1184,'Orders Ledger'!$A:$A,'Orders Ledger'!$N:$N,0))</f>
        <v/>
      </c>
    </row>
    <row r="1185" spans="2:7" x14ac:dyDescent="0.3">
      <c r="B1185" t="str">
        <f t="array" ref="B1185">IFERROR(INDEX('Orders Ledger'!$A$2:$A$1501, SMALL(IF(('Orders Ledger'!$J$2:$J$1501="disputed")+('Orders Ledger'!$J$2:$J$1501="PENDING_REVIEW"), ROW('Orders Ledger'!$A$2:$A$1501)-ROW('Orders Ledger'!$A$2)+1), ROW(1127:1127))), "")</f>
        <v/>
      </c>
      <c r="C1185" s="11" t="str">
        <f>IF(B1185="","",_xlfn.XLOOKUP(B1185,'Orders Ledger'!$A:$A,'Orders Ledger'!$B:$B,""))</f>
        <v/>
      </c>
      <c r="D1185" t="str">
        <f>IF(B1185="","",_xlfn.XLOOKUP(B1185,'Orders Ledger'!$A:$A,'Orders Ledger'!$G:$G,""))</f>
        <v/>
      </c>
      <c r="E1185" t="str">
        <f>IF(B1185="","",_xlfn.XLOOKUP(B1185,'Orders Ledger'!$A:$A,'Orders Ledger'!$H:$H,""))</f>
        <v/>
      </c>
      <c r="F1185" t="str">
        <f>IF(B1185="","",_xlfn.XLOOKUP(B1185,'Orders Ledger'!$A:$A,'Orders Ledger'!$F:$F,""))</f>
        <v/>
      </c>
      <c r="G1185" t="str">
        <f>IF(B1185="","",_xlfn.XLOOKUP(B1185,'Orders Ledger'!$A:$A,'Orders Ledger'!$N:$N,0))</f>
        <v/>
      </c>
    </row>
    <row r="1186" spans="2:7" x14ac:dyDescent="0.3">
      <c r="B1186" t="str">
        <f t="array" ref="B1186">IFERROR(INDEX('Orders Ledger'!$A$2:$A$1501, SMALL(IF(('Orders Ledger'!$J$2:$J$1501="disputed")+('Orders Ledger'!$J$2:$J$1501="PENDING_REVIEW"), ROW('Orders Ledger'!$A$2:$A$1501)-ROW('Orders Ledger'!$A$2)+1), ROW(1128:1128))), "")</f>
        <v/>
      </c>
      <c r="C1186" s="11" t="str">
        <f>IF(B1186="","",_xlfn.XLOOKUP(B1186,'Orders Ledger'!$A:$A,'Orders Ledger'!$B:$B,""))</f>
        <v/>
      </c>
      <c r="D1186" t="str">
        <f>IF(B1186="","",_xlfn.XLOOKUP(B1186,'Orders Ledger'!$A:$A,'Orders Ledger'!$G:$G,""))</f>
        <v/>
      </c>
      <c r="E1186" t="str">
        <f>IF(B1186="","",_xlfn.XLOOKUP(B1186,'Orders Ledger'!$A:$A,'Orders Ledger'!$H:$H,""))</f>
        <v/>
      </c>
      <c r="F1186" t="str">
        <f>IF(B1186="","",_xlfn.XLOOKUP(B1186,'Orders Ledger'!$A:$A,'Orders Ledger'!$F:$F,""))</f>
        <v/>
      </c>
      <c r="G1186" t="str">
        <f>IF(B1186="","",_xlfn.XLOOKUP(B1186,'Orders Ledger'!$A:$A,'Orders Ledger'!$N:$N,0))</f>
        <v/>
      </c>
    </row>
    <row r="1187" spans="2:7" x14ac:dyDescent="0.3">
      <c r="B1187" t="str">
        <f t="array" ref="B1187">IFERROR(INDEX('Orders Ledger'!$A$2:$A$1501, SMALL(IF(('Orders Ledger'!$J$2:$J$1501="disputed")+('Orders Ledger'!$J$2:$J$1501="PENDING_REVIEW"), ROW('Orders Ledger'!$A$2:$A$1501)-ROW('Orders Ledger'!$A$2)+1), ROW(1129:1129))), "")</f>
        <v/>
      </c>
      <c r="C1187" s="11" t="str">
        <f>IF(B1187="","",_xlfn.XLOOKUP(B1187,'Orders Ledger'!$A:$A,'Orders Ledger'!$B:$B,""))</f>
        <v/>
      </c>
      <c r="D1187" t="str">
        <f>IF(B1187="","",_xlfn.XLOOKUP(B1187,'Orders Ledger'!$A:$A,'Orders Ledger'!$G:$G,""))</f>
        <v/>
      </c>
      <c r="E1187" t="str">
        <f>IF(B1187="","",_xlfn.XLOOKUP(B1187,'Orders Ledger'!$A:$A,'Orders Ledger'!$H:$H,""))</f>
        <v/>
      </c>
      <c r="F1187" t="str">
        <f>IF(B1187="","",_xlfn.XLOOKUP(B1187,'Orders Ledger'!$A:$A,'Orders Ledger'!$F:$F,""))</f>
        <v/>
      </c>
      <c r="G1187" t="str">
        <f>IF(B1187="","",_xlfn.XLOOKUP(B1187,'Orders Ledger'!$A:$A,'Orders Ledger'!$N:$N,0))</f>
        <v/>
      </c>
    </row>
    <row r="1188" spans="2:7" x14ac:dyDescent="0.3">
      <c r="B1188" t="str">
        <f t="array" ref="B1188">IFERROR(INDEX('Orders Ledger'!$A$2:$A$1501, SMALL(IF(('Orders Ledger'!$J$2:$J$1501="disputed")+('Orders Ledger'!$J$2:$J$1501="PENDING_REVIEW"), ROW('Orders Ledger'!$A$2:$A$1501)-ROW('Orders Ledger'!$A$2)+1), ROW(1130:1130))), "")</f>
        <v/>
      </c>
      <c r="C1188" s="11" t="str">
        <f>IF(B1188="","",_xlfn.XLOOKUP(B1188,'Orders Ledger'!$A:$A,'Orders Ledger'!$B:$B,""))</f>
        <v/>
      </c>
      <c r="D1188" t="str">
        <f>IF(B1188="","",_xlfn.XLOOKUP(B1188,'Orders Ledger'!$A:$A,'Orders Ledger'!$G:$G,""))</f>
        <v/>
      </c>
      <c r="E1188" t="str">
        <f>IF(B1188="","",_xlfn.XLOOKUP(B1188,'Orders Ledger'!$A:$A,'Orders Ledger'!$H:$H,""))</f>
        <v/>
      </c>
      <c r="F1188" t="str">
        <f>IF(B1188="","",_xlfn.XLOOKUP(B1188,'Orders Ledger'!$A:$A,'Orders Ledger'!$F:$F,""))</f>
        <v/>
      </c>
      <c r="G1188" t="str">
        <f>IF(B1188="","",_xlfn.XLOOKUP(B1188,'Orders Ledger'!$A:$A,'Orders Ledger'!$N:$N,0))</f>
        <v/>
      </c>
    </row>
    <row r="1189" spans="2:7" x14ac:dyDescent="0.3">
      <c r="B1189" t="str">
        <f t="array" ref="B1189">IFERROR(INDEX('Orders Ledger'!$A$2:$A$1501, SMALL(IF(('Orders Ledger'!$J$2:$J$1501="disputed")+('Orders Ledger'!$J$2:$J$1501="PENDING_REVIEW"), ROW('Orders Ledger'!$A$2:$A$1501)-ROW('Orders Ledger'!$A$2)+1), ROW(1131:1131))), "")</f>
        <v/>
      </c>
      <c r="C1189" s="11" t="str">
        <f>IF(B1189="","",_xlfn.XLOOKUP(B1189,'Orders Ledger'!$A:$A,'Orders Ledger'!$B:$B,""))</f>
        <v/>
      </c>
      <c r="D1189" t="str">
        <f>IF(B1189="","",_xlfn.XLOOKUP(B1189,'Orders Ledger'!$A:$A,'Orders Ledger'!$G:$G,""))</f>
        <v/>
      </c>
      <c r="E1189" t="str">
        <f>IF(B1189="","",_xlfn.XLOOKUP(B1189,'Orders Ledger'!$A:$A,'Orders Ledger'!$H:$H,""))</f>
        <v/>
      </c>
      <c r="F1189" t="str">
        <f>IF(B1189="","",_xlfn.XLOOKUP(B1189,'Orders Ledger'!$A:$A,'Orders Ledger'!$F:$F,""))</f>
        <v/>
      </c>
      <c r="G1189" t="str">
        <f>IF(B1189="","",_xlfn.XLOOKUP(B1189,'Orders Ledger'!$A:$A,'Orders Ledger'!$N:$N,0))</f>
        <v/>
      </c>
    </row>
    <row r="1190" spans="2:7" x14ac:dyDescent="0.3">
      <c r="B1190" t="str">
        <f t="array" ref="B1190">IFERROR(INDEX('Orders Ledger'!$A$2:$A$1501, SMALL(IF(('Orders Ledger'!$J$2:$J$1501="disputed")+('Orders Ledger'!$J$2:$J$1501="PENDING_REVIEW"), ROW('Orders Ledger'!$A$2:$A$1501)-ROW('Orders Ledger'!$A$2)+1), ROW(1132:1132))), "")</f>
        <v/>
      </c>
      <c r="C1190" s="11" t="str">
        <f>IF(B1190="","",_xlfn.XLOOKUP(B1190,'Orders Ledger'!$A:$A,'Orders Ledger'!$B:$B,""))</f>
        <v/>
      </c>
      <c r="D1190" t="str">
        <f>IF(B1190="","",_xlfn.XLOOKUP(B1190,'Orders Ledger'!$A:$A,'Orders Ledger'!$G:$G,""))</f>
        <v/>
      </c>
      <c r="E1190" t="str">
        <f>IF(B1190="","",_xlfn.XLOOKUP(B1190,'Orders Ledger'!$A:$A,'Orders Ledger'!$H:$H,""))</f>
        <v/>
      </c>
      <c r="F1190" t="str">
        <f>IF(B1190="","",_xlfn.XLOOKUP(B1190,'Orders Ledger'!$A:$A,'Orders Ledger'!$F:$F,""))</f>
        <v/>
      </c>
      <c r="G1190" t="str">
        <f>IF(B1190="","",_xlfn.XLOOKUP(B1190,'Orders Ledger'!$A:$A,'Orders Ledger'!$N:$N,0))</f>
        <v/>
      </c>
    </row>
    <row r="1191" spans="2:7" x14ac:dyDescent="0.3">
      <c r="B1191" t="str">
        <f t="array" ref="B1191">IFERROR(INDEX('Orders Ledger'!$A$2:$A$1501, SMALL(IF(('Orders Ledger'!$J$2:$J$1501="disputed")+('Orders Ledger'!$J$2:$J$1501="PENDING_REVIEW"), ROW('Orders Ledger'!$A$2:$A$1501)-ROW('Orders Ledger'!$A$2)+1), ROW(1133:1133))), "")</f>
        <v/>
      </c>
      <c r="C1191" s="11" t="str">
        <f>IF(B1191="","",_xlfn.XLOOKUP(B1191,'Orders Ledger'!$A:$A,'Orders Ledger'!$B:$B,""))</f>
        <v/>
      </c>
      <c r="D1191" t="str">
        <f>IF(B1191="","",_xlfn.XLOOKUP(B1191,'Orders Ledger'!$A:$A,'Orders Ledger'!$G:$G,""))</f>
        <v/>
      </c>
      <c r="E1191" t="str">
        <f>IF(B1191="","",_xlfn.XLOOKUP(B1191,'Orders Ledger'!$A:$A,'Orders Ledger'!$H:$H,""))</f>
        <v/>
      </c>
      <c r="F1191" t="str">
        <f>IF(B1191="","",_xlfn.XLOOKUP(B1191,'Orders Ledger'!$A:$A,'Orders Ledger'!$F:$F,""))</f>
        <v/>
      </c>
      <c r="G1191" t="str">
        <f>IF(B1191="","",_xlfn.XLOOKUP(B1191,'Orders Ledger'!$A:$A,'Orders Ledger'!$N:$N,0))</f>
        <v/>
      </c>
    </row>
    <row r="1192" spans="2:7" x14ac:dyDescent="0.3">
      <c r="B1192" t="str">
        <f t="array" ref="B1192">IFERROR(INDEX('Orders Ledger'!$A$2:$A$1501, SMALL(IF(('Orders Ledger'!$J$2:$J$1501="disputed")+('Orders Ledger'!$J$2:$J$1501="PENDING_REVIEW"), ROW('Orders Ledger'!$A$2:$A$1501)-ROW('Orders Ledger'!$A$2)+1), ROW(1134:1134))), "")</f>
        <v/>
      </c>
      <c r="C1192" s="11" t="str">
        <f>IF(B1192="","",_xlfn.XLOOKUP(B1192,'Orders Ledger'!$A:$A,'Orders Ledger'!$B:$B,""))</f>
        <v/>
      </c>
      <c r="D1192" t="str">
        <f>IF(B1192="","",_xlfn.XLOOKUP(B1192,'Orders Ledger'!$A:$A,'Orders Ledger'!$G:$G,""))</f>
        <v/>
      </c>
      <c r="E1192" t="str">
        <f>IF(B1192="","",_xlfn.XLOOKUP(B1192,'Orders Ledger'!$A:$A,'Orders Ledger'!$H:$H,""))</f>
        <v/>
      </c>
      <c r="F1192" t="str">
        <f>IF(B1192="","",_xlfn.XLOOKUP(B1192,'Orders Ledger'!$A:$A,'Orders Ledger'!$F:$F,""))</f>
        <v/>
      </c>
      <c r="G1192" t="str">
        <f>IF(B1192="","",_xlfn.XLOOKUP(B1192,'Orders Ledger'!$A:$A,'Orders Ledger'!$N:$N,0))</f>
        <v/>
      </c>
    </row>
    <row r="1193" spans="2:7" x14ac:dyDescent="0.3">
      <c r="B1193" t="str">
        <f t="array" ref="B1193">IFERROR(INDEX('Orders Ledger'!$A$2:$A$1501, SMALL(IF(('Orders Ledger'!$J$2:$J$1501="disputed")+('Orders Ledger'!$J$2:$J$1501="PENDING_REVIEW"), ROW('Orders Ledger'!$A$2:$A$1501)-ROW('Orders Ledger'!$A$2)+1), ROW(1135:1135))), "")</f>
        <v/>
      </c>
      <c r="C1193" s="11" t="str">
        <f>IF(B1193="","",_xlfn.XLOOKUP(B1193,'Orders Ledger'!$A:$A,'Orders Ledger'!$B:$B,""))</f>
        <v/>
      </c>
      <c r="D1193" t="str">
        <f>IF(B1193="","",_xlfn.XLOOKUP(B1193,'Orders Ledger'!$A:$A,'Orders Ledger'!$G:$G,""))</f>
        <v/>
      </c>
      <c r="E1193" t="str">
        <f>IF(B1193="","",_xlfn.XLOOKUP(B1193,'Orders Ledger'!$A:$A,'Orders Ledger'!$H:$H,""))</f>
        <v/>
      </c>
      <c r="F1193" t="str">
        <f>IF(B1193="","",_xlfn.XLOOKUP(B1193,'Orders Ledger'!$A:$A,'Orders Ledger'!$F:$F,""))</f>
        <v/>
      </c>
      <c r="G1193" t="str">
        <f>IF(B1193="","",_xlfn.XLOOKUP(B1193,'Orders Ledger'!$A:$A,'Orders Ledger'!$N:$N,0))</f>
        <v/>
      </c>
    </row>
    <row r="1194" spans="2:7" x14ac:dyDescent="0.3">
      <c r="B1194" t="str">
        <f t="array" ref="B1194">IFERROR(INDEX('Orders Ledger'!$A$2:$A$1501, SMALL(IF(('Orders Ledger'!$J$2:$J$1501="disputed")+('Orders Ledger'!$J$2:$J$1501="PENDING_REVIEW"), ROW('Orders Ledger'!$A$2:$A$1501)-ROW('Orders Ledger'!$A$2)+1), ROW(1136:1136))), "")</f>
        <v/>
      </c>
      <c r="C1194" s="11" t="str">
        <f>IF(B1194="","",_xlfn.XLOOKUP(B1194,'Orders Ledger'!$A:$A,'Orders Ledger'!$B:$B,""))</f>
        <v/>
      </c>
      <c r="D1194" t="str">
        <f>IF(B1194="","",_xlfn.XLOOKUP(B1194,'Orders Ledger'!$A:$A,'Orders Ledger'!$G:$G,""))</f>
        <v/>
      </c>
      <c r="E1194" t="str">
        <f>IF(B1194="","",_xlfn.XLOOKUP(B1194,'Orders Ledger'!$A:$A,'Orders Ledger'!$H:$H,""))</f>
        <v/>
      </c>
      <c r="F1194" t="str">
        <f>IF(B1194="","",_xlfn.XLOOKUP(B1194,'Orders Ledger'!$A:$A,'Orders Ledger'!$F:$F,""))</f>
        <v/>
      </c>
      <c r="G1194" t="str">
        <f>IF(B1194="","",_xlfn.XLOOKUP(B1194,'Orders Ledger'!$A:$A,'Orders Ledger'!$N:$N,0))</f>
        <v/>
      </c>
    </row>
    <row r="1195" spans="2:7" x14ac:dyDescent="0.3">
      <c r="B1195" t="str">
        <f t="array" ref="B1195">IFERROR(INDEX('Orders Ledger'!$A$2:$A$1501, SMALL(IF(('Orders Ledger'!$J$2:$J$1501="disputed")+('Orders Ledger'!$J$2:$J$1501="PENDING_REVIEW"), ROW('Orders Ledger'!$A$2:$A$1501)-ROW('Orders Ledger'!$A$2)+1), ROW(1137:1137))), "")</f>
        <v/>
      </c>
      <c r="C1195" s="11" t="str">
        <f>IF(B1195="","",_xlfn.XLOOKUP(B1195,'Orders Ledger'!$A:$A,'Orders Ledger'!$B:$B,""))</f>
        <v/>
      </c>
      <c r="D1195" t="str">
        <f>IF(B1195="","",_xlfn.XLOOKUP(B1195,'Orders Ledger'!$A:$A,'Orders Ledger'!$G:$G,""))</f>
        <v/>
      </c>
      <c r="E1195" t="str">
        <f>IF(B1195="","",_xlfn.XLOOKUP(B1195,'Orders Ledger'!$A:$A,'Orders Ledger'!$H:$H,""))</f>
        <v/>
      </c>
      <c r="F1195" t="str">
        <f>IF(B1195="","",_xlfn.XLOOKUP(B1195,'Orders Ledger'!$A:$A,'Orders Ledger'!$F:$F,""))</f>
        <v/>
      </c>
      <c r="G1195" t="str">
        <f>IF(B1195="","",_xlfn.XLOOKUP(B1195,'Orders Ledger'!$A:$A,'Orders Ledger'!$N:$N,0))</f>
        <v/>
      </c>
    </row>
    <row r="1196" spans="2:7" x14ac:dyDescent="0.3">
      <c r="B1196" t="str">
        <f t="array" ref="B1196">IFERROR(INDEX('Orders Ledger'!$A$2:$A$1501, SMALL(IF(('Orders Ledger'!$J$2:$J$1501="disputed")+('Orders Ledger'!$J$2:$J$1501="PENDING_REVIEW"), ROW('Orders Ledger'!$A$2:$A$1501)-ROW('Orders Ledger'!$A$2)+1), ROW(1138:1138))), "")</f>
        <v/>
      </c>
      <c r="C1196" s="11" t="str">
        <f>IF(B1196="","",_xlfn.XLOOKUP(B1196,'Orders Ledger'!$A:$A,'Orders Ledger'!$B:$B,""))</f>
        <v/>
      </c>
      <c r="D1196" t="str">
        <f>IF(B1196="","",_xlfn.XLOOKUP(B1196,'Orders Ledger'!$A:$A,'Orders Ledger'!$G:$G,""))</f>
        <v/>
      </c>
      <c r="E1196" t="str">
        <f>IF(B1196="","",_xlfn.XLOOKUP(B1196,'Orders Ledger'!$A:$A,'Orders Ledger'!$H:$H,""))</f>
        <v/>
      </c>
      <c r="F1196" t="str">
        <f>IF(B1196="","",_xlfn.XLOOKUP(B1196,'Orders Ledger'!$A:$A,'Orders Ledger'!$F:$F,""))</f>
        <v/>
      </c>
      <c r="G1196" t="str">
        <f>IF(B1196="","",_xlfn.XLOOKUP(B1196,'Orders Ledger'!$A:$A,'Orders Ledger'!$N:$N,0))</f>
        <v/>
      </c>
    </row>
    <row r="1197" spans="2:7" x14ac:dyDescent="0.3">
      <c r="B1197" t="str">
        <f t="array" ref="B1197">IFERROR(INDEX('Orders Ledger'!$A$2:$A$1501, SMALL(IF(('Orders Ledger'!$J$2:$J$1501="disputed")+('Orders Ledger'!$J$2:$J$1501="PENDING_REVIEW"), ROW('Orders Ledger'!$A$2:$A$1501)-ROW('Orders Ledger'!$A$2)+1), ROW(1139:1139))), "")</f>
        <v/>
      </c>
      <c r="C1197" s="11" t="str">
        <f>IF(B1197="","",_xlfn.XLOOKUP(B1197,'Orders Ledger'!$A:$A,'Orders Ledger'!$B:$B,""))</f>
        <v/>
      </c>
      <c r="D1197" t="str">
        <f>IF(B1197="","",_xlfn.XLOOKUP(B1197,'Orders Ledger'!$A:$A,'Orders Ledger'!$G:$G,""))</f>
        <v/>
      </c>
      <c r="E1197" t="str">
        <f>IF(B1197="","",_xlfn.XLOOKUP(B1197,'Orders Ledger'!$A:$A,'Orders Ledger'!$H:$H,""))</f>
        <v/>
      </c>
      <c r="F1197" t="str">
        <f>IF(B1197="","",_xlfn.XLOOKUP(B1197,'Orders Ledger'!$A:$A,'Orders Ledger'!$F:$F,""))</f>
        <v/>
      </c>
      <c r="G1197" t="str">
        <f>IF(B1197="","",_xlfn.XLOOKUP(B1197,'Orders Ledger'!$A:$A,'Orders Ledger'!$N:$N,0))</f>
        <v/>
      </c>
    </row>
    <row r="1198" spans="2:7" x14ac:dyDescent="0.3">
      <c r="B1198" t="str">
        <f t="array" ref="B1198">IFERROR(INDEX('Orders Ledger'!$A$2:$A$1501, SMALL(IF(('Orders Ledger'!$J$2:$J$1501="disputed")+('Orders Ledger'!$J$2:$J$1501="PENDING_REVIEW"), ROW('Orders Ledger'!$A$2:$A$1501)-ROW('Orders Ledger'!$A$2)+1), ROW(1140:1140))), "")</f>
        <v/>
      </c>
      <c r="C1198" s="11" t="str">
        <f>IF(B1198="","",_xlfn.XLOOKUP(B1198,'Orders Ledger'!$A:$A,'Orders Ledger'!$B:$B,""))</f>
        <v/>
      </c>
      <c r="D1198" t="str">
        <f>IF(B1198="","",_xlfn.XLOOKUP(B1198,'Orders Ledger'!$A:$A,'Orders Ledger'!$G:$G,""))</f>
        <v/>
      </c>
      <c r="E1198" t="str">
        <f>IF(B1198="","",_xlfn.XLOOKUP(B1198,'Orders Ledger'!$A:$A,'Orders Ledger'!$H:$H,""))</f>
        <v/>
      </c>
      <c r="F1198" t="str">
        <f>IF(B1198="","",_xlfn.XLOOKUP(B1198,'Orders Ledger'!$A:$A,'Orders Ledger'!$F:$F,""))</f>
        <v/>
      </c>
      <c r="G1198" t="str">
        <f>IF(B1198="","",_xlfn.XLOOKUP(B1198,'Orders Ledger'!$A:$A,'Orders Ledger'!$N:$N,0))</f>
        <v/>
      </c>
    </row>
    <row r="1199" spans="2:7" x14ac:dyDescent="0.3">
      <c r="B1199" t="str">
        <f t="array" ref="B1199">IFERROR(INDEX('Orders Ledger'!$A$2:$A$1501, SMALL(IF(('Orders Ledger'!$J$2:$J$1501="disputed")+('Orders Ledger'!$J$2:$J$1501="PENDING_REVIEW"), ROW('Orders Ledger'!$A$2:$A$1501)-ROW('Orders Ledger'!$A$2)+1), ROW(1141:1141))), "")</f>
        <v/>
      </c>
      <c r="C1199" s="11" t="str">
        <f>IF(B1199="","",_xlfn.XLOOKUP(B1199,'Orders Ledger'!$A:$A,'Orders Ledger'!$B:$B,""))</f>
        <v/>
      </c>
      <c r="D1199" t="str">
        <f>IF(B1199="","",_xlfn.XLOOKUP(B1199,'Orders Ledger'!$A:$A,'Orders Ledger'!$G:$G,""))</f>
        <v/>
      </c>
      <c r="E1199" t="str">
        <f>IF(B1199="","",_xlfn.XLOOKUP(B1199,'Orders Ledger'!$A:$A,'Orders Ledger'!$H:$H,""))</f>
        <v/>
      </c>
      <c r="F1199" t="str">
        <f>IF(B1199="","",_xlfn.XLOOKUP(B1199,'Orders Ledger'!$A:$A,'Orders Ledger'!$F:$F,""))</f>
        <v/>
      </c>
      <c r="G1199" t="str">
        <f>IF(B1199="","",_xlfn.XLOOKUP(B1199,'Orders Ledger'!$A:$A,'Orders Ledger'!$N:$N,0))</f>
        <v/>
      </c>
    </row>
    <row r="1200" spans="2:7" x14ac:dyDescent="0.3">
      <c r="B1200" t="str">
        <f t="array" ref="B1200">IFERROR(INDEX('Orders Ledger'!$A$2:$A$1501, SMALL(IF(('Orders Ledger'!$J$2:$J$1501="disputed")+('Orders Ledger'!$J$2:$J$1501="PENDING_REVIEW"), ROW('Orders Ledger'!$A$2:$A$1501)-ROW('Orders Ledger'!$A$2)+1), ROW(1142:1142))), "")</f>
        <v/>
      </c>
      <c r="C1200" s="11" t="str">
        <f>IF(B1200="","",_xlfn.XLOOKUP(B1200,'Orders Ledger'!$A:$A,'Orders Ledger'!$B:$B,""))</f>
        <v/>
      </c>
      <c r="D1200" t="str">
        <f>IF(B1200="","",_xlfn.XLOOKUP(B1200,'Orders Ledger'!$A:$A,'Orders Ledger'!$G:$G,""))</f>
        <v/>
      </c>
      <c r="E1200" t="str">
        <f>IF(B1200="","",_xlfn.XLOOKUP(B1200,'Orders Ledger'!$A:$A,'Orders Ledger'!$H:$H,""))</f>
        <v/>
      </c>
      <c r="F1200" t="str">
        <f>IF(B1200="","",_xlfn.XLOOKUP(B1200,'Orders Ledger'!$A:$A,'Orders Ledger'!$F:$F,""))</f>
        <v/>
      </c>
      <c r="G1200" t="str">
        <f>IF(B1200="","",_xlfn.XLOOKUP(B1200,'Orders Ledger'!$A:$A,'Orders Ledger'!$N:$N,0))</f>
        <v/>
      </c>
    </row>
    <row r="1201" spans="2:7" x14ac:dyDescent="0.3">
      <c r="B1201" t="str">
        <f t="array" ref="B1201">IFERROR(INDEX('Orders Ledger'!$A$2:$A$1501, SMALL(IF(('Orders Ledger'!$J$2:$J$1501="disputed")+('Orders Ledger'!$J$2:$J$1501="PENDING_REVIEW"), ROW('Orders Ledger'!$A$2:$A$1501)-ROW('Orders Ledger'!$A$2)+1), ROW(1143:1143))), "")</f>
        <v/>
      </c>
      <c r="C1201" s="11" t="str">
        <f>IF(B1201="","",_xlfn.XLOOKUP(B1201,'Orders Ledger'!$A:$A,'Orders Ledger'!$B:$B,""))</f>
        <v/>
      </c>
      <c r="D1201" t="str">
        <f>IF(B1201="","",_xlfn.XLOOKUP(B1201,'Orders Ledger'!$A:$A,'Orders Ledger'!$G:$G,""))</f>
        <v/>
      </c>
      <c r="E1201" t="str">
        <f>IF(B1201="","",_xlfn.XLOOKUP(B1201,'Orders Ledger'!$A:$A,'Orders Ledger'!$H:$H,""))</f>
        <v/>
      </c>
      <c r="F1201" t="str">
        <f>IF(B1201="","",_xlfn.XLOOKUP(B1201,'Orders Ledger'!$A:$A,'Orders Ledger'!$F:$F,""))</f>
        <v/>
      </c>
      <c r="G1201" t="str">
        <f>IF(B1201="","",_xlfn.XLOOKUP(B1201,'Orders Ledger'!$A:$A,'Orders Ledger'!$N:$N,0))</f>
        <v/>
      </c>
    </row>
    <row r="1202" spans="2:7" x14ac:dyDescent="0.3">
      <c r="B1202" t="str">
        <f t="array" ref="B1202">IFERROR(INDEX('Orders Ledger'!$A$2:$A$1501, SMALL(IF(('Orders Ledger'!$J$2:$J$1501="disputed")+('Orders Ledger'!$J$2:$J$1501="PENDING_REVIEW"), ROW('Orders Ledger'!$A$2:$A$1501)-ROW('Orders Ledger'!$A$2)+1), ROW(1144:1144))), "")</f>
        <v/>
      </c>
      <c r="C1202" s="11" t="str">
        <f>IF(B1202="","",_xlfn.XLOOKUP(B1202,'Orders Ledger'!$A:$A,'Orders Ledger'!$B:$B,""))</f>
        <v/>
      </c>
      <c r="D1202" t="str">
        <f>IF(B1202="","",_xlfn.XLOOKUP(B1202,'Orders Ledger'!$A:$A,'Orders Ledger'!$G:$G,""))</f>
        <v/>
      </c>
      <c r="E1202" t="str">
        <f>IF(B1202="","",_xlfn.XLOOKUP(B1202,'Orders Ledger'!$A:$A,'Orders Ledger'!$H:$H,""))</f>
        <v/>
      </c>
      <c r="F1202" t="str">
        <f>IF(B1202="","",_xlfn.XLOOKUP(B1202,'Orders Ledger'!$A:$A,'Orders Ledger'!$F:$F,""))</f>
        <v/>
      </c>
      <c r="G1202" t="str">
        <f>IF(B1202="","",_xlfn.XLOOKUP(B1202,'Orders Ledger'!$A:$A,'Orders Ledger'!$N:$N,0))</f>
        <v/>
      </c>
    </row>
    <row r="1203" spans="2:7" x14ac:dyDescent="0.3">
      <c r="B1203" t="str">
        <f t="array" ref="B1203">IFERROR(INDEX('Orders Ledger'!$A$2:$A$1501, SMALL(IF(('Orders Ledger'!$J$2:$J$1501="disputed")+('Orders Ledger'!$J$2:$J$1501="PENDING_REVIEW"), ROW('Orders Ledger'!$A$2:$A$1501)-ROW('Orders Ledger'!$A$2)+1), ROW(1145:1145))), "")</f>
        <v/>
      </c>
      <c r="C1203" s="11" t="str">
        <f>IF(B1203="","",_xlfn.XLOOKUP(B1203,'Orders Ledger'!$A:$A,'Orders Ledger'!$B:$B,""))</f>
        <v/>
      </c>
      <c r="D1203" t="str">
        <f>IF(B1203="","",_xlfn.XLOOKUP(B1203,'Orders Ledger'!$A:$A,'Orders Ledger'!$G:$G,""))</f>
        <v/>
      </c>
      <c r="E1203" t="str">
        <f>IF(B1203="","",_xlfn.XLOOKUP(B1203,'Orders Ledger'!$A:$A,'Orders Ledger'!$H:$H,""))</f>
        <v/>
      </c>
      <c r="F1203" t="str">
        <f>IF(B1203="","",_xlfn.XLOOKUP(B1203,'Orders Ledger'!$A:$A,'Orders Ledger'!$F:$F,""))</f>
        <v/>
      </c>
      <c r="G1203" t="str">
        <f>IF(B1203="","",_xlfn.XLOOKUP(B1203,'Orders Ledger'!$A:$A,'Orders Ledger'!$N:$N,0))</f>
        <v/>
      </c>
    </row>
    <row r="1204" spans="2:7" x14ac:dyDescent="0.3">
      <c r="B1204" t="str">
        <f t="array" ref="B1204">IFERROR(INDEX('Orders Ledger'!$A$2:$A$1501, SMALL(IF(('Orders Ledger'!$J$2:$J$1501="disputed")+('Orders Ledger'!$J$2:$J$1501="PENDING_REVIEW"), ROW('Orders Ledger'!$A$2:$A$1501)-ROW('Orders Ledger'!$A$2)+1), ROW(1146:1146))), "")</f>
        <v/>
      </c>
      <c r="C1204" s="11" t="str">
        <f>IF(B1204="","",_xlfn.XLOOKUP(B1204,'Orders Ledger'!$A:$A,'Orders Ledger'!$B:$B,""))</f>
        <v/>
      </c>
      <c r="D1204" t="str">
        <f>IF(B1204="","",_xlfn.XLOOKUP(B1204,'Orders Ledger'!$A:$A,'Orders Ledger'!$G:$G,""))</f>
        <v/>
      </c>
      <c r="E1204" t="str">
        <f>IF(B1204="","",_xlfn.XLOOKUP(B1204,'Orders Ledger'!$A:$A,'Orders Ledger'!$H:$H,""))</f>
        <v/>
      </c>
      <c r="F1204" t="str">
        <f>IF(B1204="","",_xlfn.XLOOKUP(B1204,'Orders Ledger'!$A:$A,'Orders Ledger'!$F:$F,""))</f>
        <v/>
      </c>
      <c r="G1204" t="str">
        <f>IF(B1204="","",_xlfn.XLOOKUP(B1204,'Orders Ledger'!$A:$A,'Orders Ledger'!$N:$N,0))</f>
        <v/>
      </c>
    </row>
    <row r="1205" spans="2:7" x14ac:dyDescent="0.3">
      <c r="B1205" t="str">
        <f t="array" ref="B1205">IFERROR(INDEX('Orders Ledger'!$A$2:$A$1501, SMALL(IF(('Orders Ledger'!$J$2:$J$1501="disputed")+('Orders Ledger'!$J$2:$J$1501="PENDING_REVIEW"), ROW('Orders Ledger'!$A$2:$A$1501)-ROW('Orders Ledger'!$A$2)+1), ROW(1147:1147))), "")</f>
        <v/>
      </c>
      <c r="C1205" s="11" t="str">
        <f>IF(B1205="","",_xlfn.XLOOKUP(B1205,'Orders Ledger'!$A:$A,'Orders Ledger'!$B:$B,""))</f>
        <v/>
      </c>
      <c r="D1205" t="str">
        <f>IF(B1205="","",_xlfn.XLOOKUP(B1205,'Orders Ledger'!$A:$A,'Orders Ledger'!$G:$G,""))</f>
        <v/>
      </c>
      <c r="E1205" t="str">
        <f>IF(B1205="","",_xlfn.XLOOKUP(B1205,'Orders Ledger'!$A:$A,'Orders Ledger'!$H:$H,""))</f>
        <v/>
      </c>
      <c r="F1205" t="str">
        <f>IF(B1205="","",_xlfn.XLOOKUP(B1205,'Orders Ledger'!$A:$A,'Orders Ledger'!$F:$F,""))</f>
        <v/>
      </c>
      <c r="G1205" t="str">
        <f>IF(B1205="","",_xlfn.XLOOKUP(B1205,'Orders Ledger'!$A:$A,'Orders Ledger'!$N:$N,0))</f>
        <v/>
      </c>
    </row>
    <row r="1206" spans="2:7" x14ac:dyDescent="0.3">
      <c r="B1206" t="str">
        <f t="array" ref="B1206">IFERROR(INDEX('Orders Ledger'!$A$2:$A$1501, SMALL(IF(('Orders Ledger'!$J$2:$J$1501="disputed")+('Orders Ledger'!$J$2:$J$1501="PENDING_REVIEW"), ROW('Orders Ledger'!$A$2:$A$1501)-ROW('Orders Ledger'!$A$2)+1), ROW(1148:1148))), "")</f>
        <v/>
      </c>
      <c r="C1206" s="11" t="str">
        <f>IF(B1206="","",_xlfn.XLOOKUP(B1206,'Orders Ledger'!$A:$A,'Orders Ledger'!$B:$B,""))</f>
        <v/>
      </c>
      <c r="D1206" t="str">
        <f>IF(B1206="","",_xlfn.XLOOKUP(B1206,'Orders Ledger'!$A:$A,'Orders Ledger'!$G:$G,""))</f>
        <v/>
      </c>
      <c r="E1206" t="str">
        <f>IF(B1206="","",_xlfn.XLOOKUP(B1206,'Orders Ledger'!$A:$A,'Orders Ledger'!$H:$H,""))</f>
        <v/>
      </c>
      <c r="F1206" t="str">
        <f>IF(B1206="","",_xlfn.XLOOKUP(B1206,'Orders Ledger'!$A:$A,'Orders Ledger'!$F:$F,""))</f>
        <v/>
      </c>
      <c r="G1206" t="str">
        <f>IF(B1206="","",_xlfn.XLOOKUP(B1206,'Orders Ledger'!$A:$A,'Orders Ledger'!$N:$N,0))</f>
        <v/>
      </c>
    </row>
    <row r="1207" spans="2:7" x14ac:dyDescent="0.3">
      <c r="B1207" t="str">
        <f t="array" ref="B1207">IFERROR(INDEX('Orders Ledger'!$A$2:$A$1501, SMALL(IF(('Orders Ledger'!$J$2:$J$1501="disputed")+('Orders Ledger'!$J$2:$J$1501="PENDING_REVIEW"), ROW('Orders Ledger'!$A$2:$A$1501)-ROW('Orders Ledger'!$A$2)+1), ROW(1149:1149))), "")</f>
        <v/>
      </c>
      <c r="C1207" s="11" t="str">
        <f>IF(B1207="","",_xlfn.XLOOKUP(B1207,'Orders Ledger'!$A:$A,'Orders Ledger'!$B:$B,""))</f>
        <v/>
      </c>
      <c r="D1207" t="str">
        <f>IF(B1207="","",_xlfn.XLOOKUP(B1207,'Orders Ledger'!$A:$A,'Orders Ledger'!$G:$G,""))</f>
        <v/>
      </c>
      <c r="E1207" t="str">
        <f>IF(B1207="","",_xlfn.XLOOKUP(B1207,'Orders Ledger'!$A:$A,'Orders Ledger'!$H:$H,""))</f>
        <v/>
      </c>
      <c r="F1207" t="str">
        <f>IF(B1207="","",_xlfn.XLOOKUP(B1207,'Orders Ledger'!$A:$A,'Orders Ledger'!$F:$F,""))</f>
        <v/>
      </c>
      <c r="G1207" t="str">
        <f>IF(B1207="","",_xlfn.XLOOKUP(B1207,'Orders Ledger'!$A:$A,'Orders Ledger'!$N:$N,0))</f>
        <v/>
      </c>
    </row>
    <row r="1208" spans="2:7" x14ac:dyDescent="0.3">
      <c r="B1208" t="str">
        <f t="array" ref="B1208">IFERROR(INDEX('Orders Ledger'!$A$2:$A$1501, SMALL(IF(('Orders Ledger'!$J$2:$J$1501="disputed")+('Orders Ledger'!$J$2:$J$1501="PENDING_REVIEW"), ROW('Orders Ledger'!$A$2:$A$1501)-ROW('Orders Ledger'!$A$2)+1), ROW(1150:1150))), "")</f>
        <v/>
      </c>
      <c r="C1208" s="11" t="str">
        <f>IF(B1208="","",_xlfn.XLOOKUP(B1208,'Orders Ledger'!$A:$A,'Orders Ledger'!$B:$B,""))</f>
        <v/>
      </c>
      <c r="D1208" t="str">
        <f>IF(B1208="","",_xlfn.XLOOKUP(B1208,'Orders Ledger'!$A:$A,'Orders Ledger'!$G:$G,""))</f>
        <v/>
      </c>
      <c r="E1208" t="str">
        <f>IF(B1208="","",_xlfn.XLOOKUP(B1208,'Orders Ledger'!$A:$A,'Orders Ledger'!$H:$H,""))</f>
        <v/>
      </c>
      <c r="F1208" t="str">
        <f>IF(B1208="","",_xlfn.XLOOKUP(B1208,'Orders Ledger'!$A:$A,'Orders Ledger'!$F:$F,""))</f>
        <v/>
      </c>
      <c r="G1208" t="str">
        <f>IF(B1208="","",_xlfn.XLOOKUP(B1208,'Orders Ledger'!$A:$A,'Orders Ledger'!$N:$N,0))</f>
        <v/>
      </c>
    </row>
    <row r="1209" spans="2:7" x14ac:dyDescent="0.3">
      <c r="B1209" t="str">
        <f t="array" ref="B1209">IFERROR(INDEX('Orders Ledger'!$A$2:$A$1501, SMALL(IF(('Orders Ledger'!$J$2:$J$1501="disputed")+('Orders Ledger'!$J$2:$J$1501="PENDING_REVIEW"), ROW('Orders Ledger'!$A$2:$A$1501)-ROW('Orders Ledger'!$A$2)+1), ROW(1151:1151))), "")</f>
        <v/>
      </c>
      <c r="C1209" s="11" t="str">
        <f>IF(B1209="","",_xlfn.XLOOKUP(B1209,'Orders Ledger'!$A:$A,'Orders Ledger'!$B:$B,""))</f>
        <v/>
      </c>
      <c r="D1209" t="str">
        <f>IF(B1209="","",_xlfn.XLOOKUP(B1209,'Orders Ledger'!$A:$A,'Orders Ledger'!$G:$G,""))</f>
        <v/>
      </c>
      <c r="E1209" t="str">
        <f>IF(B1209="","",_xlfn.XLOOKUP(B1209,'Orders Ledger'!$A:$A,'Orders Ledger'!$H:$H,""))</f>
        <v/>
      </c>
      <c r="F1209" t="str">
        <f>IF(B1209="","",_xlfn.XLOOKUP(B1209,'Orders Ledger'!$A:$A,'Orders Ledger'!$F:$F,""))</f>
        <v/>
      </c>
      <c r="G1209" t="str">
        <f>IF(B1209="","",_xlfn.XLOOKUP(B1209,'Orders Ledger'!$A:$A,'Orders Ledger'!$N:$N,0))</f>
        <v/>
      </c>
    </row>
    <row r="1210" spans="2:7" x14ac:dyDescent="0.3">
      <c r="B1210" t="str">
        <f t="array" ref="B1210">IFERROR(INDEX('Orders Ledger'!$A$2:$A$1501, SMALL(IF(('Orders Ledger'!$J$2:$J$1501="disputed")+('Orders Ledger'!$J$2:$J$1501="PENDING_REVIEW"), ROW('Orders Ledger'!$A$2:$A$1501)-ROW('Orders Ledger'!$A$2)+1), ROW(1152:1152))), "")</f>
        <v/>
      </c>
      <c r="C1210" s="11" t="str">
        <f>IF(B1210="","",_xlfn.XLOOKUP(B1210,'Orders Ledger'!$A:$A,'Orders Ledger'!$B:$B,""))</f>
        <v/>
      </c>
      <c r="D1210" t="str">
        <f>IF(B1210="","",_xlfn.XLOOKUP(B1210,'Orders Ledger'!$A:$A,'Orders Ledger'!$G:$G,""))</f>
        <v/>
      </c>
      <c r="E1210" t="str">
        <f>IF(B1210="","",_xlfn.XLOOKUP(B1210,'Orders Ledger'!$A:$A,'Orders Ledger'!$H:$H,""))</f>
        <v/>
      </c>
      <c r="F1210" t="str">
        <f>IF(B1210="","",_xlfn.XLOOKUP(B1210,'Orders Ledger'!$A:$A,'Orders Ledger'!$F:$F,""))</f>
        <v/>
      </c>
      <c r="G1210" t="str">
        <f>IF(B1210="","",_xlfn.XLOOKUP(B1210,'Orders Ledger'!$A:$A,'Orders Ledger'!$N:$N,0))</f>
        <v/>
      </c>
    </row>
    <row r="1211" spans="2:7" x14ac:dyDescent="0.3">
      <c r="B1211" t="str">
        <f t="array" ref="B1211">IFERROR(INDEX('Orders Ledger'!$A$2:$A$1501, SMALL(IF(('Orders Ledger'!$J$2:$J$1501="disputed")+('Orders Ledger'!$J$2:$J$1501="PENDING_REVIEW"), ROW('Orders Ledger'!$A$2:$A$1501)-ROW('Orders Ledger'!$A$2)+1), ROW(1153:1153))), "")</f>
        <v/>
      </c>
      <c r="C1211" s="11" t="str">
        <f>IF(B1211="","",_xlfn.XLOOKUP(B1211,'Orders Ledger'!$A:$A,'Orders Ledger'!$B:$B,""))</f>
        <v/>
      </c>
      <c r="D1211" t="str">
        <f>IF(B1211="","",_xlfn.XLOOKUP(B1211,'Orders Ledger'!$A:$A,'Orders Ledger'!$G:$G,""))</f>
        <v/>
      </c>
      <c r="E1211" t="str">
        <f>IF(B1211="","",_xlfn.XLOOKUP(B1211,'Orders Ledger'!$A:$A,'Orders Ledger'!$H:$H,""))</f>
        <v/>
      </c>
      <c r="F1211" t="str">
        <f>IF(B1211="","",_xlfn.XLOOKUP(B1211,'Orders Ledger'!$A:$A,'Orders Ledger'!$F:$F,""))</f>
        <v/>
      </c>
      <c r="G1211" t="str">
        <f>IF(B1211="","",_xlfn.XLOOKUP(B1211,'Orders Ledger'!$A:$A,'Orders Ledger'!$N:$N,0))</f>
        <v/>
      </c>
    </row>
    <row r="1212" spans="2:7" x14ac:dyDescent="0.3">
      <c r="B1212" t="str">
        <f t="array" ref="B1212">IFERROR(INDEX('Orders Ledger'!$A$2:$A$1501, SMALL(IF(('Orders Ledger'!$J$2:$J$1501="disputed")+('Orders Ledger'!$J$2:$J$1501="PENDING_REVIEW"), ROW('Orders Ledger'!$A$2:$A$1501)-ROW('Orders Ledger'!$A$2)+1), ROW(1154:1154))), "")</f>
        <v/>
      </c>
      <c r="C1212" s="11" t="str">
        <f>IF(B1212="","",_xlfn.XLOOKUP(B1212,'Orders Ledger'!$A:$A,'Orders Ledger'!$B:$B,""))</f>
        <v/>
      </c>
      <c r="D1212" t="str">
        <f>IF(B1212="","",_xlfn.XLOOKUP(B1212,'Orders Ledger'!$A:$A,'Orders Ledger'!$G:$G,""))</f>
        <v/>
      </c>
      <c r="E1212" t="str">
        <f>IF(B1212="","",_xlfn.XLOOKUP(B1212,'Orders Ledger'!$A:$A,'Orders Ledger'!$H:$H,""))</f>
        <v/>
      </c>
      <c r="F1212" t="str">
        <f>IF(B1212="","",_xlfn.XLOOKUP(B1212,'Orders Ledger'!$A:$A,'Orders Ledger'!$F:$F,""))</f>
        <v/>
      </c>
      <c r="G1212" t="str">
        <f>IF(B1212="","",_xlfn.XLOOKUP(B1212,'Orders Ledger'!$A:$A,'Orders Ledger'!$N:$N,0))</f>
        <v/>
      </c>
    </row>
    <row r="1213" spans="2:7" x14ac:dyDescent="0.3">
      <c r="B1213" t="str">
        <f t="array" ref="B1213">IFERROR(INDEX('Orders Ledger'!$A$2:$A$1501, SMALL(IF(('Orders Ledger'!$J$2:$J$1501="disputed")+('Orders Ledger'!$J$2:$J$1501="PENDING_REVIEW"), ROW('Orders Ledger'!$A$2:$A$1501)-ROW('Orders Ledger'!$A$2)+1), ROW(1155:1155))), "")</f>
        <v/>
      </c>
      <c r="C1213" s="11" t="str">
        <f>IF(B1213="","",_xlfn.XLOOKUP(B1213,'Orders Ledger'!$A:$A,'Orders Ledger'!$B:$B,""))</f>
        <v/>
      </c>
      <c r="D1213" t="str">
        <f>IF(B1213="","",_xlfn.XLOOKUP(B1213,'Orders Ledger'!$A:$A,'Orders Ledger'!$G:$G,""))</f>
        <v/>
      </c>
      <c r="E1213" t="str">
        <f>IF(B1213="","",_xlfn.XLOOKUP(B1213,'Orders Ledger'!$A:$A,'Orders Ledger'!$H:$H,""))</f>
        <v/>
      </c>
      <c r="F1213" t="str">
        <f>IF(B1213="","",_xlfn.XLOOKUP(B1213,'Orders Ledger'!$A:$A,'Orders Ledger'!$F:$F,""))</f>
        <v/>
      </c>
      <c r="G1213" t="str">
        <f>IF(B1213="","",_xlfn.XLOOKUP(B1213,'Orders Ledger'!$A:$A,'Orders Ledger'!$N:$N,0))</f>
        <v/>
      </c>
    </row>
    <row r="1214" spans="2:7" x14ac:dyDescent="0.3">
      <c r="B1214" t="str">
        <f t="array" ref="B1214">IFERROR(INDEX('Orders Ledger'!$A$2:$A$1501, SMALL(IF(('Orders Ledger'!$J$2:$J$1501="disputed")+('Orders Ledger'!$J$2:$J$1501="PENDING_REVIEW"), ROW('Orders Ledger'!$A$2:$A$1501)-ROW('Orders Ledger'!$A$2)+1), ROW(1156:1156))), "")</f>
        <v/>
      </c>
      <c r="C1214" s="11" t="str">
        <f>IF(B1214="","",_xlfn.XLOOKUP(B1214,'Orders Ledger'!$A:$A,'Orders Ledger'!$B:$B,""))</f>
        <v/>
      </c>
      <c r="D1214" t="str">
        <f>IF(B1214="","",_xlfn.XLOOKUP(B1214,'Orders Ledger'!$A:$A,'Orders Ledger'!$G:$G,""))</f>
        <v/>
      </c>
      <c r="E1214" t="str">
        <f>IF(B1214="","",_xlfn.XLOOKUP(B1214,'Orders Ledger'!$A:$A,'Orders Ledger'!$H:$H,""))</f>
        <v/>
      </c>
      <c r="F1214" t="str">
        <f>IF(B1214="","",_xlfn.XLOOKUP(B1214,'Orders Ledger'!$A:$A,'Orders Ledger'!$F:$F,""))</f>
        <v/>
      </c>
      <c r="G1214" t="str">
        <f>IF(B1214="","",_xlfn.XLOOKUP(B1214,'Orders Ledger'!$A:$A,'Orders Ledger'!$N:$N,0))</f>
        <v/>
      </c>
    </row>
    <row r="1215" spans="2:7" x14ac:dyDescent="0.3">
      <c r="B1215" t="str">
        <f t="array" ref="B1215">IFERROR(INDEX('Orders Ledger'!$A$2:$A$1501, SMALL(IF(('Orders Ledger'!$J$2:$J$1501="disputed")+('Orders Ledger'!$J$2:$J$1501="PENDING_REVIEW"), ROW('Orders Ledger'!$A$2:$A$1501)-ROW('Orders Ledger'!$A$2)+1), ROW(1157:1157))), "")</f>
        <v/>
      </c>
      <c r="C1215" s="11" t="str">
        <f>IF(B1215="","",_xlfn.XLOOKUP(B1215,'Orders Ledger'!$A:$A,'Orders Ledger'!$B:$B,""))</f>
        <v/>
      </c>
      <c r="D1215" t="str">
        <f>IF(B1215="","",_xlfn.XLOOKUP(B1215,'Orders Ledger'!$A:$A,'Orders Ledger'!$G:$G,""))</f>
        <v/>
      </c>
      <c r="E1215" t="str">
        <f>IF(B1215="","",_xlfn.XLOOKUP(B1215,'Orders Ledger'!$A:$A,'Orders Ledger'!$H:$H,""))</f>
        <v/>
      </c>
      <c r="F1215" t="str">
        <f>IF(B1215="","",_xlfn.XLOOKUP(B1215,'Orders Ledger'!$A:$A,'Orders Ledger'!$F:$F,""))</f>
        <v/>
      </c>
      <c r="G1215" t="str">
        <f>IF(B1215="","",_xlfn.XLOOKUP(B1215,'Orders Ledger'!$A:$A,'Orders Ledger'!$N:$N,0))</f>
        <v/>
      </c>
    </row>
    <row r="1216" spans="2:7" x14ac:dyDescent="0.3">
      <c r="B1216" t="str">
        <f t="array" ref="B1216">IFERROR(INDEX('Orders Ledger'!$A$2:$A$1501, SMALL(IF(('Orders Ledger'!$J$2:$J$1501="disputed")+('Orders Ledger'!$J$2:$J$1501="PENDING_REVIEW"), ROW('Orders Ledger'!$A$2:$A$1501)-ROW('Orders Ledger'!$A$2)+1), ROW(1158:1158))), "")</f>
        <v/>
      </c>
      <c r="C1216" s="11" t="str">
        <f>IF(B1216="","",_xlfn.XLOOKUP(B1216,'Orders Ledger'!$A:$A,'Orders Ledger'!$B:$B,""))</f>
        <v/>
      </c>
      <c r="D1216" t="str">
        <f>IF(B1216="","",_xlfn.XLOOKUP(B1216,'Orders Ledger'!$A:$A,'Orders Ledger'!$G:$G,""))</f>
        <v/>
      </c>
      <c r="E1216" t="str">
        <f>IF(B1216="","",_xlfn.XLOOKUP(B1216,'Orders Ledger'!$A:$A,'Orders Ledger'!$H:$H,""))</f>
        <v/>
      </c>
      <c r="F1216" t="str">
        <f>IF(B1216="","",_xlfn.XLOOKUP(B1216,'Orders Ledger'!$A:$A,'Orders Ledger'!$F:$F,""))</f>
        <v/>
      </c>
      <c r="G1216" t="str">
        <f>IF(B1216="","",_xlfn.XLOOKUP(B1216,'Orders Ledger'!$A:$A,'Orders Ledger'!$N:$N,0))</f>
        <v/>
      </c>
    </row>
    <row r="1217" spans="2:7" x14ac:dyDescent="0.3">
      <c r="B1217" t="str">
        <f t="array" ref="B1217">IFERROR(INDEX('Orders Ledger'!$A$2:$A$1501, SMALL(IF(('Orders Ledger'!$J$2:$J$1501="disputed")+('Orders Ledger'!$J$2:$J$1501="PENDING_REVIEW"), ROW('Orders Ledger'!$A$2:$A$1501)-ROW('Orders Ledger'!$A$2)+1), ROW(1159:1159))), "")</f>
        <v/>
      </c>
      <c r="C1217" s="11" t="str">
        <f>IF(B1217="","",_xlfn.XLOOKUP(B1217,'Orders Ledger'!$A:$A,'Orders Ledger'!$B:$B,""))</f>
        <v/>
      </c>
      <c r="D1217" t="str">
        <f>IF(B1217="","",_xlfn.XLOOKUP(B1217,'Orders Ledger'!$A:$A,'Orders Ledger'!$G:$G,""))</f>
        <v/>
      </c>
      <c r="E1217" t="str">
        <f>IF(B1217="","",_xlfn.XLOOKUP(B1217,'Orders Ledger'!$A:$A,'Orders Ledger'!$H:$H,""))</f>
        <v/>
      </c>
      <c r="F1217" t="str">
        <f>IF(B1217="","",_xlfn.XLOOKUP(B1217,'Orders Ledger'!$A:$A,'Orders Ledger'!$F:$F,""))</f>
        <v/>
      </c>
      <c r="G1217" t="str">
        <f>IF(B1217="","",_xlfn.XLOOKUP(B1217,'Orders Ledger'!$A:$A,'Orders Ledger'!$N:$N,0))</f>
        <v/>
      </c>
    </row>
    <row r="1218" spans="2:7" x14ac:dyDescent="0.3">
      <c r="B1218" t="str">
        <f t="array" ref="B1218">IFERROR(INDEX('Orders Ledger'!$A$2:$A$1501, SMALL(IF(('Orders Ledger'!$J$2:$J$1501="disputed")+('Orders Ledger'!$J$2:$J$1501="PENDING_REVIEW"), ROW('Orders Ledger'!$A$2:$A$1501)-ROW('Orders Ledger'!$A$2)+1), ROW(1160:1160))), "")</f>
        <v/>
      </c>
      <c r="C1218" s="11" t="str">
        <f>IF(B1218="","",_xlfn.XLOOKUP(B1218,'Orders Ledger'!$A:$A,'Orders Ledger'!$B:$B,""))</f>
        <v/>
      </c>
      <c r="D1218" t="str">
        <f>IF(B1218="","",_xlfn.XLOOKUP(B1218,'Orders Ledger'!$A:$A,'Orders Ledger'!$G:$G,""))</f>
        <v/>
      </c>
      <c r="E1218" t="str">
        <f>IF(B1218="","",_xlfn.XLOOKUP(B1218,'Orders Ledger'!$A:$A,'Orders Ledger'!$H:$H,""))</f>
        <v/>
      </c>
      <c r="F1218" t="str">
        <f>IF(B1218="","",_xlfn.XLOOKUP(B1218,'Orders Ledger'!$A:$A,'Orders Ledger'!$F:$F,""))</f>
        <v/>
      </c>
      <c r="G1218" t="str">
        <f>IF(B1218="","",_xlfn.XLOOKUP(B1218,'Orders Ledger'!$A:$A,'Orders Ledger'!$N:$N,0))</f>
        <v/>
      </c>
    </row>
    <row r="1219" spans="2:7" x14ac:dyDescent="0.3">
      <c r="B1219" t="str">
        <f t="array" ref="B1219">IFERROR(INDEX('Orders Ledger'!$A$2:$A$1501, SMALL(IF(('Orders Ledger'!$J$2:$J$1501="disputed")+('Orders Ledger'!$J$2:$J$1501="PENDING_REVIEW"), ROW('Orders Ledger'!$A$2:$A$1501)-ROW('Orders Ledger'!$A$2)+1), ROW(1161:1161))), "")</f>
        <v/>
      </c>
      <c r="C1219" s="11" t="str">
        <f>IF(B1219="","",_xlfn.XLOOKUP(B1219,'Orders Ledger'!$A:$A,'Orders Ledger'!$B:$B,""))</f>
        <v/>
      </c>
      <c r="D1219" t="str">
        <f>IF(B1219="","",_xlfn.XLOOKUP(B1219,'Orders Ledger'!$A:$A,'Orders Ledger'!$G:$G,""))</f>
        <v/>
      </c>
      <c r="E1219" t="str">
        <f>IF(B1219="","",_xlfn.XLOOKUP(B1219,'Orders Ledger'!$A:$A,'Orders Ledger'!$H:$H,""))</f>
        <v/>
      </c>
      <c r="F1219" t="str">
        <f>IF(B1219="","",_xlfn.XLOOKUP(B1219,'Orders Ledger'!$A:$A,'Orders Ledger'!$F:$F,""))</f>
        <v/>
      </c>
      <c r="G1219" t="str">
        <f>IF(B1219="","",_xlfn.XLOOKUP(B1219,'Orders Ledger'!$A:$A,'Orders Ledger'!$N:$N,0))</f>
        <v/>
      </c>
    </row>
    <row r="1220" spans="2:7" x14ac:dyDescent="0.3">
      <c r="B1220" t="str">
        <f t="array" ref="B1220">IFERROR(INDEX('Orders Ledger'!$A$2:$A$1501, SMALL(IF(('Orders Ledger'!$J$2:$J$1501="disputed")+('Orders Ledger'!$J$2:$J$1501="PENDING_REVIEW"), ROW('Orders Ledger'!$A$2:$A$1501)-ROW('Orders Ledger'!$A$2)+1), ROW(1162:1162))), "")</f>
        <v/>
      </c>
      <c r="C1220" s="11" t="str">
        <f>IF(B1220="","",_xlfn.XLOOKUP(B1220,'Orders Ledger'!$A:$A,'Orders Ledger'!$B:$B,""))</f>
        <v/>
      </c>
      <c r="D1220" t="str">
        <f>IF(B1220="","",_xlfn.XLOOKUP(B1220,'Orders Ledger'!$A:$A,'Orders Ledger'!$G:$G,""))</f>
        <v/>
      </c>
      <c r="E1220" t="str">
        <f>IF(B1220="","",_xlfn.XLOOKUP(B1220,'Orders Ledger'!$A:$A,'Orders Ledger'!$H:$H,""))</f>
        <v/>
      </c>
      <c r="F1220" t="str">
        <f>IF(B1220="","",_xlfn.XLOOKUP(B1220,'Orders Ledger'!$A:$A,'Orders Ledger'!$F:$F,""))</f>
        <v/>
      </c>
      <c r="G1220" t="str">
        <f>IF(B1220="","",_xlfn.XLOOKUP(B1220,'Orders Ledger'!$A:$A,'Orders Ledger'!$N:$N,0))</f>
        <v/>
      </c>
    </row>
    <row r="1221" spans="2:7" x14ac:dyDescent="0.3">
      <c r="B1221" t="str">
        <f t="array" ref="B1221">IFERROR(INDEX('Orders Ledger'!$A$2:$A$1501, SMALL(IF(('Orders Ledger'!$J$2:$J$1501="disputed")+('Orders Ledger'!$J$2:$J$1501="PENDING_REVIEW"), ROW('Orders Ledger'!$A$2:$A$1501)-ROW('Orders Ledger'!$A$2)+1), ROW(1163:1163))), "")</f>
        <v/>
      </c>
      <c r="C1221" s="11" t="str">
        <f>IF(B1221="","",_xlfn.XLOOKUP(B1221,'Orders Ledger'!$A:$A,'Orders Ledger'!$B:$B,""))</f>
        <v/>
      </c>
      <c r="D1221" t="str">
        <f>IF(B1221="","",_xlfn.XLOOKUP(B1221,'Orders Ledger'!$A:$A,'Orders Ledger'!$G:$G,""))</f>
        <v/>
      </c>
      <c r="E1221" t="str">
        <f>IF(B1221="","",_xlfn.XLOOKUP(B1221,'Orders Ledger'!$A:$A,'Orders Ledger'!$H:$H,""))</f>
        <v/>
      </c>
      <c r="F1221" t="str">
        <f>IF(B1221="","",_xlfn.XLOOKUP(B1221,'Orders Ledger'!$A:$A,'Orders Ledger'!$F:$F,""))</f>
        <v/>
      </c>
      <c r="G1221" t="str">
        <f>IF(B1221="","",_xlfn.XLOOKUP(B1221,'Orders Ledger'!$A:$A,'Orders Ledger'!$N:$N,0))</f>
        <v/>
      </c>
    </row>
    <row r="1222" spans="2:7" x14ac:dyDescent="0.3">
      <c r="B1222" t="str">
        <f t="array" ref="B1222">IFERROR(INDEX('Orders Ledger'!$A$2:$A$1501, SMALL(IF(('Orders Ledger'!$J$2:$J$1501="disputed")+('Orders Ledger'!$J$2:$J$1501="PENDING_REVIEW"), ROW('Orders Ledger'!$A$2:$A$1501)-ROW('Orders Ledger'!$A$2)+1), ROW(1164:1164))), "")</f>
        <v/>
      </c>
      <c r="C1222" s="11" t="str">
        <f>IF(B1222="","",_xlfn.XLOOKUP(B1222,'Orders Ledger'!$A:$A,'Orders Ledger'!$B:$B,""))</f>
        <v/>
      </c>
      <c r="D1222" t="str">
        <f>IF(B1222="","",_xlfn.XLOOKUP(B1222,'Orders Ledger'!$A:$A,'Orders Ledger'!$G:$G,""))</f>
        <v/>
      </c>
      <c r="E1222" t="str">
        <f>IF(B1222="","",_xlfn.XLOOKUP(B1222,'Orders Ledger'!$A:$A,'Orders Ledger'!$H:$H,""))</f>
        <v/>
      </c>
      <c r="F1222" t="str">
        <f>IF(B1222="","",_xlfn.XLOOKUP(B1222,'Orders Ledger'!$A:$A,'Orders Ledger'!$F:$F,""))</f>
        <v/>
      </c>
      <c r="G1222" t="str">
        <f>IF(B1222="","",_xlfn.XLOOKUP(B1222,'Orders Ledger'!$A:$A,'Orders Ledger'!$N:$N,0))</f>
        <v/>
      </c>
    </row>
    <row r="1223" spans="2:7" x14ac:dyDescent="0.3">
      <c r="B1223" t="str">
        <f t="array" ref="B1223">IFERROR(INDEX('Orders Ledger'!$A$2:$A$1501, SMALL(IF(('Orders Ledger'!$J$2:$J$1501="disputed")+('Orders Ledger'!$J$2:$J$1501="PENDING_REVIEW"), ROW('Orders Ledger'!$A$2:$A$1501)-ROW('Orders Ledger'!$A$2)+1), ROW(1165:1165))), "")</f>
        <v/>
      </c>
      <c r="C1223" s="11" t="str">
        <f>IF(B1223="","",_xlfn.XLOOKUP(B1223,'Orders Ledger'!$A:$A,'Orders Ledger'!$B:$B,""))</f>
        <v/>
      </c>
      <c r="D1223" t="str">
        <f>IF(B1223="","",_xlfn.XLOOKUP(B1223,'Orders Ledger'!$A:$A,'Orders Ledger'!$G:$G,""))</f>
        <v/>
      </c>
      <c r="E1223" t="str">
        <f>IF(B1223="","",_xlfn.XLOOKUP(B1223,'Orders Ledger'!$A:$A,'Orders Ledger'!$H:$H,""))</f>
        <v/>
      </c>
      <c r="F1223" t="str">
        <f>IF(B1223="","",_xlfn.XLOOKUP(B1223,'Orders Ledger'!$A:$A,'Orders Ledger'!$F:$F,""))</f>
        <v/>
      </c>
      <c r="G1223" t="str">
        <f>IF(B1223="","",_xlfn.XLOOKUP(B1223,'Orders Ledger'!$A:$A,'Orders Ledger'!$N:$N,0))</f>
        <v/>
      </c>
    </row>
    <row r="1224" spans="2:7" x14ac:dyDescent="0.3">
      <c r="B1224" t="str">
        <f t="array" ref="B1224">IFERROR(INDEX('Orders Ledger'!$A$2:$A$1501, SMALL(IF(('Orders Ledger'!$J$2:$J$1501="disputed")+('Orders Ledger'!$J$2:$J$1501="PENDING_REVIEW"), ROW('Orders Ledger'!$A$2:$A$1501)-ROW('Orders Ledger'!$A$2)+1), ROW(1166:1166))), "")</f>
        <v/>
      </c>
      <c r="C1224" s="11" t="str">
        <f>IF(B1224="","",_xlfn.XLOOKUP(B1224,'Orders Ledger'!$A:$A,'Orders Ledger'!$B:$B,""))</f>
        <v/>
      </c>
      <c r="D1224" t="str">
        <f>IF(B1224="","",_xlfn.XLOOKUP(B1224,'Orders Ledger'!$A:$A,'Orders Ledger'!$G:$G,""))</f>
        <v/>
      </c>
      <c r="E1224" t="str">
        <f>IF(B1224="","",_xlfn.XLOOKUP(B1224,'Orders Ledger'!$A:$A,'Orders Ledger'!$H:$H,""))</f>
        <v/>
      </c>
      <c r="F1224" t="str">
        <f>IF(B1224="","",_xlfn.XLOOKUP(B1224,'Orders Ledger'!$A:$A,'Orders Ledger'!$F:$F,""))</f>
        <v/>
      </c>
      <c r="G1224" t="str">
        <f>IF(B1224="","",_xlfn.XLOOKUP(B1224,'Orders Ledger'!$A:$A,'Orders Ledger'!$N:$N,0))</f>
        <v/>
      </c>
    </row>
    <row r="1225" spans="2:7" x14ac:dyDescent="0.3">
      <c r="B1225" t="str">
        <f t="array" ref="B1225">IFERROR(INDEX('Orders Ledger'!$A$2:$A$1501, SMALL(IF(('Orders Ledger'!$J$2:$J$1501="disputed")+('Orders Ledger'!$J$2:$J$1501="PENDING_REVIEW"), ROW('Orders Ledger'!$A$2:$A$1501)-ROW('Orders Ledger'!$A$2)+1), ROW(1167:1167))), "")</f>
        <v/>
      </c>
      <c r="C1225" s="11" t="str">
        <f>IF(B1225="","",_xlfn.XLOOKUP(B1225,'Orders Ledger'!$A:$A,'Orders Ledger'!$B:$B,""))</f>
        <v/>
      </c>
      <c r="D1225" t="str">
        <f>IF(B1225="","",_xlfn.XLOOKUP(B1225,'Orders Ledger'!$A:$A,'Orders Ledger'!$G:$G,""))</f>
        <v/>
      </c>
      <c r="E1225" t="str">
        <f>IF(B1225="","",_xlfn.XLOOKUP(B1225,'Orders Ledger'!$A:$A,'Orders Ledger'!$H:$H,""))</f>
        <v/>
      </c>
      <c r="F1225" t="str">
        <f>IF(B1225="","",_xlfn.XLOOKUP(B1225,'Orders Ledger'!$A:$A,'Orders Ledger'!$F:$F,""))</f>
        <v/>
      </c>
      <c r="G1225" t="str">
        <f>IF(B1225="","",_xlfn.XLOOKUP(B1225,'Orders Ledger'!$A:$A,'Orders Ledger'!$N:$N,0))</f>
        <v/>
      </c>
    </row>
    <row r="1226" spans="2:7" x14ac:dyDescent="0.3">
      <c r="B1226" t="str">
        <f t="array" ref="B1226">IFERROR(INDEX('Orders Ledger'!$A$2:$A$1501, SMALL(IF(('Orders Ledger'!$J$2:$J$1501="disputed")+('Orders Ledger'!$J$2:$J$1501="PENDING_REVIEW"), ROW('Orders Ledger'!$A$2:$A$1501)-ROW('Orders Ledger'!$A$2)+1), ROW(1168:1168))), "")</f>
        <v/>
      </c>
      <c r="C1226" s="11" t="str">
        <f>IF(B1226="","",_xlfn.XLOOKUP(B1226,'Orders Ledger'!$A:$A,'Orders Ledger'!$B:$B,""))</f>
        <v/>
      </c>
      <c r="D1226" t="str">
        <f>IF(B1226="","",_xlfn.XLOOKUP(B1226,'Orders Ledger'!$A:$A,'Orders Ledger'!$G:$G,""))</f>
        <v/>
      </c>
      <c r="E1226" t="str">
        <f>IF(B1226="","",_xlfn.XLOOKUP(B1226,'Orders Ledger'!$A:$A,'Orders Ledger'!$H:$H,""))</f>
        <v/>
      </c>
      <c r="F1226" t="str">
        <f>IF(B1226="","",_xlfn.XLOOKUP(B1226,'Orders Ledger'!$A:$A,'Orders Ledger'!$F:$F,""))</f>
        <v/>
      </c>
      <c r="G1226" t="str">
        <f>IF(B1226="","",_xlfn.XLOOKUP(B1226,'Orders Ledger'!$A:$A,'Orders Ledger'!$N:$N,0))</f>
        <v/>
      </c>
    </row>
    <row r="1227" spans="2:7" x14ac:dyDescent="0.3">
      <c r="B1227" t="str">
        <f t="array" ref="B1227">IFERROR(INDEX('Orders Ledger'!$A$2:$A$1501, SMALL(IF(('Orders Ledger'!$J$2:$J$1501="disputed")+('Orders Ledger'!$J$2:$J$1501="PENDING_REVIEW"), ROW('Orders Ledger'!$A$2:$A$1501)-ROW('Orders Ledger'!$A$2)+1), ROW(1169:1169))), "")</f>
        <v/>
      </c>
      <c r="C1227" s="11" t="str">
        <f>IF(B1227="","",_xlfn.XLOOKUP(B1227,'Orders Ledger'!$A:$A,'Orders Ledger'!$B:$B,""))</f>
        <v/>
      </c>
      <c r="D1227" t="str">
        <f>IF(B1227="","",_xlfn.XLOOKUP(B1227,'Orders Ledger'!$A:$A,'Orders Ledger'!$G:$G,""))</f>
        <v/>
      </c>
      <c r="E1227" t="str">
        <f>IF(B1227="","",_xlfn.XLOOKUP(B1227,'Orders Ledger'!$A:$A,'Orders Ledger'!$H:$H,""))</f>
        <v/>
      </c>
      <c r="F1227" t="str">
        <f>IF(B1227="","",_xlfn.XLOOKUP(B1227,'Orders Ledger'!$A:$A,'Orders Ledger'!$F:$F,""))</f>
        <v/>
      </c>
      <c r="G1227" t="str">
        <f>IF(B1227="","",_xlfn.XLOOKUP(B1227,'Orders Ledger'!$A:$A,'Orders Ledger'!$N:$N,0))</f>
        <v/>
      </c>
    </row>
    <row r="1228" spans="2:7" x14ac:dyDescent="0.3">
      <c r="B1228" t="str">
        <f t="array" ref="B1228">IFERROR(INDEX('Orders Ledger'!$A$2:$A$1501, SMALL(IF(('Orders Ledger'!$J$2:$J$1501="disputed")+('Orders Ledger'!$J$2:$J$1501="PENDING_REVIEW"), ROW('Orders Ledger'!$A$2:$A$1501)-ROW('Orders Ledger'!$A$2)+1), ROW(1170:1170))), "")</f>
        <v/>
      </c>
      <c r="C1228" s="11" t="str">
        <f>IF(B1228="","",_xlfn.XLOOKUP(B1228,'Orders Ledger'!$A:$A,'Orders Ledger'!$B:$B,""))</f>
        <v/>
      </c>
      <c r="D1228" t="str">
        <f>IF(B1228="","",_xlfn.XLOOKUP(B1228,'Orders Ledger'!$A:$A,'Orders Ledger'!$G:$G,""))</f>
        <v/>
      </c>
      <c r="E1228" t="str">
        <f>IF(B1228="","",_xlfn.XLOOKUP(B1228,'Orders Ledger'!$A:$A,'Orders Ledger'!$H:$H,""))</f>
        <v/>
      </c>
      <c r="F1228" t="str">
        <f>IF(B1228="","",_xlfn.XLOOKUP(B1228,'Orders Ledger'!$A:$A,'Orders Ledger'!$F:$F,""))</f>
        <v/>
      </c>
      <c r="G1228" t="str">
        <f>IF(B1228="","",_xlfn.XLOOKUP(B1228,'Orders Ledger'!$A:$A,'Orders Ledger'!$N:$N,0))</f>
        <v/>
      </c>
    </row>
    <row r="1229" spans="2:7" x14ac:dyDescent="0.3">
      <c r="B1229" t="str">
        <f t="array" ref="B1229">IFERROR(INDEX('Orders Ledger'!$A$2:$A$1501, SMALL(IF(('Orders Ledger'!$J$2:$J$1501="disputed")+('Orders Ledger'!$J$2:$J$1501="PENDING_REVIEW"), ROW('Orders Ledger'!$A$2:$A$1501)-ROW('Orders Ledger'!$A$2)+1), ROW(1171:1171))), "")</f>
        <v/>
      </c>
      <c r="C1229" s="11" t="str">
        <f>IF(B1229="","",_xlfn.XLOOKUP(B1229,'Orders Ledger'!$A:$A,'Orders Ledger'!$B:$B,""))</f>
        <v/>
      </c>
      <c r="D1229" t="str">
        <f>IF(B1229="","",_xlfn.XLOOKUP(B1229,'Orders Ledger'!$A:$A,'Orders Ledger'!$G:$G,""))</f>
        <v/>
      </c>
      <c r="E1229" t="str">
        <f>IF(B1229="","",_xlfn.XLOOKUP(B1229,'Orders Ledger'!$A:$A,'Orders Ledger'!$H:$H,""))</f>
        <v/>
      </c>
      <c r="F1229" t="str">
        <f>IF(B1229="","",_xlfn.XLOOKUP(B1229,'Orders Ledger'!$A:$A,'Orders Ledger'!$F:$F,""))</f>
        <v/>
      </c>
      <c r="G1229" t="str">
        <f>IF(B1229="","",_xlfn.XLOOKUP(B1229,'Orders Ledger'!$A:$A,'Orders Ledger'!$N:$N,0))</f>
        <v/>
      </c>
    </row>
    <row r="1230" spans="2:7" x14ac:dyDescent="0.3">
      <c r="B1230" t="str">
        <f t="array" ref="B1230">IFERROR(INDEX('Orders Ledger'!$A$2:$A$1501, SMALL(IF(('Orders Ledger'!$J$2:$J$1501="disputed")+('Orders Ledger'!$J$2:$J$1501="PENDING_REVIEW"), ROW('Orders Ledger'!$A$2:$A$1501)-ROW('Orders Ledger'!$A$2)+1), ROW(1172:1172))), "")</f>
        <v/>
      </c>
      <c r="C1230" s="11" t="str">
        <f>IF(B1230="","",_xlfn.XLOOKUP(B1230,'Orders Ledger'!$A:$A,'Orders Ledger'!$B:$B,""))</f>
        <v/>
      </c>
      <c r="D1230" t="str">
        <f>IF(B1230="","",_xlfn.XLOOKUP(B1230,'Orders Ledger'!$A:$A,'Orders Ledger'!$G:$G,""))</f>
        <v/>
      </c>
      <c r="E1230" t="str">
        <f>IF(B1230="","",_xlfn.XLOOKUP(B1230,'Orders Ledger'!$A:$A,'Orders Ledger'!$H:$H,""))</f>
        <v/>
      </c>
      <c r="F1230" t="str">
        <f>IF(B1230="","",_xlfn.XLOOKUP(B1230,'Orders Ledger'!$A:$A,'Orders Ledger'!$F:$F,""))</f>
        <v/>
      </c>
      <c r="G1230" t="str">
        <f>IF(B1230="","",_xlfn.XLOOKUP(B1230,'Orders Ledger'!$A:$A,'Orders Ledger'!$N:$N,0))</f>
        <v/>
      </c>
    </row>
    <row r="1231" spans="2:7" x14ac:dyDescent="0.3">
      <c r="B1231" t="str">
        <f t="array" ref="B1231">IFERROR(INDEX('Orders Ledger'!$A$2:$A$1501, SMALL(IF(('Orders Ledger'!$J$2:$J$1501="disputed")+('Orders Ledger'!$J$2:$J$1501="PENDING_REVIEW"), ROW('Orders Ledger'!$A$2:$A$1501)-ROW('Orders Ledger'!$A$2)+1), ROW(1173:1173))), "")</f>
        <v/>
      </c>
      <c r="C1231" s="11" t="str">
        <f>IF(B1231="","",_xlfn.XLOOKUP(B1231,'Orders Ledger'!$A:$A,'Orders Ledger'!$B:$B,""))</f>
        <v/>
      </c>
      <c r="D1231" t="str">
        <f>IF(B1231="","",_xlfn.XLOOKUP(B1231,'Orders Ledger'!$A:$A,'Orders Ledger'!$G:$G,""))</f>
        <v/>
      </c>
      <c r="E1231" t="str">
        <f>IF(B1231="","",_xlfn.XLOOKUP(B1231,'Orders Ledger'!$A:$A,'Orders Ledger'!$H:$H,""))</f>
        <v/>
      </c>
      <c r="F1231" t="str">
        <f>IF(B1231="","",_xlfn.XLOOKUP(B1231,'Orders Ledger'!$A:$A,'Orders Ledger'!$F:$F,""))</f>
        <v/>
      </c>
      <c r="G1231" t="str">
        <f>IF(B1231="","",_xlfn.XLOOKUP(B1231,'Orders Ledger'!$A:$A,'Orders Ledger'!$N:$N,0))</f>
        <v/>
      </c>
    </row>
    <row r="1232" spans="2:7" x14ac:dyDescent="0.3">
      <c r="B1232" t="str">
        <f t="array" ref="B1232">IFERROR(INDEX('Orders Ledger'!$A$2:$A$1501, SMALL(IF(('Orders Ledger'!$J$2:$J$1501="disputed")+('Orders Ledger'!$J$2:$J$1501="PENDING_REVIEW"), ROW('Orders Ledger'!$A$2:$A$1501)-ROW('Orders Ledger'!$A$2)+1), ROW(1174:1174))), "")</f>
        <v/>
      </c>
      <c r="C1232" s="11" t="str">
        <f>IF(B1232="","",_xlfn.XLOOKUP(B1232,'Orders Ledger'!$A:$A,'Orders Ledger'!$B:$B,""))</f>
        <v/>
      </c>
      <c r="D1232" t="str">
        <f>IF(B1232="","",_xlfn.XLOOKUP(B1232,'Orders Ledger'!$A:$A,'Orders Ledger'!$G:$G,""))</f>
        <v/>
      </c>
      <c r="E1232" t="str">
        <f>IF(B1232="","",_xlfn.XLOOKUP(B1232,'Orders Ledger'!$A:$A,'Orders Ledger'!$H:$H,""))</f>
        <v/>
      </c>
      <c r="F1232" t="str">
        <f>IF(B1232="","",_xlfn.XLOOKUP(B1232,'Orders Ledger'!$A:$A,'Orders Ledger'!$F:$F,""))</f>
        <v/>
      </c>
      <c r="G1232" t="str">
        <f>IF(B1232="","",_xlfn.XLOOKUP(B1232,'Orders Ledger'!$A:$A,'Orders Ledger'!$N:$N,0))</f>
        <v/>
      </c>
    </row>
    <row r="1233" spans="2:7" x14ac:dyDescent="0.3">
      <c r="B1233" t="str">
        <f t="array" ref="B1233">IFERROR(INDEX('Orders Ledger'!$A$2:$A$1501, SMALL(IF(('Orders Ledger'!$J$2:$J$1501="disputed")+('Orders Ledger'!$J$2:$J$1501="PENDING_REVIEW"), ROW('Orders Ledger'!$A$2:$A$1501)-ROW('Orders Ledger'!$A$2)+1), ROW(1175:1175))), "")</f>
        <v/>
      </c>
      <c r="C1233" s="11" t="str">
        <f>IF(B1233="","",_xlfn.XLOOKUP(B1233,'Orders Ledger'!$A:$A,'Orders Ledger'!$B:$B,""))</f>
        <v/>
      </c>
      <c r="D1233" t="str">
        <f>IF(B1233="","",_xlfn.XLOOKUP(B1233,'Orders Ledger'!$A:$A,'Orders Ledger'!$G:$G,""))</f>
        <v/>
      </c>
      <c r="E1233" t="str">
        <f>IF(B1233="","",_xlfn.XLOOKUP(B1233,'Orders Ledger'!$A:$A,'Orders Ledger'!$H:$H,""))</f>
        <v/>
      </c>
      <c r="F1233" t="str">
        <f>IF(B1233="","",_xlfn.XLOOKUP(B1233,'Orders Ledger'!$A:$A,'Orders Ledger'!$F:$F,""))</f>
        <v/>
      </c>
      <c r="G1233" t="str">
        <f>IF(B1233="","",_xlfn.XLOOKUP(B1233,'Orders Ledger'!$A:$A,'Orders Ledger'!$N:$N,0))</f>
        <v/>
      </c>
    </row>
    <row r="1234" spans="2:7" x14ac:dyDescent="0.3">
      <c r="B1234" t="str">
        <f t="array" ref="B1234">IFERROR(INDEX('Orders Ledger'!$A$2:$A$1501, SMALL(IF(('Orders Ledger'!$J$2:$J$1501="disputed")+('Orders Ledger'!$J$2:$J$1501="PENDING_REVIEW"), ROW('Orders Ledger'!$A$2:$A$1501)-ROW('Orders Ledger'!$A$2)+1), ROW(1176:1176))), "")</f>
        <v/>
      </c>
      <c r="C1234" s="11" t="str">
        <f>IF(B1234="","",_xlfn.XLOOKUP(B1234,'Orders Ledger'!$A:$A,'Orders Ledger'!$B:$B,""))</f>
        <v/>
      </c>
      <c r="D1234" t="str">
        <f>IF(B1234="","",_xlfn.XLOOKUP(B1234,'Orders Ledger'!$A:$A,'Orders Ledger'!$G:$G,""))</f>
        <v/>
      </c>
      <c r="E1234" t="str">
        <f>IF(B1234="","",_xlfn.XLOOKUP(B1234,'Orders Ledger'!$A:$A,'Orders Ledger'!$H:$H,""))</f>
        <v/>
      </c>
      <c r="F1234" t="str">
        <f>IF(B1234="","",_xlfn.XLOOKUP(B1234,'Orders Ledger'!$A:$A,'Orders Ledger'!$F:$F,""))</f>
        <v/>
      </c>
      <c r="G1234" t="str">
        <f>IF(B1234="","",_xlfn.XLOOKUP(B1234,'Orders Ledger'!$A:$A,'Orders Ledger'!$N:$N,0))</f>
        <v/>
      </c>
    </row>
    <row r="1235" spans="2:7" x14ac:dyDescent="0.3">
      <c r="B1235" t="str">
        <f t="array" ref="B1235">IFERROR(INDEX('Orders Ledger'!$A$2:$A$1501, SMALL(IF(('Orders Ledger'!$J$2:$J$1501="disputed")+('Orders Ledger'!$J$2:$J$1501="PENDING_REVIEW"), ROW('Orders Ledger'!$A$2:$A$1501)-ROW('Orders Ledger'!$A$2)+1), ROW(1177:1177))), "")</f>
        <v/>
      </c>
      <c r="C1235" s="11" t="str">
        <f>IF(B1235="","",_xlfn.XLOOKUP(B1235,'Orders Ledger'!$A:$A,'Orders Ledger'!$B:$B,""))</f>
        <v/>
      </c>
      <c r="D1235" t="str">
        <f>IF(B1235="","",_xlfn.XLOOKUP(B1235,'Orders Ledger'!$A:$A,'Orders Ledger'!$G:$G,""))</f>
        <v/>
      </c>
      <c r="E1235" t="str">
        <f>IF(B1235="","",_xlfn.XLOOKUP(B1235,'Orders Ledger'!$A:$A,'Orders Ledger'!$H:$H,""))</f>
        <v/>
      </c>
      <c r="F1235" t="str">
        <f>IF(B1235="","",_xlfn.XLOOKUP(B1235,'Orders Ledger'!$A:$A,'Orders Ledger'!$F:$F,""))</f>
        <v/>
      </c>
      <c r="G1235" t="str">
        <f>IF(B1235="","",_xlfn.XLOOKUP(B1235,'Orders Ledger'!$A:$A,'Orders Ledger'!$N:$N,0))</f>
        <v/>
      </c>
    </row>
    <row r="1236" spans="2:7" x14ac:dyDescent="0.3">
      <c r="B1236" t="str">
        <f t="array" ref="B1236">IFERROR(INDEX('Orders Ledger'!$A$2:$A$1501, SMALL(IF(('Orders Ledger'!$J$2:$J$1501="disputed")+('Orders Ledger'!$J$2:$J$1501="PENDING_REVIEW"), ROW('Orders Ledger'!$A$2:$A$1501)-ROW('Orders Ledger'!$A$2)+1), ROW(1178:1178))), "")</f>
        <v/>
      </c>
      <c r="C1236" s="11" t="str">
        <f>IF(B1236="","",_xlfn.XLOOKUP(B1236,'Orders Ledger'!$A:$A,'Orders Ledger'!$B:$B,""))</f>
        <v/>
      </c>
      <c r="D1236" t="str">
        <f>IF(B1236="","",_xlfn.XLOOKUP(B1236,'Orders Ledger'!$A:$A,'Orders Ledger'!$G:$G,""))</f>
        <v/>
      </c>
      <c r="E1236" t="str">
        <f>IF(B1236="","",_xlfn.XLOOKUP(B1236,'Orders Ledger'!$A:$A,'Orders Ledger'!$H:$H,""))</f>
        <v/>
      </c>
      <c r="F1236" t="str">
        <f>IF(B1236="","",_xlfn.XLOOKUP(B1236,'Orders Ledger'!$A:$A,'Orders Ledger'!$F:$F,""))</f>
        <v/>
      </c>
      <c r="G1236" t="str">
        <f>IF(B1236="","",_xlfn.XLOOKUP(B1236,'Orders Ledger'!$A:$A,'Orders Ledger'!$N:$N,0))</f>
        <v/>
      </c>
    </row>
    <row r="1237" spans="2:7" x14ac:dyDescent="0.3">
      <c r="B1237" t="str">
        <f t="array" ref="B1237">IFERROR(INDEX('Orders Ledger'!$A$2:$A$1501, SMALL(IF(('Orders Ledger'!$J$2:$J$1501="disputed")+('Orders Ledger'!$J$2:$J$1501="PENDING_REVIEW"), ROW('Orders Ledger'!$A$2:$A$1501)-ROW('Orders Ledger'!$A$2)+1), ROW(1179:1179))), "")</f>
        <v/>
      </c>
      <c r="C1237" s="11" t="str">
        <f>IF(B1237="","",_xlfn.XLOOKUP(B1237,'Orders Ledger'!$A:$A,'Orders Ledger'!$B:$B,""))</f>
        <v/>
      </c>
      <c r="D1237" t="str">
        <f>IF(B1237="","",_xlfn.XLOOKUP(B1237,'Orders Ledger'!$A:$A,'Orders Ledger'!$G:$G,""))</f>
        <v/>
      </c>
      <c r="E1237" t="str">
        <f>IF(B1237="","",_xlfn.XLOOKUP(B1237,'Orders Ledger'!$A:$A,'Orders Ledger'!$H:$H,""))</f>
        <v/>
      </c>
      <c r="F1237" t="str">
        <f>IF(B1237="","",_xlfn.XLOOKUP(B1237,'Orders Ledger'!$A:$A,'Orders Ledger'!$F:$F,""))</f>
        <v/>
      </c>
      <c r="G1237" t="str">
        <f>IF(B1237="","",_xlfn.XLOOKUP(B1237,'Orders Ledger'!$A:$A,'Orders Ledger'!$N:$N,0))</f>
        <v/>
      </c>
    </row>
    <row r="1238" spans="2:7" x14ac:dyDescent="0.3">
      <c r="B1238" t="str">
        <f t="array" ref="B1238">IFERROR(INDEX('Orders Ledger'!$A$2:$A$1501, SMALL(IF(('Orders Ledger'!$J$2:$J$1501="disputed")+('Orders Ledger'!$J$2:$J$1501="PENDING_REVIEW"), ROW('Orders Ledger'!$A$2:$A$1501)-ROW('Orders Ledger'!$A$2)+1), ROW(1180:1180))), "")</f>
        <v/>
      </c>
      <c r="C1238" s="11" t="str">
        <f>IF(B1238="","",_xlfn.XLOOKUP(B1238,'Orders Ledger'!$A:$A,'Orders Ledger'!$B:$B,""))</f>
        <v/>
      </c>
      <c r="D1238" t="str">
        <f>IF(B1238="","",_xlfn.XLOOKUP(B1238,'Orders Ledger'!$A:$A,'Orders Ledger'!$G:$G,""))</f>
        <v/>
      </c>
      <c r="E1238" t="str">
        <f>IF(B1238="","",_xlfn.XLOOKUP(B1238,'Orders Ledger'!$A:$A,'Orders Ledger'!$H:$H,""))</f>
        <v/>
      </c>
      <c r="F1238" t="str">
        <f>IF(B1238="","",_xlfn.XLOOKUP(B1238,'Orders Ledger'!$A:$A,'Orders Ledger'!$F:$F,""))</f>
        <v/>
      </c>
      <c r="G1238" t="str">
        <f>IF(B1238="","",_xlfn.XLOOKUP(B1238,'Orders Ledger'!$A:$A,'Orders Ledger'!$N:$N,0))</f>
        <v/>
      </c>
    </row>
    <row r="1239" spans="2:7" x14ac:dyDescent="0.3">
      <c r="B1239" t="str">
        <f t="array" ref="B1239">IFERROR(INDEX('Orders Ledger'!$A$2:$A$1501, SMALL(IF(('Orders Ledger'!$J$2:$J$1501="disputed")+('Orders Ledger'!$J$2:$J$1501="PENDING_REVIEW"), ROW('Orders Ledger'!$A$2:$A$1501)-ROW('Orders Ledger'!$A$2)+1), ROW(1181:1181))), "")</f>
        <v/>
      </c>
      <c r="C1239" s="11" t="str">
        <f>IF(B1239="","",_xlfn.XLOOKUP(B1239,'Orders Ledger'!$A:$A,'Orders Ledger'!$B:$B,""))</f>
        <v/>
      </c>
      <c r="D1239" t="str">
        <f>IF(B1239="","",_xlfn.XLOOKUP(B1239,'Orders Ledger'!$A:$A,'Orders Ledger'!$G:$G,""))</f>
        <v/>
      </c>
      <c r="E1239" t="str">
        <f>IF(B1239="","",_xlfn.XLOOKUP(B1239,'Orders Ledger'!$A:$A,'Orders Ledger'!$H:$H,""))</f>
        <v/>
      </c>
      <c r="F1239" t="str">
        <f>IF(B1239="","",_xlfn.XLOOKUP(B1239,'Orders Ledger'!$A:$A,'Orders Ledger'!$F:$F,""))</f>
        <v/>
      </c>
      <c r="G1239" t="str">
        <f>IF(B1239="","",_xlfn.XLOOKUP(B1239,'Orders Ledger'!$A:$A,'Orders Ledger'!$N:$N,0))</f>
        <v/>
      </c>
    </row>
    <row r="1240" spans="2:7" x14ac:dyDescent="0.3">
      <c r="B1240" t="str">
        <f t="array" ref="B1240">IFERROR(INDEX('Orders Ledger'!$A$2:$A$1501, SMALL(IF(('Orders Ledger'!$J$2:$J$1501="disputed")+('Orders Ledger'!$J$2:$J$1501="PENDING_REVIEW"), ROW('Orders Ledger'!$A$2:$A$1501)-ROW('Orders Ledger'!$A$2)+1), ROW(1182:1182))), "")</f>
        <v/>
      </c>
      <c r="C1240" s="11" t="str">
        <f>IF(B1240="","",_xlfn.XLOOKUP(B1240,'Orders Ledger'!$A:$A,'Orders Ledger'!$B:$B,""))</f>
        <v/>
      </c>
      <c r="D1240" t="str">
        <f>IF(B1240="","",_xlfn.XLOOKUP(B1240,'Orders Ledger'!$A:$A,'Orders Ledger'!$G:$G,""))</f>
        <v/>
      </c>
      <c r="E1240" t="str">
        <f>IF(B1240="","",_xlfn.XLOOKUP(B1240,'Orders Ledger'!$A:$A,'Orders Ledger'!$H:$H,""))</f>
        <v/>
      </c>
      <c r="F1240" t="str">
        <f>IF(B1240="","",_xlfn.XLOOKUP(B1240,'Orders Ledger'!$A:$A,'Orders Ledger'!$F:$F,""))</f>
        <v/>
      </c>
      <c r="G1240" t="str">
        <f>IF(B1240="","",_xlfn.XLOOKUP(B1240,'Orders Ledger'!$A:$A,'Orders Ledger'!$N:$N,0))</f>
        <v/>
      </c>
    </row>
    <row r="1241" spans="2:7" x14ac:dyDescent="0.3">
      <c r="B1241" t="str">
        <f t="array" ref="B1241">IFERROR(INDEX('Orders Ledger'!$A$2:$A$1501, SMALL(IF(('Orders Ledger'!$J$2:$J$1501="disputed")+('Orders Ledger'!$J$2:$J$1501="PENDING_REVIEW"), ROW('Orders Ledger'!$A$2:$A$1501)-ROW('Orders Ledger'!$A$2)+1), ROW(1183:1183))), "")</f>
        <v/>
      </c>
      <c r="C1241" s="11" t="str">
        <f>IF(B1241="","",_xlfn.XLOOKUP(B1241,'Orders Ledger'!$A:$A,'Orders Ledger'!$B:$B,""))</f>
        <v/>
      </c>
      <c r="D1241" t="str">
        <f>IF(B1241="","",_xlfn.XLOOKUP(B1241,'Orders Ledger'!$A:$A,'Orders Ledger'!$G:$G,""))</f>
        <v/>
      </c>
      <c r="E1241" t="str">
        <f>IF(B1241="","",_xlfn.XLOOKUP(B1241,'Orders Ledger'!$A:$A,'Orders Ledger'!$H:$H,""))</f>
        <v/>
      </c>
      <c r="F1241" t="str">
        <f>IF(B1241="","",_xlfn.XLOOKUP(B1241,'Orders Ledger'!$A:$A,'Orders Ledger'!$F:$F,""))</f>
        <v/>
      </c>
      <c r="G1241" t="str">
        <f>IF(B1241="","",_xlfn.XLOOKUP(B1241,'Orders Ledger'!$A:$A,'Orders Ledger'!$N:$N,0))</f>
        <v/>
      </c>
    </row>
    <row r="1242" spans="2:7" x14ac:dyDescent="0.3">
      <c r="B1242" t="str">
        <f t="array" ref="B1242">IFERROR(INDEX('Orders Ledger'!$A$2:$A$1501, SMALL(IF(('Orders Ledger'!$J$2:$J$1501="disputed")+('Orders Ledger'!$J$2:$J$1501="PENDING_REVIEW"), ROW('Orders Ledger'!$A$2:$A$1501)-ROW('Orders Ledger'!$A$2)+1), ROW(1184:1184))), "")</f>
        <v/>
      </c>
      <c r="C1242" s="11" t="str">
        <f>IF(B1242="","",_xlfn.XLOOKUP(B1242,'Orders Ledger'!$A:$A,'Orders Ledger'!$B:$B,""))</f>
        <v/>
      </c>
      <c r="D1242" t="str">
        <f>IF(B1242="","",_xlfn.XLOOKUP(B1242,'Orders Ledger'!$A:$A,'Orders Ledger'!$G:$G,""))</f>
        <v/>
      </c>
      <c r="E1242" t="str">
        <f>IF(B1242="","",_xlfn.XLOOKUP(B1242,'Orders Ledger'!$A:$A,'Orders Ledger'!$H:$H,""))</f>
        <v/>
      </c>
      <c r="F1242" t="str">
        <f>IF(B1242="","",_xlfn.XLOOKUP(B1242,'Orders Ledger'!$A:$A,'Orders Ledger'!$F:$F,""))</f>
        <v/>
      </c>
      <c r="G1242" t="str">
        <f>IF(B1242="","",_xlfn.XLOOKUP(B1242,'Orders Ledger'!$A:$A,'Orders Ledger'!$N:$N,0))</f>
        <v/>
      </c>
    </row>
    <row r="1243" spans="2:7" x14ac:dyDescent="0.3">
      <c r="B1243" t="str">
        <f t="array" ref="B1243">IFERROR(INDEX('Orders Ledger'!$A$2:$A$1501, SMALL(IF(('Orders Ledger'!$J$2:$J$1501="disputed")+('Orders Ledger'!$J$2:$J$1501="PENDING_REVIEW"), ROW('Orders Ledger'!$A$2:$A$1501)-ROW('Orders Ledger'!$A$2)+1), ROW(1185:1185))), "")</f>
        <v/>
      </c>
      <c r="C1243" s="11" t="str">
        <f>IF(B1243="","",_xlfn.XLOOKUP(B1243,'Orders Ledger'!$A:$A,'Orders Ledger'!$B:$B,""))</f>
        <v/>
      </c>
      <c r="D1243" t="str">
        <f>IF(B1243="","",_xlfn.XLOOKUP(B1243,'Orders Ledger'!$A:$A,'Orders Ledger'!$G:$G,""))</f>
        <v/>
      </c>
      <c r="E1243" t="str">
        <f>IF(B1243="","",_xlfn.XLOOKUP(B1243,'Orders Ledger'!$A:$A,'Orders Ledger'!$H:$H,""))</f>
        <v/>
      </c>
      <c r="F1243" t="str">
        <f>IF(B1243="","",_xlfn.XLOOKUP(B1243,'Orders Ledger'!$A:$A,'Orders Ledger'!$F:$F,""))</f>
        <v/>
      </c>
      <c r="G1243" t="str">
        <f>IF(B1243="","",_xlfn.XLOOKUP(B1243,'Orders Ledger'!$A:$A,'Orders Ledger'!$N:$N,0))</f>
        <v/>
      </c>
    </row>
    <row r="1244" spans="2:7" x14ac:dyDescent="0.3">
      <c r="B1244" t="str">
        <f t="array" ref="B1244">IFERROR(INDEX('Orders Ledger'!$A$2:$A$1501, SMALL(IF(('Orders Ledger'!$J$2:$J$1501="disputed")+('Orders Ledger'!$J$2:$J$1501="PENDING_REVIEW"), ROW('Orders Ledger'!$A$2:$A$1501)-ROW('Orders Ledger'!$A$2)+1), ROW(1186:1186))), "")</f>
        <v/>
      </c>
      <c r="C1244" s="11" t="str">
        <f>IF(B1244="","",_xlfn.XLOOKUP(B1244,'Orders Ledger'!$A:$A,'Orders Ledger'!$B:$B,""))</f>
        <v/>
      </c>
      <c r="D1244" t="str">
        <f>IF(B1244="","",_xlfn.XLOOKUP(B1244,'Orders Ledger'!$A:$A,'Orders Ledger'!$G:$G,""))</f>
        <v/>
      </c>
      <c r="E1244" t="str">
        <f>IF(B1244="","",_xlfn.XLOOKUP(B1244,'Orders Ledger'!$A:$A,'Orders Ledger'!$H:$H,""))</f>
        <v/>
      </c>
      <c r="F1244" t="str">
        <f>IF(B1244="","",_xlfn.XLOOKUP(B1244,'Orders Ledger'!$A:$A,'Orders Ledger'!$F:$F,""))</f>
        <v/>
      </c>
      <c r="G1244" t="str">
        <f>IF(B1244="","",_xlfn.XLOOKUP(B1244,'Orders Ledger'!$A:$A,'Orders Ledger'!$N:$N,0))</f>
        <v/>
      </c>
    </row>
    <row r="1245" spans="2:7" x14ac:dyDescent="0.3">
      <c r="B1245" t="str">
        <f t="array" ref="B1245">IFERROR(INDEX('Orders Ledger'!$A$2:$A$1501, SMALL(IF(('Orders Ledger'!$J$2:$J$1501="disputed")+('Orders Ledger'!$J$2:$J$1501="PENDING_REVIEW"), ROW('Orders Ledger'!$A$2:$A$1501)-ROW('Orders Ledger'!$A$2)+1), ROW(1187:1187))), "")</f>
        <v/>
      </c>
      <c r="C1245" s="11" t="str">
        <f>IF(B1245="","",_xlfn.XLOOKUP(B1245,'Orders Ledger'!$A:$A,'Orders Ledger'!$B:$B,""))</f>
        <v/>
      </c>
      <c r="D1245" t="str">
        <f>IF(B1245="","",_xlfn.XLOOKUP(B1245,'Orders Ledger'!$A:$A,'Orders Ledger'!$G:$G,""))</f>
        <v/>
      </c>
      <c r="E1245" t="str">
        <f>IF(B1245="","",_xlfn.XLOOKUP(B1245,'Orders Ledger'!$A:$A,'Orders Ledger'!$H:$H,""))</f>
        <v/>
      </c>
      <c r="F1245" t="str">
        <f>IF(B1245="","",_xlfn.XLOOKUP(B1245,'Orders Ledger'!$A:$A,'Orders Ledger'!$F:$F,""))</f>
        <v/>
      </c>
      <c r="G1245" t="str">
        <f>IF(B1245="","",_xlfn.XLOOKUP(B1245,'Orders Ledger'!$A:$A,'Orders Ledger'!$N:$N,0))</f>
        <v/>
      </c>
    </row>
    <row r="1246" spans="2:7" x14ac:dyDescent="0.3">
      <c r="B1246" t="str">
        <f t="array" ref="B1246">IFERROR(INDEX('Orders Ledger'!$A$2:$A$1501, SMALL(IF(('Orders Ledger'!$J$2:$J$1501="disputed")+('Orders Ledger'!$J$2:$J$1501="PENDING_REVIEW"), ROW('Orders Ledger'!$A$2:$A$1501)-ROW('Orders Ledger'!$A$2)+1), ROW(1188:1188))), "")</f>
        <v/>
      </c>
      <c r="C1246" s="11" t="str">
        <f>IF(B1246="","",_xlfn.XLOOKUP(B1246,'Orders Ledger'!$A:$A,'Orders Ledger'!$B:$B,""))</f>
        <v/>
      </c>
      <c r="D1246" t="str">
        <f>IF(B1246="","",_xlfn.XLOOKUP(B1246,'Orders Ledger'!$A:$A,'Orders Ledger'!$G:$G,""))</f>
        <v/>
      </c>
      <c r="E1246" t="str">
        <f>IF(B1246="","",_xlfn.XLOOKUP(B1246,'Orders Ledger'!$A:$A,'Orders Ledger'!$H:$H,""))</f>
        <v/>
      </c>
      <c r="F1246" t="str">
        <f>IF(B1246="","",_xlfn.XLOOKUP(B1246,'Orders Ledger'!$A:$A,'Orders Ledger'!$F:$F,""))</f>
        <v/>
      </c>
      <c r="G1246" t="str">
        <f>IF(B1246="","",_xlfn.XLOOKUP(B1246,'Orders Ledger'!$A:$A,'Orders Ledger'!$N:$N,0))</f>
        <v/>
      </c>
    </row>
    <row r="1247" spans="2:7" x14ac:dyDescent="0.3">
      <c r="B1247" t="str">
        <f t="array" ref="B1247">IFERROR(INDEX('Orders Ledger'!$A$2:$A$1501, SMALL(IF(('Orders Ledger'!$J$2:$J$1501="disputed")+('Orders Ledger'!$J$2:$J$1501="PENDING_REVIEW"), ROW('Orders Ledger'!$A$2:$A$1501)-ROW('Orders Ledger'!$A$2)+1), ROW(1189:1189))), "")</f>
        <v/>
      </c>
      <c r="C1247" s="11" t="str">
        <f>IF(B1247="","",_xlfn.XLOOKUP(B1247,'Orders Ledger'!$A:$A,'Orders Ledger'!$B:$B,""))</f>
        <v/>
      </c>
      <c r="D1247" t="str">
        <f>IF(B1247="","",_xlfn.XLOOKUP(B1247,'Orders Ledger'!$A:$A,'Orders Ledger'!$G:$G,""))</f>
        <v/>
      </c>
      <c r="E1247" t="str">
        <f>IF(B1247="","",_xlfn.XLOOKUP(B1247,'Orders Ledger'!$A:$A,'Orders Ledger'!$H:$H,""))</f>
        <v/>
      </c>
      <c r="F1247" t="str">
        <f>IF(B1247="","",_xlfn.XLOOKUP(B1247,'Orders Ledger'!$A:$A,'Orders Ledger'!$F:$F,""))</f>
        <v/>
      </c>
      <c r="G1247" t="str">
        <f>IF(B1247="","",_xlfn.XLOOKUP(B1247,'Orders Ledger'!$A:$A,'Orders Ledger'!$N:$N,0))</f>
        <v/>
      </c>
    </row>
    <row r="1248" spans="2:7" x14ac:dyDescent="0.3">
      <c r="B1248" t="str">
        <f t="array" ref="B1248">IFERROR(INDEX('Orders Ledger'!$A$2:$A$1501, SMALL(IF(('Orders Ledger'!$J$2:$J$1501="disputed")+('Orders Ledger'!$J$2:$J$1501="PENDING_REVIEW"), ROW('Orders Ledger'!$A$2:$A$1501)-ROW('Orders Ledger'!$A$2)+1), ROW(1190:1190))), "")</f>
        <v/>
      </c>
      <c r="C1248" s="11" t="str">
        <f>IF(B1248="","",_xlfn.XLOOKUP(B1248,'Orders Ledger'!$A:$A,'Orders Ledger'!$B:$B,""))</f>
        <v/>
      </c>
      <c r="D1248" t="str">
        <f>IF(B1248="","",_xlfn.XLOOKUP(B1248,'Orders Ledger'!$A:$A,'Orders Ledger'!$G:$G,""))</f>
        <v/>
      </c>
      <c r="E1248" t="str">
        <f>IF(B1248="","",_xlfn.XLOOKUP(B1248,'Orders Ledger'!$A:$A,'Orders Ledger'!$H:$H,""))</f>
        <v/>
      </c>
      <c r="F1248" t="str">
        <f>IF(B1248="","",_xlfn.XLOOKUP(B1248,'Orders Ledger'!$A:$A,'Orders Ledger'!$F:$F,""))</f>
        <v/>
      </c>
      <c r="G1248" t="str">
        <f>IF(B1248="","",_xlfn.XLOOKUP(B1248,'Orders Ledger'!$A:$A,'Orders Ledger'!$N:$N,0))</f>
        <v/>
      </c>
    </row>
    <row r="1249" spans="2:7" x14ac:dyDescent="0.3">
      <c r="B1249" t="str">
        <f t="array" ref="B1249">IFERROR(INDEX('Orders Ledger'!$A$2:$A$1501, SMALL(IF(('Orders Ledger'!$J$2:$J$1501="disputed")+('Orders Ledger'!$J$2:$J$1501="PENDING_REVIEW"), ROW('Orders Ledger'!$A$2:$A$1501)-ROW('Orders Ledger'!$A$2)+1), ROW(1191:1191))), "")</f>
        <v/>
      </c>
      <c r="C1249" s="11" t="str">
        <f>IF(B1249="","",_xlfn.XLOOKUP(B1249,'Orders Ledger'!$A:$A,'Orders Ledger'!$B:$B,""))</f>
        <v/>
      </c>
      <c r="D1249" t="str">
        <f>IF(B1249="","",_xlfn.XLOOKUP(B1249,'Orders Ledger'!$A:$A,'Orders Ledger'!$G:$G,""))</f>
        <v/>
      </c>
      <c r="E1249" t="str">
        <f>IF(B1249="","",_xlfn.XLOOKUP(B1249,'Orders Ledger'!$A:$A,'Orders Ledger'!$H:$H,""))</f>
        <v/>
      </c>
      <c r="F1249" t="str">
        <f>IF(B1249="","",_xlfn.XLOOKUP(B1249,'Orders Ledger'!$A:$A,'Orders Ledger'!$F:$F,""))</f>
        <v/>
      </c>
      <c r="G1249" t="str">
        <f>IF(B1249="","",_xlfn.XLOOKUP(B1249,'Orders Ledger'!$A:$A,'Orders Ledger'!$N:$N,0))</f>
        <v/>
      </c>
    </row>
    <row r="1250" spans="2:7" x14ac:dyDescent="0.3">
      <c r="B1250" t="str">
        <f t="array" ref="B1250">IFERROR(INDEX('Orders Ledger'!$A$2:$A$1501, SMALL(IF(('Orders Ledger'!$J$2:$J$1501="disputed")+('Orders Ledger'!$J$2:$J$1501="PENDING_REVIEW"), ROW('Orders Ledger'!$A$2:$A$1501)-ROW('Orders Ledger'!$A$2)+1), ROW(1192:1192))), "")</f>
        <v/>
      </c>
      <c r="C1250" s="11" t="str">
        <f>IF(B1250="","",_xlfn.XLOOKUP(B1250,'Orders Ledger'!$A:$A,'Orders Ledger'!$B:$B,""))</f>
        <v/>
      </c>
      <c r="D1250" t="str">
        <f>IF(B1250="","",_xlfn.XLOOKUP(B1250,'Orders Ledger'!$A:$A,'Orders Ledger'!$G:$G,""))</f>
        <v/>
      </c>
      <c r="E1250" t="str">
        <f>IF(B1250="","",_xlfn.XLOOKUP(B1250,'Orders Ledger'!$A:$A,'Orders Ledger'!$H:$H,""))</f>
        <v/>
      </c>
      <c r="F1250" t="str">
        <f>IF(B1250="","",_xlfn.XLOOKUP(B1250,'Orders Ledger'!$A:$A,'Orders Ledger'!$F:$F,""))</f>
        <v/>
      </c>
      <c r="G1250" t="str">
        <f>IF(B1250="","",_xlfn.XLOOKUP(B1250,'Orders Ledger'!$A:$A,'Orders Ledger'!$N:$N,0))</f>
        <v/>
      </c>
    </row>
    <row r="1251" spans="2:7" x14ac:dyDescent="0.3">
      <c r="B1251" t="str">
        <f t="array" ref="B1251">IFERROR(INDEX('Orders Ledger'!$A$2:$A$1501, SMALL(IF(('Orders Ledger'!$J$2:$J$1501="disputed")+('Orders Ledger'!$J$2:$J$1501="PENDING_REVIEW"), ROW('Orders Ledger'!$A$2:$A$1501)-ROW('Orders Ledger'!$A$2)+1), ROW(1193:1193))), "")</f>
        <v/>
      </c>
      <c r="C1251" s="11" t="str">
        <f>IF(B1251="","",_xlfn.XLOOKUP(B1251,'Orders Ledger'!$A:$A,'Orders Ledger'!$B:$B,""))</f>
        <v/>
      </c>
      <c r="D1251" t="str">
        <f>IF(B1251="","",_xlfn.XLOOKUP(B1251,'Orders Ledger'!$A:$A,'Orders Ledger'!$G:$G,""))</f>
        <v/>
      </c>
      <c r="E1251" t="str">
        <f>IF(B1251="","",_xlfn.XLOOKUP(B1251,'Orders Ledger'!$A:$A,'Orders Ledger'!$H:$H,""))</f>
        <v/>
      </c>
      <c r="F1251" t="str">
        <f>IF(B1251="","",_xlfn.XLOOKUP(B1251,'Orders Ledger'!$A:$A,'Orders Ledger'!$F:$F,""))</f>
        <v/>
      </c>
      <c r="G1251" t="str">
        <f>IF(B1251="","",_xlfn.XLOOKUP(B1251,'Orders Ledger'!$A:$A,'Orders Ledger'!$N:$N,0))</f>
        <v/>
      </c>
    </row>
    <row r="1252" spans="2:7" x14ac:dyDescent="0.3">
      <c r="B1252" t="str">
        <f t="array" ref="B1252">IFERROR(INDEX('Orders Ledger'!$A$2:$A$1501, SMALL(IF(('Orders Ledger'!$J$2:$J$1501="disputed")+('Orders Ledger'!$J$2:$J$1501="PENDING_REVIEW"), ROW('Orders Ledger'!$A$2:$A$1501)-ROW('Orders Ledger'!$A$2)+1), ROW(1194:1194))), "")</f>
        <v/>
      </c>
      <c r="C1252" s="11" t="str">
        <f>IF(B1252="","",_xlfn.XLOOKUP(B1252,'Orders Ledger'!$A:$A,'Orders Ledger'!$B:$B,""))</f>
        <v/>
      </c>
      <c r="D1252" t="str">
        <f>IF(B1252="","",_xlfn.XLOOKUP(B1252,'Orders Ledger'!$A:$A,'Orders Ledger'!$G:$G,""))</f>
        <v/>
      </c>
      <c r="E1252" t="str">
        <f>IF(B1252="","",_xlfn.XLOOKUP(B1252,'Orders Ledger'!$A:$A,'Orders Ledger'!$H:$H,""))</f>
        <v/>
      </c>
      <c r="F1252" t="str">
        <f>IF(B1252="","",_xlfn.XLOOKUP(B1252,'Orders Ledger'!$A:$A,'Orders Ledger'!$F:$F,""))</f>
        <v/>
      </c>
      <c r="G1252" t="str">
        <f>IF(B1252="","",_xlfn.XLOOKUP(B1252,'Orders Ledger'!$A:$A,'Orders Ledger'!$N:$N,0))</f>
        <v/>
      </c>
    </row>
    <row r="1253" spans="2:7" x14ac:dyDescent="0.3">
      <c r="B1253" t="str">
        <f t="array" ref="B1253">IFERROR(INDEX('Orders Ledger'!$A$2:$A$1501, SMALL(IF(('Orders Ledger'!$J$2:$J$1501="disputed")+('Orders Ledger'!$J$2:$J$1501="PENDING_REVIEW"), ROW('Orders Ledger'!$A$2:$A$1501)-ROW('Orders Ledger'!$A$2)+1), ROW(1195:1195))), "")</f>
        <v/>
      </c>
      <c r="C1253" s="11" t="str">
        <f>IF(B1253="","",_xlfn.XLOOKUP(B1253,'Orders Ledger'!$A:$A,'Orders Ledger'!$B:$B,""))</f>
        <v/>
      </c>
      <c r="D1253" t="str">
        <f>IF(B1253="","",_xlfn.XLOOKUP(B1253,'Orders Ledger'!$A:$A,'Orders Ledger'!$G:$G,""))</f>
        <v/>
      </c>
      <c r="E1253" t="str">
        <f>IF(B1253="","",_xlfn.XLOOKUP(B1253,'Orders Ledger'!$A:$A,'Orders Ledger'!$H:$H,""))</f>
        <v/>
      </c>
      <c r="F1253" t="str">
        <f>IF(B1253="","",_xlfn.XLOOKUP(B1253,'Orders Ledger'!$A:$A,'Orders Ledger'!$F:$F,""))</f>
        <v/>
      </c>
      <c r="G1253" t="str">
        <f>IF(B1253="","",_xlfn.XLOOKUP(B1253,'Orders Ledger'!$A:$A,'Orders Ledger'!$N:$N,0))</f>
        <v/>
      </c>
    </row>
    <row r="1254" spans="2:7" x14ac:dyDescent="0.3">
      <c r="B1254" t="str">
        <f t="array" ref="B1254">IFERROR(INDEX('Orders Ledger'!$A$2:$A$1501, SMALL(IF(('Orders Ledger'!$J$2:$J$1501="disputed")+('Orders Ledger'!$J$2:$J$1501="PENDING_REVIEW"), ROW('Orders Ledger'!$A$2:$A$1501)-ROW('Orders Ledger'!$A$2)+1), ROW(1196:1196))), "")</f>
        <v/>
      </c>
      <c r="C1254" s="11" t="str">
        <f>IF(B1254="","",_xlfn.XLOOKUP(B1254,'Orders Ledger'!$A:$A,'Orders Ledger'!$B:$B,""))</f>
        <v/>
      </c>
      <c r="D1254" t="str">
        <f>IF(B1254="","",_xlfn.XLOOKUP(B1254,'Orders Ledger'!$A:$A,'Orders Ledger'!$G:$G,""))</f>
        <v/>
      </c>
      <c r="E1254" t="str">
        <f>IF(B1254="","",_xlfn.XLOOKUP(B1254,'Orders Ledger'!$A:$A,'Orders Ledger'!$H:$H,""))</f>
        <v/>
      </c>
      <c r="F1254" t="str">
        <f>IF(B1254="","",_xlfn.XLOOKUP(B1254,'Orders Ledger'!$A:$A,'Orders Ledger'!$F:$F,""))</f>
        <v/>
      </c>
      <c r="G1254" t="str">
        <f>IF(B1254="","",_xlfn.XLOOKUP(B1254,'Orders Ledger'!$A:$A,'Orders Ledger'!$N:$N,0))</f>
        <v/>
      </c>
    </row>
    <row r="1255" spans="2:7" x14ac:dyDescent="0.3">
      <c r="B1255" t="str">
        <f t="array" ref="B1255">IFERROR(INDEX('Orders Ledger'!$A$2:$A$1501, SMALL(IF(('Orders Ledger'!$J$2:$J$1501="disputed")+('Orders Ledger'!$J$2:$J$1501="PENDING_REVIEW"), ROW('Orders Ledger'!$A$2:$A$1501)-ROW('Orders Ledger'!$A$2)+1), ROW(1197:1197))), "")</f>
        <v/>
      </c>
      <c r="C1255" s="11" t="str">
        <f>IF(B1255="","",_xlfn.XLOOKUP(B1255,'Orders Ledger'!$A:$A,'Orders Ledger'!$B:$B,""))</f>
        <v/>
      </c>
      <c r="D1255" t="str">
        <f>IF(B1255="","",_xlfn.XLOOKUP(B1255,'Orders Ledger'!$A:$A,'Orders Ledger'!$G:$G,""))</f>
        <v/>
      </c>
      <c r="E1255" t="str">
        <f>IF(B1255="","",_xlfn.XLOOKUP(B1255,'Orders Ledger'!$A:$A,'Orders Ledger'!$H:$H,""))</f>
        <v/>
      </c>
      <c r="F1255" t="str">
        <f>IF(B1255="","",_xlfn.XLOOKUP(B1255,'Orders Ledger'!$A:$A,'Orders Ledger'!$F:$F,""))</f>
        <v/>
      </c>
      <c r="G1255" t="str">
        <f>IF(B1255="","",_xlfn.XLOOKUP(B1255,'Orders Ledger'!$A:$A,'Orders Ledger'!$N:$N,0))</f>
        <v/>
      </c>
    </row>
    <row r="1256" spans="2:7" x14ac:dyDescent="0.3">
      <c r="B1256" t="str">
        <f t="array" ref="B1256">IFERROR(INDEX('Orders Ledger'!$A$2:$A$1501, SMALL(IF(('Orders Ledger'!$J$2:$J$1501="disputed")+('Orders Ledger'!$J$2:$J$1501="PENDING_REVIEW"), ROW('Orders Ledger'!$A$2:$A$1501)-ROW('Orders Ledger'!$A$2)+1), ROW(1198:1198))), "")</f>
        <v/>
      </c>
      <c r="C1256" s="11" t="str">
        <f>IF(B1256="","",_xlfn.XLOOKUP(B1256,'Orders Ledger'!$A:$A,'Orders Ledger'!$B:$B,""))</f>
        <v/>
      </c>
      <c r="D1256" t="str">
        <f>IF(B1256="","",_xlfn.XLOOKUP(B1256,'Orders Ledger'!$A:$A,'Orders Ledger'!$G:$G,""))</f>
        <v/>
      </c>
      <c r="E1256" t="str">
        <f>IF(B1256="","",_xlfn.XLOOKUP(B1256,'Orders Ledger'!$A:$A,'Orders Ledger'!$H:$H,""))</f>
        <v/>
      </c>
      <c r="F1256" t="str">
        <f>IF(B1256="","",_xlfn.XLOOKUP(B1256,'Orders Ledger'!$A:$A,'Orders Ledger'!$F:$F,""))</f>
        <v/>
      </c>
      <c r="G1256" t="str">
        <f>IF(B1256="","",_xlfn.XLOOKUP(B1256,'Orders Ledger'!$A:$A,'Orders Ledger'!$N:$N,0))</f>
        <v/>
      </c>
    </row>
    <row r="1257" spans="2:7" x14ac:dyDescent="0.3">
      <c r="B1257" t="str">
        <f t="array" ref="B1257">IFERROR(INDEX('Orders Ledger'!$A$2:$A$1501, SMALL(IF(('Orders Ledger'!$J$2:$J$1501="disputed")+('Orders Ledger'!$J$2:$J$1501="PENDING_REVIEW"), ROW('Orders Ledger'!$A$2:$A$1501)-ROW('Orders Ledger'!$A$2)+1), ROW(1199:1199))), "")</f>
        <v/>
      </c>
      <c r="C1257" s="11" t="str">
        <f>IF(B1257="","",_xlfn.XLOOKUP(B1257,'Orders Ledger'!$A:$A,'Orders Ledger'!$B:$B,""))</f>
        <v/>
      </c>
      <c r="D1257" t="str">
        <f>IF(B1257="","",_xlfn.XLOOKUP(B1257,'Orders Ledger'!$A:$A,'Orders Ledger'!$G:$G,""))</f>
        <v/>
      </c>
      <c r="E1257" t="str">
        <f>IF(B1257="","",_xlfn.XLOOKUP(B1257,'Orders Ledger'!$A:$A,'Orders Ledger'!$H:$H,""))</f>
        <v/>
      </c>
      <c r="F1257" t="str">
        <f>IF(B1257="","",_xlfn.XLOOKUP(B1257,'Orders Ledger'!$A:$A,'Orders Ledger'!$F:$F,""))</f>
        <v/>
      </c>
      <c r="G1257" t="str">
        <f>IF(B1257="","",_xlfn.XLOOKUP(B1257,'Orders Ledger'!$A:$A,'Orders Ledger'!$N:$N,0))</f>
        <v/>
      </c>
    </row>
    <row r="1258" spans="2:7" x14ac:dyDescent="0.3">
      <c r="B1258" t="str">
        <f t="array" ref="B1258">IFERROR(INDEX('Orders Ledger'!$A$2:$A$1501, SMALL(IF(('Orders Ledger'!$J$2:$J$1501="disputed")+('Orders Ledger'!$J$2:$J$1501="PENDING_REVIEW"), ROW('Orders Ledger'!$A$2:$A$1501)-ROW('Orders Ledger'!$A$2)+1), ROW(1200:1200))), "")</f>
        <v/>
      </c>
      <c r="C1258" s="11" t="str">
        <f>IF(B1258="","",_xlfn.XLOOKUP(B1258,'Orders Ledger'!$A:$A,'Orders Ledger'!$B:$B,""))</f>
        <v/>
      </c>
      <c r="D1258" t="str">
        <f>IF(B1258="","",_xlfn.XLOOKUP(B1258,'Orders Ledger'!$A:$A,'Orders Ledger'!$G:$G,""))</f>
        <v/>
      </c>
      <c r="E1258" t="str">
        <f>IF(B1258="","",_xlfn.XLOOKUP(B1258,'Orders Ledger'!$A:$A,'Orders Ledger'!$H:$H,""))</f>
        <v/>
      </c>
      <c r="F1258" t="str">
        <f>IF(B1258="","",_xlfn.XLOOKUP(B1258,'Orders Ledger'!$A:$A,'Orders Ledger'!$F:$F,""))</f>
        <v/>
      </c>
      <c r="G1258" t="str">
        <f>IF(B1258="","",_xlfn.XLOOKUP(B1258,'Orders Ledger'!$A:$A,'Orders Ledger'!$N:$N,0))</f>
        <v/>
      </c>
    </row>
    <row r="1259" spans="2:7" x14ac:dyDescent="0.3">
      <c r="B1259" t="str">
        <f t="array" ref="B1259">IFERROR(INDEX('Orders Ledger'!$A$2:$A$1501, SMALL(IF(('Orders Ledger'!$J$2:$J$1501="disputed")+('Orders Ledger'!$J$2:$J$1501="PENDING_REVIEW"), ROW('Orders Ledger'!$A$2:$A$1501)-ROW('Orders Ledger'!$A$2)+1), ROW(1201:1201))), "")</f>
        <v/>
      </c>
      <c r="C1259" s="11" t="str">
        <f>IF(B1259="","",_xlfn.XLOOKUP(B1259,'Orders Ledger'!$A:$A,'Orders Ledger'!$B:$B,""))</f>
        <v/>
      </c>
      <c r="D1259" t="str">
        <f>IF(B1259="","",_xlfn.XLOOKUP(B1259,'Orders Ledger'!$A:$A,'Orders Ledger'!$G:$G,""))</f>
        <v/>
      </c>
      <c r="E1259" t="str">
        <f>IF(B1259="","",_xlfn.XLOOKUP(B1259,'Orders Ledger'!$A:$A,'Orders Ledger'!$H:$H,""))</f>
        <v/>
      </c>
      <c r="F1259" t="str">
        <f>IF(B1259="","",_xlfn.XLOOKUP(B1259,'Orders Ledger'!$A:$A,'Orders Ledger'!$F:$F,""))</f>
        <v/>
      </c>
      <c r="G1259" t="str">
        <f>IF(B1259="","",_xlfn.XLOOKUP(B1259,'Orders Ledger'!$A:$A,'Orders Ledger'!$N:$N,0))</f>
        <v/>
      </c>
    </row>
    <row r="1260" spans="2:7" x14ac:dyDescent="0.3">
      <c r="B1260" t="str">
        <f t="array" ref="B1260">IFERROR(INDEX('Orders Ledger'!$A$2:$A$1501, SMALL(IF(('Orders Ledger'!$J$2:$J$1501="disputed")+('Orders Ledger'!$J$2:$J$1501="PENDING_REVIEW"), ROW('Orders Ledger'!$A$2:$A$1501)-ROW('Orders Ledger'!$A$2)+1), ROW(1202:1202))), "")</f>
        <v/>
      </c>
      <c r="C1260" s="11" t="str">
        <f>IF(B1260="","",_xlfn.XLOOKUP(B1260,'Orders Ledger'!$A:$A,'Orders Ledger'!$B:$B,""))</f>
        <v/>
      </c>
      <c r="D1260" t="str">
        <f>IF(B1260="","",_xlfn.XLOOKUP(B1260,'Orders Ledger'!$A:$A,'Orders Ledger'!$G:$G,""))</f>
        <v/>
      </c>
      <c r="E1260" t="str">
        <f>IF(B1260="","",_xlfn.XLOOKUP(B1260,'Orders Ledger'!$A:$A,'Orders Ledger'!$H:$H,""))</f>
        <v/>
      </c>
      <c r="F1260" t="str">
        <f>IF(B1260="","",_xlfn.XLOOKUP(B1260,'Orders Ledger'!$A:$A,'Orders Ledger'!$F:$F,""))</f>
        <v/>
      </c>
      <c r="G1260" t="str">
        <f>IF(B1260="","",_xlfn.XLOOKUP(B1260,'Orders Ledger'!$A:$A,'Orders Ledger'!$N:$N,0))</f>
        <v/>
      </c>
    </row>
    <row r="1261" spans="2:7" x14ac:dyDescent="0.3">
      <c r="B1261" t="str">
        <f t="array" ref="B1261">IFERROR(INDEX('Orders Ledger'!$A$2:$A$1501, SMALL(IF(('Orders Ledger'!$J$2:$J$1501="disputed")+('Orders Ledger'!$J$2:$J$1501="PENDING_REVIEW"), ROW('Orders Ledger'!$A$2:$A$1501)-ROW('Orders Ledger'!$A$2)+1), ROW(1203:1203))), "")</f>
        <v/>
      </c>
      <c r="C1261" s="11" t="str">
        <f>IF(B1261="","",_xlfn.XLOOKUP(B1261,'Orders Ledger'!$A:$A,'Orders Ledger'!$B:$B,""))</f>
        <v/>
      </c>
      <c r="D1261" t="str">
        <f>IF(B1261="","",_xlfn.XLOOKUP(B1261,'Orders Ledger'!$A:$A,'Orders Ledger'!$G:$G,""))</f>
        <v/>
      </c>
      <c r="E1261" t="str">
        <f>IF(B1261="","",_xlfn.XLOOKUP(B1261,'Orders Ledger'!$A:$A,'Orders Ledger'!$H:$H,""))</f>
        <v/>
      </c>
      <c r="F1261" t="str">
        <f>IF(B1261="","",_xlfn.XLOOKUP(B1261,'Orders Ledger'!$A:$A,'Orders Ledger'!$F:$F,""))</f>
        <v/>
      </c>
      <c r="G1261" t="str">
        <f>IF(B1261="","",_xlfn.XLOOKUP(B1261,'Orders Ledger'!$A:$A,'Orders Ledger'!$N:$N,0))</f>
        <v/>
      </c>
    </row>
    <row r="1262" spans="2:7" x14ac:dyDescent="0.3">
      <c r="B1262" t="str">
        <f t="array" ref="B1262">IFERROR(INDEX('Orders Ledger'!$A$2:$A$1501, SMALL(IF(('Orders Ledger'!$J$2:$J$1501="disputed")+('Orders Ledger'!$J$2:$J$1501="PENDING_REVIEW"), ROW('Orders Ledger'!$A$2:$A$1501)-ROW('Orders Ledger'!$A$2)+1), ROW(1204:1204))), "")</f>
        <v/>
      </c>
      <c r="C1262" s="11" t="str">
        <f>IF(B1262="","",_xlfn.XLOOKUP(B1262,'Orders Ledger'!$A:$A,'Orders Ledger'!$B:$B,""))</f>
        <v/>
      </c>
      <c r="D1262" t="str">
        <f>IF(B1262="","",_xlfn.XLOOKUP(B1262,'Orders Ledger'!$A:$A,'Orders Ledger'!$G:$G,""))</f>
        <v/>
      </c>
      <c r="E1262" t="str">
        <f>IF(B1262="","",_xlfn.XLOOKUP(B1262,'Orders Ledger'!$A:$A,'Orders Ledger'!$H:$H,""))</f>
        <v/>
      </c>
      <c r="F1262" t="str">
        <f>IF(B1262="","",_xlfn.XLOOKUP(B1262,'Orders Ledger'!$A:$A,'Orders Ledger'!$F:$F,""))</f>
        <v/>
      </c>
      <c r="G1262" t="str">
        <f>IF(B1262="","",_xlfn.XLOOKUP(B1262,'Orders Ledger'!$A:$A,'Orders Ledger'!$N:$N,0))</f>
        <v/>
      </c>
    </row>
    <row r="1263" spans="2:7" x14ac:dyDescent="0.3">
      <c r="B1263" t="str">
        <f t="array" ref="B1263">IFERROR(INDEX('Orders Ledger'!$A$2:$A$1501, SMALL(IF(('Orders Ledger'!$J$2:$J$1501="disputed")+('Orders Ledger'!$J$2:$J$1501="PENDING_REVIEW"), ROW('Orders Ledger'!$A$2:$A$1501)-ROW('Orders Ledger'!$A$2)+1), ROW(1205:1205))), "")</f>
        <v/>
      </c>
      <c r="C1263" s="11" t="str">
        <f>IF(B1263="","",_xlfn.XLOOKUP(B1263,'Orders Ledger'!$A:$A,'Orders Ledger'!$B:$B,""))</f>
        <v/>
      </c>
      <c r="D1263" t="str">
        <f>IF(B1263="","",_xlfn.XLOOKUP(B1263,'Orders Ledger'!$A:$A,'Orders Ledger'!$G:$G,""))</f>
        <v/>
      </c>
      <c r="E1263" t="str">
        <f>IF(B1263="","",_xlfn.XLOOKUP(B1263,'Orders Ledger'!$A:$A,'Orders Ledger'!$H:$H,""))</f>
        <v/>
      </c>
      <c r="F1263" t="str">
        <f>IF(B1263="","",_xlfn.XLOOKUP(B1263,'Orders Ledger'!$A:$A,'Orders Ledger'!$F:$F,""))</f>
        <v/>
      </c>
      <c r="G1263" t="str">
        <f>IF(B1263="","",_xlfn.XLOOKUP(B1263,'Orders Ledger'!$A:$A,'Orders Ledger'!$N:$N,0))</f>
        <v/>
      </c>
    </row>
    <row r="1264" spans="2:7" x14ac:dyDescent="0.3">
      <c r="B1264" t="str">
        <f t="array" ref="B1264">IFERROR(INDEX('Orders Ledger'!$A$2:$A$1501, SMALL(IF(('Orders Ledger'!$J$2:$J$1501="disputed")+('Orders Ledger'!$J$2:$J$1501="PENDING_REVIEW"), ROW('Orders Ledger'!$A$2:$A$1501)-ROW('Orders Ledger'!$A$2)+1), ROW(1206:1206))), "")</f>
        <v/>
      </c>
      <c r="C1264" s="11" t="str">
        <f>IF(B1264="","",_xlfn.XLOOKUP(B1264,'Orders Ledger'!$A:$A,'Orders Ledger'!$B:$B,""))</f>
        <v/>
      </c>
      <c r="D1264" t="str">
        <f>IF(B1264="","",_xlfn.XLOOKUP(B1264,'Orders Ledger'!$A:$A,'Orders Ledger'!$G:$G,""))</f>
        <v/>
      </c>
      <c r="E1264" t="str">
        <f>IF(B1264="","",_xlfn.XLOOKUP(B1264,'Orders Ledger'!$A:$A,'Orders Ledger'!$H:$H,""))</f>
        <v/>
      </c>
      <c r="F1264" t="str">
        <f>IF(B1264="","",_xlfn.XLOOKUP(B1264,'Orders Ledger'!$A:$A,'Orders Ledger'!$F:$F,""))</f>
        <v/>
      </c>
      <c r="G1264" t="str">
        <f>IF(B1264="","",_xlfn.XLOOKUP(B1264,'Orders Ledger'!$A:$A,'Orders Ledger'!$N:$N,0))</f>
        <v/>
      </c>
    </row>
    <row r="1265" spans="2:7" x14ac:dyDescent="0.3">
      <c r="B1265" t="str">
        <f t="array" ref="B1265">IFERROR(INDEX('Orders Ledger'!$A$2:$A$1501, SMALL(IF(('Orders Ledger'!$J$2:$J$1501="disputed")+('Orders Ledger'!$J$2:$J$1501="PENDING_REVIEW"), ROW('Orders Ledger'!$A$2:$A$1501)-ROW('Orders Ledger'!$A$2)+1), ROW(1207:1207))), "")</f>
        <v/>
      </c>
      <c r="C1265" s="11" t="str">
        <f>IF(B1265="","",_xlfn.XLOOKUP(B1265,'Orders Ledger'!$A:$A,'Orders Ledger'!$B:$B,""))</f>
        <v/>
      </c>
      <c r="D1265" t="str">
        <f>IF(B1265="","",_xlfn.XLOOKUP(B1265,'Orders Ledger'!$A:$A,'Orders Ledger'!$G:$G,""))</f>
        <v/>
      </c>
      <c r="E1265" t="str">
        <f>IF(B1265="","",_xlfn.XLOOKUP(B1265,'Orders Ledger'!$A:$A,'Orders Ledger'!$H:$H,""))</f>
        <v/>
      </c>
      <c r="F1265" t="str">
        <f>IF(B1265="","",_xlfn.XLOOKUP(B1265,'Orders Ledger'!$A:$A,'Orders Ledger'!$F:$F,""))</f>
        <v/>
      </c>
      <c r="G1265" t="str">
        <f>IF(B1265="","",_xlfn.XLOOKUP(B1265,'Orders Ledger'!$A:$A,'Orders Ledger'!$N:$N,0))</f>
        <v/>
      </c>
    </row>
    <row r="1266" spans="2:7" x14ac:dyDescent="0.3">
      <c r="B1266" t="str">
        <f t="array" ref="B1266">IFERROR(INDEX('Orders Ledger'!$A$2:$A$1501, SMALL(IF(('Orders Ledger'!$J$2:$J$1501="disputed")+('Orders Ledger'!$J$2:$J$1501="PENDING_REVIEW"), ROW('Orders Ledger'!$A$2:$A$1501)-ROW('Orders Ledger'!$A$2)+1), ROW(1208:1208))), "")</f>
        <v/>
      </c>
      <c r="C1266" s="11" t="str">
        <f>IF(B1266="","",_xlfn.XLOOKUP(B1266,'Orders Ledger'!$A:$A,'Orders Ledger'!$B:$B,""))</f>
        <v/>
      </c>
      <c r="D1266" t="str">
        <f>IF(B1266="","",_xlfn.XLOOKUP(B1266,'Orders Ledger'!$A:$A,'Orders Ledger'!$G:$G,""))</f>
        <v/>
      </c>
      <c r="E1266" t="str">
        <f>IF(B1266="","",_xlfn.XLOOKUP(B1266,'Orders Ledger'!$A:$A,'Orders Ledger'!$H:$H,""))</f>
        <v/>
      </c>
      <c r="F1266" t="str">
        <f>IF(B1266="","",_xlfn.XLOOKUP(B1266,'Orders Ledger'!$A:$A,'Orders Ledger'!$F:$F,""))</f>
        <v/>
      </c>
      <c r="G1266" t="str">
        <f>IF(B1266="","",_xlfn.XLOOKUP(B1266,'Orders Ledger'!$A:$A,'Orders Ledger'!$N:$N,0))</f>
        <v/>
      </c>
    </row>
    <row r="1267" spans="2:7" x14ac:dyDescent="0.3">
      <c r="B1267" t="str">
        <f t="array" ref="B1267">IFERROR(INDEX('Orders Ledger'!$A$2:$A$1501, SMALL(IF(('Orders Ledger'!$J$2:$J$1501="disputed")+('Orders Ledger'!$J$2:$J$1501="PENDING_REVIEW"), ROW('Orders Ledger'!$A$2:$A$1501)-ROW('Orders Ledger'!$A$2)+1), ROW(1209:1209))), "")</f>
        <v/>
      </c>
      <c r="C1267" s="11" t="str">
        <f>IF(B1267="","",_xlfn.XLOOKUP(B1267,'Orders Ledger'!$A:$A,'Orders Ledger'!$B:$B,""))</f>
        <v/>
      </c>
      <c r="D1267" t="str">
        <f>IF(B1267="","",_xlfn.XLOOKUP(B1267,'Orders Ledger'!$A:$A,'Orders Ledger'!$G:$G,""))</f>
        <v/>
      </c>
      <c r="E1267" t="str">
        <f>IF(B1267="","",_xlfn.XLOOKUP(B1267,'Orders Ledger'!$A:$A,'Orders Ledger'!$H:$H,""))</f>
        <v/>
      </c>
      <c r="F1267" t="str">
        <f>IF(B1267="","",_xlfn.XLOOKUP(B1267,'Orders Ledger'!$A:$A,'Orders Ledger'!$F:$F,""))</f>
        <v/>
      </c>
      <c r="G1267" t="str">
        <f>IF(B1267="","",_xlfn.XLOOKUP(B1267,'Orders Ledger'!$A:$A,'Orders Ledger'!$N:$N,0))</f>
        <v/>
      </c>
    </row>
    <row r="1268" spans="2:7" x14ac:dyDescent="0.3">
      <c r="B1268" t="str">
        <f t="array" ref="B1268">IFERROR(INDEX('Orders Ledger'!$A$2:$A$1501, SMALL(IF(('Orders Ledger'!$J$2:$J$1501="disputed")+('Orders Ledger'!$J$2:$J$1501="PENDING_REVIEW"), ROW('Orders Ledger'!$A$2:$A$1501)-ROW('Orders Ledger'!$A$2)+1), ROW(1210:1210))), "")</f>
        <v/>
      </c>
      <c r="C1268" s="11" t="str">
        <f>IF(B1268="","",_xlfn.XLOOKUP(B1268,'Orders Ledger'!$A:$A,'Orders Ledger'!$B:$B,""))</f>
        <v/>
      </c>
      <c r="D1268" t="str">
        <f>IF(B1268="","",_xlfn.XLOOKUP(B1268,'Orders Ledger'!$A:$A,'Orders Ledger'!$G:$G,""))</f>
        <v/>
      </c>
      <c r="E1268" t="str">
        <f>IF(B1268="","",_xlfn.XLOOKUP(B1268,'Orders Ledger'!$A:$A,'Orders Ledger'!$H:$H,""))</f>
        <v/>
      </c>
      <c r="F1268" t="str">
        <f>IF(B1268="","",_xlfn.XLOOKUP(B1268,'Orders Ledger'!$A:$A,'Orders Ledger'!$F:$F,""))</f>
        <v/>
      </c>
      <c r="G1268" t="str">
        <f>IF(B1268="","",_xlfn.XLOOKUP(B1268,'Orders Ledger'!$A:$A,'Orders Ledger'!$N:$N,0))</f>
        <v/>
      </c>
    </row>
    <row r="1269" spans="2:7" x14ac:dyDescent="0.3">
      <c r="B1269" t="str">
        <f t="array" ref="B1269">IFERROR(INDEX('Orders Ledger'!$A$2:$A$1501, SMALL(IF(('Orders Ledger'!$J$2:$J$1501="disputed")+('Orders Ledger'!$J$2:$J$1501="PENDING_REVIEW"), ROW('Orders Ledger'!$A$2:$A$1501)-ROW('Orders Ledger'!$A$2)+1), ROW(1211:1211))), "")</f>
        <v/>
      </c>
      <c r="C1269" s="11" t="str">
        <f>IF(B1269="","",_xlfn.XLOOKUP(B1269,'Orders Ledger'!$A:$A,'Orders Ledger'!$B:$B,""))</f>
        <v/>
      </c>
      <c r="D1269" t="str">
        <f>IF(B1269="","",_xlfn.XLOOKUP(B1269,'Orders Ledger'!$A:$A,'Orders Ledger'!$G:$G,""))</f>
        <v/>
      </c>
      <c r="E1269" t="str">
        <f>IF(B1269="","",_xlfn.XLOOKUP(B1269,'Orders Ledger'!$A:$A,'Orders Ledger'!$H:$H,""))</f>
        <v/>
      </c>
      <c r="F1269" t="str">
        <f>IF(B1269="","",_xlfn.XLOOKUP(B1269,'Orders Ledger'!$A:$A,'Orders Ledger'!$F:$F,""))</f>
        <v/>
      </c>
      <c r="G1269" t="str">
        <f>IF(B1269="","",_xlfn.XLOOKUP(B1269,'Orders Ledger'!$A:$A,'Orders Ledger'!$N:$N,0))</f>
        <v/>
      </c>
    </row>
    <row r="1270" spans="2:7" x14ac:dyDescent="0.3">
      <c r="B1270" t="str">
        <f t="array" ref="B1270">IFERROR(INDEX('Orders Ledger'!$A$2:$A$1501, SMALL(IF(('Orders Ledger'!$J$2:$J$1501="disputed")+('Orders Ledger'!$J$2:$J$1501="PENDING_REVIEW"), ROW('Orders Ledger'!$A$2:$A$1501)-ROW('Orders Ledger'!$A$2)+1), ROW(1212:1212))), "")</f>
        <v/>
      </c>
      <c r="C1270" s="11" t="str">
        <f>IF(B1270="","",_xlfn.XLOOKUP(B1270,'Orders Ledger'!$A:$A,'Orders Ledger'!$B:$B,""))</f>
        <v/>
      </c>
      <c r="D1270" t="str">
        <f>IF(B1270="","",_xlfn.XLOOKUP(B1270,'Orders Ledger'!$A:$A,'Orders Ledger'!$G:$G,""))</f>
        <v/>
      </c>
      <c r="E1270" t="str">
        <f>IF(B1270="","",_xlfn.XLOOKUP(B1270,'Orders Ledger'!$A:$A,'Orders Ledger'!$H:$H,""))</f>
        <v/>
      </c>
      <c r="F1270" t="str">
        <f>IF(B1270="","",_xlfn.XLOOKUP(B1270,'Orders Ledger'!$A:$A,'Orders Ledger'!$F:$F,""))</f>
        <v/>
      </c>
      <c r="G1270" t="str">
        <f>IF(B1270="","",_xlfn.XLOOKUP(B1270,'Orders Ledger'!$A:$A,'Orders Ledger'!$N:$N,0))</f>
        <v/>
      </c>
    </row>
    <row r="1271" spans="2:7" x14ac:dyDescent="0.3">
      <c r="B1271" t="str">
        <f t="array" ref="B1271">IFERROR(INDEX('Orders Ledger'!$A$2:$A$1501, SMALL(IF(('Orders Ledger'!$J$2:$J$1501="disputed")+('Orders Ledger'!$J$2:$J$1501="PENDING_REVIEW"), ROW('Orders Ledger'!$A$2:$A$1501)-ROW('Orders Ledger'!$A$2)+1), ROW(1213:1213))), "")</f>
        <v/>
      </c>
      <c r="C1271" s="11" t="str">
        <f>IF(B1271="","",_xlfn.XLOOKUP(B1271,'Orders Ledger'!$A:$A,'Orders Ledger'!$B:$B,""))</f>
        <v/>
      </c>
      <c r="D1271" t="str">
        <f>IF(B1271="","",_xlfn.XLOOKUP(B1271,'Orders Ledger'!$A:$A,'Orders Ledger'!$G:$G,""))</f>
        <v/>
      </c>
      <c r="E1271" t="str">
        <f>IF(B1271="","",_xlfn.XLOOKUP(B1271,'Orders Ledger'!$A:$A,'Orders Ledger'!$H:$H,""))</f>
        <v/>
      </c>
      <c r="F1271" t="str">
        <f>IF(B1271="","",_xlfn.XLOOKUP(B1271,'Orders Ledger'!$A:$A,'Orders Ledger'!$F:$F,""))</f>
        <v/>
      </c>
      <c r="G1271" t="str">
        <f>IF(B1271="","",_xlfn.XLOOKUP(B1271,'Orders Ledger'!$A:$A,'Orders Ledger'!$N:$N,0))</f>
        <v/>
      </c>
    </row>
    <row r="1272" spans="2:7" x14ac:dyDescent="0.3">
      <c r="B1272" t="str">
        <f t="array" ref="B1272">IFERROR(INDEX('Orders Ledger'!$A$2:$A$1501, SMALL(IF(('Orders Ledger'!$J$2:$J$1501="disputed")+('Orders Ledger'!$J$2:$J$1501="PENDING_REVIEW"), ROW('Orders Ledger'!$A$2:$A$1501)-ROW('Orders Ledger'!$A$2)+1), ROW(1214:1214))), "")</f>
        <v/>
      </c>
      <c r="C1272" s="11" t="str">
        <f>IF(B1272="","",_xlfn.XLOOKUP(B1272,'Orders Ledger'!$A:$A,'Orders Ledger'!$B:$B,""))</f>
        <v/>
      </c>
      <c r="D1272" t="str">
        <f>IF(B1272="","",_xlfn.XLOOKUP(B1272,'Orders Ledger'!$A:$A,'Orders Ledger'!$G:$G,""))</f>
        <v/>
      </c>
      <c r="E1272" t="str">
        <f>IF(B1272="","",_xlfn.XLOOKUP(B1272,'Orders Ledger'!$A:$A,'Orders Ledger'!$H:$H,""))</f>
        <v/>
      </c>
      <c r="F1272" t="str">
        <f>IF(B1272="","",_xlfn.XLOOKUP(B1272,'Orders Ledger'!$A:$A,'Orders Ledger'!$F:$F,""))</f>
        <v/>
      </c>
      <c r="G1272" t="str">
        <f>IF(B1272="","",_xlfn.XLOOKUP(B1272,'Orders Ledger'!$A:$A,'Orders Ledger'!$N:$N,0))</f>
        <v/>
      </c>
    </row>
    <row r="1273" spans="2:7" x14ac:dyDescent="0.3">
      <c r="B1273" t="str">
        <f t="array" ref="B1273">IFERROR(INDEX('Orders Ledger'!$A$2:$A$1501, SMALL(IF(('Orders Ledger'!$J$2:$J$1501="disputed")+('Orders Ledger'!$J$2:$J$1501="PENDING_REVIEW"), ROW('Orders Ledger'!$A$2:$A$1501)-ROW('Orders Ledger'!$A$2)+1), ROW(1215:1215))), "")</f>
        <v/>
      </c>
      <c r="C1273" s="11" t="str">
        <f>IF(B1273="","",_xlfn.XLOOKUP(B1273,'Orders Ledger'!$A:$A,'Orders Ledger'!$B:$B,""))</f>
        <v/>
      </c>
      <c r="D1273" t="str">
        <f>IF(B1273="","",_xlfn.XLOOKUP(B1273,'Orders Ledger'!$A:$A,'Orders Ledger'!$G:$G,""))</f>
        <v/>
      </c>
      <c r="E1273" t="str">
        <f>IF(B1273="","",_xlfn.XLOOKUP(B1273,'Orders Ledger'!$A:$A,'Orders Ledger'!$H:$H,""))</f>
        <v/>
      </c>
      <c r="F1273" t="str">
        <f>IF(B1273="","",_xlfn.XLOOKUP(B1273,'Orders Ledger'!$A:$A,'Orders Ledger'!$F:$F,""))</f>
        <v/>
      </c>
      <c r="G1273" t="str">
        <f>IF(B1273="","",_xlfn.XLOOKUP(B1273,'Orders Ledger'!$A:$A,'Orders Ledger'!$N:$N,0))</f>
        <v/>
      </c>
    </row>
    <row r="1274" spans="2:7" x14ac:dyDescent="0.3">
      <c r="B1274" t="str">
        <f t="array" ref="B1274">IFERROR(INDEX('Orders Ledger'!$A$2:$A$1501, SMALL(IF(('Orders Ledger'!$J$2:$J$1501="disputed")+('Orders Ledger'!$J$2:$J$1501="PENDING_REVIEW"), ROW('Orders Ledger'!$A$2:$A$1501)-ROW('Orders Ledger'!$A$2)+1), ROW(1216:1216))), "")</f>
        <v/>
      </c>
      <c r="C1274" s="11" t="str">
        <f>IF(B1274="","",_xlfn.XLOOKUP(B1274,'Orders Ledger'!$A:$A,'Orders Ledger'!$B:$B,""))</f>
        <v/>
      </c>
      <c r="D1274" t="str">
        <f>IF(B1274="","",_xlfn.XLOOKUP(B1274,'Orders Ledger'!$A:$A,'Orders Ledger'!$G:$G,""))</f>
        <v/>
      </c>
      <c r="E1274" t="str">
        <f>IF(B1274="","",_xlfn.XLOOKUP(B1274,'Orders Ledger'!$A:$A,'Orders Ledger'!$H:$H,""))</f>
        <v/>
      </c>
      <c r="F1274" t="str">
        <f>IF(B1274="","",_xlfn.XLOOKUP(B1274,'Orders Ledger'!$A:$A,'Orders Ledger'!$F:$F,""))</f>
        <v/>
      </c>
      <c r="G1274" t="str">
        <f>IF(B1274="","",_xlfn.XLOOKUP(B1274,'Orders Ledger'!$A:$A,'Orders Ledger'!$N:$N,0))</f>
        <v/>
      </c>
    </row>
    <row r="1275" spans="2:7" x14ac:dyDescent="0.3">
      <c r="B1275" t="str">
        <f t="array" ref="B1275">IFERROR(INDEX('Orders Ledger'!$A$2:$A$1501, SMALL(IF(('Orders Ledger'!$J$2:$J$1501="disputed")+('Orders Ledger'!$J$2:$J$1501="PENDING_REVIEW"), ROW('Orders Ledger'!$A$2:$A$1501)-ROW('Orders Ledger'!$A$2)+1), ROW(1217:1217))), "")</f>
        <v/>
      </c>
      <c r="C1275" s="11" t="str">
        <f>IF(B1275="","",_xlfn.XLOOKUP(B1275,'Orders Ledger'!$A:$A,'Orders Ledger'!$B:$B,""))</f>
        <v/>
      </c>
      <c r="D1275" t="str">
        <f>IF(B1275="","",_xlfn.XLOOKUP(B1275,'Orders Ledger'!$A:$A,'Orders Ledger'!$G:$G,""))</f>
        <v/>
      </c>
      <c r="E1275" t="str">
        <f>IF(B1275="","",_xlfn.XLOOKUP(B1275,'Orders Ledger'!$A:$A,'Orders Ledger'!$H:$H,""))</f>
        <v/>
      </c>
      <c r="F1275" t="str">
        <f>IF(B1275="","",_xlfn.XLOOKUP(B1275,'Orders Ledger'!$A:$A,'Orders Ledger'!$F:$F,""))</f>
        <v/>
      </c>
      <c r="G1275" t="str">
        <f>IF(B1275="","",_xlfn.XLOOKUP(B1275,'Orders Ledger'!$A:$A,'Orders Ledger'!$N:$N,0))</f>
        <v/>
      </c>
    </row>
    <row r="1276" spans="2:7" x14ac:dyDescent="0.3">
      <c r="B1276" t="str">
        <f t="array" ref="B1276">IFERROR(INDEX('Orders Ledger'!$A$2:$A$1501, SMALL(IF(('Orders Ledger'!$J$2:$J$1501="disputed")+('Orders Ledger'!$J$2:$J$1501="PENDING_REVIEW"), ROW('Orders Ledger'!$A$2:$A$1501)-ROW('Orders Ledger'!$A$2)+1), ROW(1218:1218))), "")</f>
        <v/>
      </c>
      <c r="C1276" s="11" t="str">
        <f>IF(B1276="","",_xlfn.XLOOKUP(B1276,'Orders Ledger'!$A:$A,'Orders Ledger'!$B:$B,""))</f>
        <v/>
      </c>
      <c r="D1276" t="str">
        <f>IF(B1276="","",_xlfn.XLOOKUP(B1276,'Orders Ledger'!$A:$A,'Orders Ledger'!$G:$G,""))</f>
        <v/>
      </c>
      <c r="E1276" t="str">
        <f>IF(B1276="","",_xlfn.XLOOKUP(B1276,'Orders Ledger'!$A:$A,'Orders Ledger'!$H:$H,""))</f>
        <v/>
      </c>
      <c r="F1276" t="str">
        <f>IF(B1276="","",_xlfn.XLOOKUP(B1276,'Orders Ledger'!$A:$A,'Orders Ledger'!$F:$F,""))</f>
        <v/>
      </c>
      <c r="G1276" t="str">
        <f>IF(B1276="","",_xlfn.XLOOKUP(B1276,'Orders Ledger'!$A:$A,'Orders Ledger'!$N:$N,0))</f>
        <v/>
      </c>
    </row>
    <row r="1277" spans="2:7" x14ac:dyDescent="0.3">
      <c r="B1277" t="str">
        <f t="array" ref="B1277">IFERROR(INDEX('Orders Ledger'!$A$2:$A$1501, SMALL(IF(('Orders Ledger'!$J$2:$J$1501="disputed")+('Orders Ledger'!$J$2:$J$1501="PENDING_REVIEW"), ROW('Orders Ledger'!$A$2:$A$1501)-ROW('Orders Ledger'!$A$2)+1), ROW(1219:1219))), "")</f>
        <v/>
      </c>
      <c r="C1277" s="11" t="str">
        <f>IF(B1277="","",_xlfn.XLOOKUP(B1277,'Orders Ledger'!$A:$A,'Orders Ledger'!$B:$B,""))</f>
        <v/>
      </c>
      <c r="D1277" t="str">
        <f>IF(B1277="","",_xlfn.XLOOKUP(B1277,'Orders Ledger'!$A:$A,'Orders Ledger'!$G:$G,""))</f>
        <v/>
      </c>
      <c r="E1277" t="str">
        <f>IF(B1277="","",_xlfn.XLOOKUP(B1277,'Orders Ledger'!$A:$A,'Orders Ledger'!$H:$H,""))</f>
        <v/>
      </c>
      <c r="F1277" t="str">
        <f>IF(B1277="","",_xlfn.XLOOKUP(B1277,'Orders Ledger'!$A:$A,'Orders Ledger'!$F:$F,""))</f>
        <v/>
      </c>
      <c r="G1277" t="str">
        <f>IF(B1277="","",_xlfn.XLOOKUP(B1277,'Orders Ledger'!$A:$A,'Orders Ledger'!$N:$N,0))</f>
        <v/>
      </c>
    </row>
    <row r="1278" spans="2:7" x14ac:dyDescent="0.3">
      <c r="B1278" t="str">
        <f t="array" ref="B1278">IFERROR(INDEX('Orders Ledger'!$A$2:$A$1501, SMALL(IF(('Orders Ledger'!$J$2:$J$1501="disputed")+('Orders Ledger'!$J$2:$J$1501="PENDING_REVIEW"), ROW('Orders Ledger'!$A$2:$A$1501)-ROW('Orders Ledger'!$A$2)+1), ROW(1220:1220))), "")</f>
        <v/>
      </c>
      <c r="C1278" s="11" t="str">
        <f>IF(B1278="","",_xlfn.XLOOKUP(B1278,'Orders Ledger'!$A:$A,'Orders Ledger'!$B:$B,""))</f>
        <v/>
      </c>
      <c r="D1278" t="str">
        <f>IF(B1278="","",_xlfn.XLOOKUP(B1278,'Orders Ledger'!$A:$A,'Orders Ledger'!$G:$G,""))</f>
        <v/>
      </c>
      <c r="E1278" t="str">
        <f>IF(B1278="","",_xlfn.XLOOKUP(B1278,'Orders Ledger'!$A:$A,'Orders Ledger'!$H:$H,""))</f>
        <v/>
      </c>
      <c r="F1278" t="str">
        <f>IF(B1278="","",_xlfn.XLOOKUP(B1278,'Orders Ledger'!$A:$A,'Orders Ledger'!$F:$F,""))</f>
        <v/>
      </c>
      <c r="G1278" t="str">
        <f>IF(B1278="","",_xlfn.XLOOKUP(B1278,'Orders Ledger'!$A:$A,'Orders Ledger'!$N:$N,0))</f>
        <v/>
      </c>
    </row>
    <row r="1279" spans="2:7" x14ac:dyDescent="0.3">
      <c r="B1279" t="str">
        <f t="array" ref="B1279">IFERROR(INDEX('Orders Ledger'!$A$2:$A$1501, SMALL(IF(('Orders Ledger'!$J$2:$J$1501="disputed")+('Orders Ledger'!$J$2:$J$1501="PENDING_REVIEW"), ROW('Orders Ledger'!$A$2:$A$1501)-ROW('Orders Ledger'!$A$2)+1), ROW(1221:1221))), "")</f>
        <v/>
      </c>
      <c r="C1279" s="11" t="str">
        <f>IF(B1279="","",_xlfn.XLOOKUP(B1279,'Orders Ledger'!$A:$A,'Orders Ledger'!$B:$B,""))</f>
        <v/>
      </c>
      <c r="D1279" t="str">
        <f>IF(B1279="","",_xlfn.XLOOKUP(B1279,'Orders Ledger'!$A:$A,'Orders Ledger'!$G:$G,""))</f>
        <v/>
      </c>
      <c r="E1279" t="str">
        <f>IF(B1279="","",_xlfn.XLOOKUP(B1279,'Orders Ledger'!$A:$A,'Orders Ledger'!$H:$H,""))</f>
        <v/>
      </c>
      <c r="F1279" t="str">
        <f>IF(B1279="","",_xlfn.XLOOKUP(B1279,'Orders Ledger'!$A:$A,'Orders Ledger'!$F:$F,""))</f>
        <v/>
      </c>
      <c r="G1279" t="str">
        <f>IF(B1279="","",_xlfn.XLOOKUP(B1279,'Orders Ledger'!$A:$A,'Orders Ledger'!$N:$N,0))</f>
        <v/>
      </c>
    </row>
    <row r="1280" spans="2:7" x14ac:dyDescent="0.3">
      <c r="B1280" t="str">
        <f t="array" ref="B1280">IFERROR(INDEX('Orders Ledger'!$A$2:$A$1501, SMALL(IF(('Orders Ledger'!$J$2:$J$1501="disputed")+('Orders Ledger'!$J$2:$J$1501="PENDING_REVIEW"), ROW('Orders Ledger'!$A$2:$A$1501)-ROW('Orders Ledger'!$A$2)+1), ROW(1222:1222))), "")</f>
        <v/>
      </c>
      <c r="C1280" s="11" t="str">
        <f>IF(B1280="","",_xlfn.XLOOKUP(B1280,'Orders Ledger'!$A:$A,'Orders Ledger'!$B:$B,""))</f>
        <v/>
      </c>
      <c r="D1280" t="str">
        <f>IF(B1280="","",_xlfn.XLOOKUP(B1280,'Orders Ledger'!$A:$A,'Orders Ledger'!$G:$G,""))</f>
        <v/>
      </c>
      <c r="E1280" t="str">
        <f>IF(B1280="","",_xlfn.XLOOKUP(B1280,'Orders Ledger'!$A:$A,'Orders Ledger'!$H:$H,""))</f>
        <v/>
      </c>
      <c r="F1280" t="str">
        <f>IF(B1280="","",_xlfn.XLOOKUP(B1280,'Orders Ledger'!$A:$A,'Orders Ledger'!$F:$F,""))</f>
        <v/>
      </c>
      <c r="G1280" t="str">
        <f>IF(B1280="","",_xlfn.XLOOKUP(B1280,'Orders Ledger'!$A:$A,'Orders Ledger'!$N:$N,0))</f>
        <v/>
      </c>
    </row>
    <row r="1281" spans="2:7" x14ac:dyDescent="0.3">
      <c r="B1281" t="str">
        <f t="array" ref="B1281">IFERROR(INDEX('Orders Ledger'!$A$2:$A$1501, SMALL(IF(('Orders Ledger'!$J$2:$J$1501="disputed")+('Orders Ledger'!$J$2:$J$1501="PENDING_REVIEW"), ROW('Orders Ledger'!$A$2:$A$1501)-ROW('Orders Ledger'!$A$2)+1), ROW(1223:1223))), "")</f>
        <v/>
      </c>
      <c r="C1281" s="11" t="str">
        <f>IF(B1281="","",_xlfn.XLOOKUP(B1281,'Orders Ledger'!$A:$A,'Orders Ledger'!$B:$B,""))</f>
        <v/>
      </c>
      <c r="D1281" t="str">
        <f>IF(B1281="","",_xlfn.XLOOKUP(B1281,'Orders Ledger'!$A:$A,'Orders Ledger'!$G:$G,""))</f>
        <v/>
      </c>
      <c r="E1281" t="str">
        <f>IF(B1281="","",_xlfn.XLOOKUP(B1281,'Orders Ledger'!$A:$A,'Orders Ledger'!$H:$H,""))</f>
        <v/>
      </c>
      <c r="F1281" t="str">
        <f>IF(B1281="","",_xlfn.XLOOKUP(B1281,'Orders Ledger'!$A:$A,'Orders Ledger'!$F:$F,""))</f>
        <v/>
      </c>
      <c r="G1281" t="str">
        <f>IF(B1281="","",_xlfn.XLOOKUP(B1281,'Orders Ledger'!$A:$A,'Orders Ledger'!$N:$N,0))</f>
        <v/>
      </c>
    </row>
    <row r="1282" spans="2:7" x14ac:dyDescent="0.3">
      <c r="B1282" t="str">
        <f t="array" ref="B1282">IFERROR(INDEX('Orders Ledger'!$A$2:$A$1501, SMALL(IF(('Orders Ledger'!$J$2:$J$1501="disputed")+('Orders Ledger'!$J$2:$J$1501="PENDING_REVIEW"), ROW('Orders Ledger'!$A$2:$A$1501)-ROW('Orders Ledger'!$A$2)+1), ROW(1224:1224))), "")</f>
        <v/>
      </c>
      <c r="C1282" s="11" t="str">
        <f>IF(B1282="","",_xlfn.XLOOKUP(B1282,'Orders Ledger'!$A:$A,'Orders Ledger'!$B:$B,""))</f>
        <v/>
      </c>
      <c r="D1282" t="str">
        <f>IF(B1282="","",_xlfn.XLOOKUP(B1282,'Orders Ledger'!$A:$A,'Orders Ledger'!$G:$G,""))</f>
        <v/>
      </c>
      <c r="E1282" t="str">
        <f>IF(B1282="","",_xlfn.XLOOKUP(B1282,'Orders Ledger'!$A:$A,'Orders Ledger'!$H:$H,""))</f>
        <v/>
      </c>
      <c r="F1282" t="str">
        <f>IF(B1282="","",_xlfn.XLOOKUP(B1282,'Orders Ledger'!$A:$A,'Orders Ledger'!$F:$F,""))</f>
        <v/>
      </c>
      <c r="G1282" t="str">
        <f>IF(B1282="","",_xlfn.XLOOKUP(B1282,'Orders Ledger'!$A:$A,'Orders Ledger'!$N:$N,0))</f>
        <v/>
      </c>
    </row>
    <row r="1283" spans="2:7" x14ac:dyDescent="0.3">
      <c r="B1283" t="str">
        <f t="array" ref="B1283">IFERROR(INDEX('Orders Ledger'!$A$2:$A$1501, SMALL(IF(('Orders Ledger'!$J$2:$J$1501="disputed")+('Orders Ledger'!$J$2:$J$1501="PENDING_REVIEW"), ROW('Orders Ledger'!$A$2:$A$1501)-ROW('Orders Ledger'!$A$2)+1), ROW(1225:1225))), "")</f>
        <v/>
      </c>
      <c r="C1283" s="11" t="str">
        <f>IF(B1283="","",_xlfn.XLOOKUP(B1283,'Orders Ledger'!$A:$A,'Orders Ledger'!$B:$B,""))</f>
        <v/>
      </c>
      <c r="D1283" t="str">
        <f>IF(B1283="","",_xlfn.XLOOKUP(B1283,'Orders Ledger'!$A:$A,'Orders Ledger'!$G:$G,""))</f>
        <v/>
      </c>
      <c r="E1283" t="str">
        <f>IF(B1283="","",_xlfn.XLOOKUP(B1283,'Orders Ledger'!$A:$A,'Orders Ledger'!$H:$H,""))</f>
        <v/>
      </c>
      <c r="F1283" t="str">
        <f>IF(B1283="","",_xlfn.XLOOKUP(B1283,'Orders Ledger'!$A:$A,'Orders Ledger'!$F:$F,""))</f>
        <v/>
      </c>
      <c r="G1283" t="str">
        <f>IF(B1283="","",_xlfn.XLOOKUP(B1283,'Orders Ledger'!$A:$A,'Orders Ledger'!$N:$N,0))</f>
        <v/>
      </c>
    </row>
    <row r="1284" spans="2:7" x14ac:dyDescent="0.3">
      <c r="B1284" t="str">
        <f t="array" ref="B1284">IFERROR(INDEX('Orders Ledger'!$A$2:$A$1501, SMALL(IF(('Orders Ledger'!$J$2:$J$1501="disputed")+('Orders Ledger'!$J$2:$J$1501="PENDING_REVIEW"), ROW('Orders Ledger'!$A$2:$A$1501)-ROW('Orders Ledger'!$A$2)+1), ROW(1226:1226))), "")</f>
        <v/>
      </c>
      <c r="C1284" s="11" t="str">
        <f>IF(B1284="","",_xlfn.XLOOKUP(B1284,'Orders Ledger'!$A:$A,'Orders Ledger'!$B:$B,""))</f>
        <v/>
      </c>
      <c r="D1284" t="str">
        <f>IF(B1284="","",_xlfn.XLOOKUP(B1284,'Orders Ledger'!$A:$A,'Orders Ledger'!$G:$G,""))</f>
        <v/>
      </c>
      <c r="E1284" t="str">
        <f>IF(B1284="","",_xlfn.XLOOKUP(B1284,'Orders Ledger'!$A:$A,'Orders Ledger'!$H:$H,""))</f>
        <v/>
      </c>
      <c r="F1284" t="str">
        <f>IF(B1284="","",_xlfn.XLOOKUP(B1284,'Orders Ledger'!$A:$A,'Orders Ledger'!$F:$F,""))</f>
        <v/>
      </c>
      <c r="G1284" t="str">
        <f>IF(B1284="","",_xlfn.XLOOKUP(B1284,'Orders Ledger'!$A:$A,'Orders Ledger'!$N:$N,0))</f>
        <v/>
      </c>
    </row>
    <row r="1285" spans="2:7" x14ac:dyDescent="0.3">
      <c r="B1285" t="str">
        <f t="array" ref="B1285">IFERROR(INDEX('Orders Ledger'!$A$2:$A$1501, SMALL(IF(('Orders Ledger'!$J$2:$J$1501="disputed")+('Orders Ledger'!$J$2:$J$1501="PENDING_REVIEW"), ROW('Orders Ledger'!$A$2:$A$1501)-ROW('Orders Ledger'!$A$2)+1), ROW(1227:1227))), "")</f>
        <v/>
      </c>
      <c r="C1285" s="11" t="str">
        <f>IF(B1285="","",_xlfn.XLOOKUP(B1285,'Orders Ledger'!$A:$A,'Orders Ledger'!$B:$B,""))</f>
        <v/>
      </c>
      <c r="D1285" t="str">
        <f>IF(B1285="","",_xlfn.XLOOKUP(B1285,'Orders Ledger'!$A:$A,'Orders Ledger'!$G:$G,""))</f>
        <v/>
      </c>
      <c r="E1285" t="str">
        <f>IF(B1285="","",_xlfn.XLOOKUP(B1285,'Orders Ledger'!$A:$A,'Orders Ledger'!$H:$H,""))</f>
        <v/>
      </c>
      <c r="F1285" t="str">
        <f>IF(B1285="","",_xlfn.XLOOKUP(B1285,'Orders Ledger'!$A:$A,'Orders Ledger'!$F:$F,""))</f>
        <v/>
      </c>
      <c r="G1285" t="str">
        <f>IF(B1285="","",_xlfn.XLOOKUP(B1285,'Orders Ledger'!$A:$A,'Orders Ledger'!$N:$N,0))</f>
        <v/>
      </c>
    </row>
    <row r="1286" spans="2:7" x14ac:dyDescent="0.3">
      <c r="B1286" t="str">
        <f t="array" ref="B1286">IFERROR(INDEX('Orders Ledger'!$A$2:$A$1501, SMALL(IF(('Orders Ledger'!$J$2:$J$1501="disputed")+('Orders Ledger'!$J$2:$J$1501="PENDING_REVIEW"), ROW('Orders Ledger'!$A$2:$A$1501)-ROW('Orders Ledger'!$A$2)+1), ROW(1228:1228))), "")</f>
        <v/>
      </c>
      <c r="C1286" s="11" t="str">
        <f>IF(B1286="","",_xlfn.XLOOKUP(B1286,'Orders Ledger'!$A:$A,'Orders Ledger'!$B:$B,""))</f>
        <v/>
      </c>
      <c r="D1286" t="str">
        <f>IF(B1286="","",_xlfn.XLOOKUP(B1286,'Orders Ledger'!$A:$A,'Orders Ledger'!$G:$G,""))</f>
        <v/>
      </c>
      <c r="E1286" t="str">
        <f>IF(B1286="","",_xlfn.XLOOKUP(B1286,'Orders Ledger'!$A:$A,'Orders Ledger'!$H:$H,""))</f>
        <v/>
      </c>
      <c r="F1286" t="str">
        <f>IF(B1286="","",_xlfn.XLOOKUP(B1286,'Orders Ledger'!$A:$A,'Orders Ledger'!$F:$F,""))</f>
        <v/>
      </c>
      <c r="G1286" t="str">
        <f>IF(B1286="","",_xlfn.XLOOKUP(B1286,'Orders Ledger'!$A:$A,'Orders Ledger'!$N:$N,0))</f>
        <v/>
      </c>
    </row>
    <row r="1287" spans="2:7" x14ac:dyDescent="0.3">
      <c r="B1287" t="str">
        <f t="array" ref="B1287">IFERROR(INDEX('Orders Ledger'!$A$2:$A$1501, SMALL(IF(('Orders Ledger'!$J$2:$J$1501="disputed")+('Orders Ledger'!$J$2:$J$1501="PENDING_REVIEW"), ROW('Orders Ledger'!$A$2:$A$1501)-ROW('Orders Ledger'!$A$2)+1), ROW(1229:1229))), "")</f>
        <v/>
      </c>
      <c r="C1287" s="11" t="str">
        <f>IF(B1287="","",_xlfn.XLOOKUP(B1287,'Orders Ledger'!$A:$A,'Orders Ledger'!$B:$B,""))</f>
        <v/>
      </c>
      <c r="D1287" t="str">
        <f>IF(B1287="","",_xlfn.XLOOKUP(B1287,'Orders Ledger'!$A:$A,'Orders Ledger'!$G:$G,""))</f>
        <v/>
      </c>
      <c r="E1287" t="str">
        <f>IF(B1287="","",_xlfn.XLOOKUP(B1287,'Orders Ledger'!$A:$A,'Orders Ledger'!$H:$H,""))</f>
        <v/>
      </c>
      <c r="F1287" t="str">
        <f>IF(B1287="","",_xlfn.XLOOKUP(B1287,'Orders Ledger'!$A:$A,'Orders Ledger'!$F:$F,""))</f>
        <v/>
      </c>
      <c r="G1287" t="str">
        <f>IF(B1287="","",_xlfn.XLOOKUP(B1287,'Orders Ledger'!$A:$A,'Orders Ledger'!$N:$N,0))</f>
        <v/>
      </c>
    </row>
    <row r="1288" spans="2:7" x14ac:dyDescent="0.3">
      <c r="B1288" t="str">
        <f t="array" ref="B1288">IFERROR(INDEX('Orders Ledger'!$A$2:$A$1501, SMALL(IF(('Orders Ledger'!$J$2:$J$1501="disputed")+('Orders Ledger'!$J$2:$J$1501="PENDING_REVIEW"), ROW('Orders Ledger'!$A$2:$A$1501)-ROW('Orders Ledger'!$A$2)+1), ROW(1230:1230))), "")</f>
        <v/>
      </c>
      <c r="C1288" s="11" t="str">
        <f>IF(B1288="","",_xlfn.XLOOKUP(B1288,'Orders Ledger'!$A:$A,'Orders Ledger'!$B:$B,""))</f>
        <v/>
      </c>
      <c r="D1288" t="str">
        <f>IF(B1288="","",_xlfn.XLOOKUP(B1288,'Orders Ledger'!$A:$A,'Orders Ledger'!$G:$G,""))</f>
        <v/>
      </c>
      <c r="E1288" t="str">
        <f>IF(B1288="","",_xlfn.XLOOKUP(B1288,'Orders Ledger'!$A:$A,'Orders Ledger'!$H:$H,""))</f>
        <v/>
      </c>
      <c r="F1288" t="str">
        <f>IF(B1288="","",_xlfn.XLOOKUP(B1288,'Orders Ledger'!$A:$A,'Orders Ledger'!$F:$F,""))</f>
        <v/>
      </c>
      <c r="G1288" t="str">
        <f>IF(B1288="","",_xlfn.XLOOKUP(B1288,'Orders Ledger'!$A:$A,'Orders Ledger'!$N:$N,0))</f>
        <v/>
      </c>
    </row>
    <row r="1289" spans="2:7" x14ac:dyDescent="0.3">
      <c r="B1289" t="str">
        <f t="array" ref="B1289">IFERROR(INDEX('Orders Ledger'!$A$2:$A$1501, SMALL(IF(('Orders Ledger'!$J$2:$J$1501="disputed")+('Orders Ledger'!$J$2:$J$1501="PENDING_REVIEW"), ROW('Orders Ledger'!$A$2:$A$1501)-ROW('Orders Ledger'!$A$2)+1), ROW(1231:1231))), "")</f>
        <v/>
      </c>
      <c r="C1289" s="11" t="str">
        <f>IF(B1289="","",_xlfn.XLOOKUP(B1289,'Orders Ledger'!$A:$A,'Orders Ledger'!$B:$B,""))</f>
        <v/>
      </c>
      <c r="D1289" t="str">
        <f>IF(B1289="","",_xlfn.XLOOKUP(B1289,'Orders Ledger'!$A:$A,'Orders Ledger'!$G:$G,""))</f>
        <v/>
      </c>
      <c r="E1289" t="str">
        <f>IF(B1289="","",_xlfn.XLOOKUP(B1289,'Orders Ledger'!$A:$A,'Orders Ledger'!$H:$H,""))</f>
        <v/>
      </c>
      <c r="F1289" t="str">
        <f>IF(B1289="","",_xlfn.XLOOKUP(B1289,'Orders Ledger'!$A:$A,'Orders Ledger'!$F:$F,""))</f>
        <v/>
      </c>
      <c r="G1289" t="str">
        <f>IF(B1289="","",_xlfn.XLOOKUP(B1289,'Orders Ledger'!$A:$A,'Orders Ledger'!$N:$N,0))</f>
        <v/>
      </c>
    </row>
    <row r="1290" spans="2:7" x14ac:dyDescent="0.3">
      <c r="B1290" t="str">
        <f t="array" ref="B1290">IFERROR(INDEX('Orders Ledger'!$A$2:$A$1501, SMALL(IF(('Orders Ledger'!$J$2:$J$1501="disputed")+('Orders Ledger'!$J$2:$J$1501="PENDING_REVIEW"), ROW('Orders Ledger'!$A$2:$A$1501)-ROW('Orders Ledger'!$A$2)+1), ROW(1232:1232))), "")</f>
        <v/>
      </c>
      <c r="C1290" s="11" t="str">
        <f>IF(B1290="","",_xlfn.XLOOKUP(B1290,'Orders Ledger'!$A:$A,'Orders Ledger'!$B:$B,""))</f>
        <v/>
      </c>
      <c r="D1290" t="str">
        <f>IF(B1290="","",_xlfn.XLOOKUP(B1290,'Orders Ledger'!$A:$A,'Orders Ledger'!$G:$G,""))</f>
        <v/>
      </c>
      <c r="E1290" t="str">
        <f>IF(B1290="","",_xlfn.XLOOKUP(B1290,'Orders Ledger'!$A:$A,'Orders Ledger'!$H:$H,""))</f>
        <v/>
      </c>
      <c r="F1290" t="str">
        <f>IF(B1290="","",_xlfn.XLOOKUP(B1290,'Orders Ledger'!$A:$A,'Orders Ledger'!$F:$F,""))</f>
        <v/>
      </c>
      <c r="G1290" t="str">
        <f>IF(B1290="","",_xlfn.XLOOKUP(B1290,'Orders Ledger'!$A:$A,'Orders Ledger'!$N:$N,0))</f>
        <v/>
      </c>
    </row>
    <row r="1291" spans="2:7" x14ac:dyDescent="0.3">
      <c r="B1291" t="str">
        <f t="array" ref="B1291">IFERROR(INDEX('Orders Ledger'!$A$2:$A$1501, SMALL(IF(('Orders Ledger'!$J$2:$J$1501="disputed")+('Orders Ledger'!$J$2:$J$1501="PENDING_REVIEW"), ROW('Orders Ledger'!$A$2:$A$1501)-ROW('Orders Ledger'!$A$2)+1), ROW(1233:1233))), "")</f>
        <v/>
      </c>
      <c r="C1291" s="11" t="str">
        <f>IF(B1291="","",_xlfn.XLOOKUP(B1291,'Orders Ledger'!$A:$A,'Orders Ledger'!$B:$B,""))</f>
        <v/>
      </c>
      <c r="D1291" t="str">
        <f>IF(B1291="","",_xlfn.XLOOKUP(B1291,'Orders Ledger'!$A:$A,'Orders Ledger'!$G:$G,""))</f>
        <v/>
      </c>
      <c r="E1291" t="str">
        <f>IF(B1291="","",_xlfn.XLOOKUP(B1291,'Orders Ledger'!$A:$A,'Orders Ledger'!$H:$H,""))</f>
        <v/>
      </c>
      <c r="F1291" t="str">
        <f>IF(B1291="","",_xlfn.XLOOKUP(B1291,'Orders Ledger'!$A:$A,'Orders Ledger'!$F:$F,""))</f>
        <v/>
      </c>
      <c r="G1291" t="str">
        <f>IF(B1291="","",_xlfn.XLOOKUP(B1291,'Orders Ledger'!$A:$A,'Orders Ledger'!$N:$N,0))</f>
        <v/>
      </c>
    </row>
    <row r="1292" spans="2:7" x14ac:dyDescent="0.3">
      <c r="B1292" t="str">
        <f t="array" ref="B1292">IFERROR(INDEX('Orders Ledger'!$A$2:$A$1501, SMALL(IF(('Orders Ledger'!$J$2:$J$1501="disputed")+('Orders Ledger'!$J$2:$J$1501="PENDING_REVIEW"), ROW('Orders Ledger'!$A$2:$A$1501)-ROW('Orders Ledger'!$A$2)+1), ROW(1234:1234))), "")</f>
        <v/>
      </c>
      <c r="C1292" s="11" t="str">
        <f>IF(B1292="","",_xlfn.XLOOKUP(B1292,'Orders Ledger'!$A:$A,'Orders Ledger'!$B:$B,""))</f>
        <v/>
      </c>
      <c r="D1292" t="str">
        <f>IF(B1292="","",_xlfn.XLOOKUP(B1292,'Orders Ledger'!$A:$A,'Orders Ledger'!$G:$G,""))</f>
        <v/>
      </c>
      <c r="E1292" t="str">
        <f>IF(B1292="","",_xlfn.XLOOKUP(B1292,'Orders Ledger'!$A:$A,'Orders Ledger'!$H:$H,""))</f>
        <v/>
      </c>
      <c r="F1292" t="str">
        <f>IF(B1292="","",_xlfn.XLOOKUP(B1292,'Orders Ledger'!$A:$A,'Orders Ledger'!$F:$F,""))</f>
        <v/>
      </c>
      <c r="G1292" t="str">
        <f>IF(B1292="","",_xlfn.XLOOKUP(B1292,'Orders Ledger'!$A:$A,'Orders Ledger'!$N:$N,0))</f>
        <v/>
      </c>
    </row>
    <row r="1293" spans="2:7" x14ac:dyDescent="0.3">
      <c r="B1293" t="str">
        <f t="array" ref="B1293">IFERROR(INDEX('Orders Ledger'!$A$2:$A$1501, SMALL(IF(('Orders Ledger'!$J$2:$J$1501="disputed")+('Orders Ledger'!$J$2:$J$1501="PENDING_REVIEW"), ROW('Orders Ledger'!$A$2:$A$1501)-ROW('Orders Ledger'!$A$2)+1), ROW(1235:1235))), "")</f>
        <v/>
      </c>
      <c r="C1293" s="11" t="str">
        <f>IF(B1293="","",_xlfn.XLOOKUP(B1293,'Orders Ledger'!$A:$A,'Orders Ledger'!$B:$B,""))</f>
        <v/>
      </c>
      <c r="D1293" t="str">
        <f>IF(B1293="","",_xlfn.XLOOKUP(B1293,'Orders Ledger'!$A:$A,'Orders Ledger'!$G:$G,""))</f>
        <v/>
      </c>
      <c r="E1293" t="str">
        <f>IF(B1293="","",_xlfn.XLOOKUP(B1293,'Orders Ledger'!$A:$A,'Orders Ledger'!$H:$H,""))</f>
        <v/>
      </c>
      <c r="F1293" t="str">
        <f>IF(B1293="","",_xlfn.XLOOKUP(B1293,'Orders Ledger'!$A:$A,'Orders Ledger'!$F:$F,""))</f>
        <v/>
      </c>
      <c r="G1293" t="str">
        <f>IF(B1293="","",_xlfn.XLOOKUP(B1293,'Orders Ledger'!$A:$A,'Orders Ledger'!$N:$N,0))</f>
        <v/>
      </c>
    </row>
    <row r="1294" spans="2:7" x14ac:dyDescent="0.3">
      <c r="B1294" t="str">
        <f t="array" ref="B1294">IFERROR(INDEX('Orders Ledger'!$A$2:$A$1501, SMALL(IF(('Orders Ledger'!$J$2:$J$1501="disputed")+('Orders Ledger'!$J$2:$J$1501="PENDING_REVIEW"), ROW('Orders Ledger'!$A$2:$A$1501)-ROW('Orders Ledger'!$A$2)+1), ROW(1236:1236))), "")</f>
        <v/>
      </c>
      <c r="C1294" s="11" t="str">
        <f>IF(B1294="","",_xlfn.XLOOKUP(B1294,'Orders Ledger'!$A:$A,'Orders Ledger'!$B:$B,""))</f>
        <v/>
      </c>
      <c r="D1294" t="str">
        <f>IF(B1294="","",_xlfn.XLOOKUP(B1294,'Orders Ledger'!$A:$A,'Orders Ledger'!$G:$G,""))</f>
        <v/>
      </c>
      <c r="E1294" t="str">
        <f>IF(B1294="","",_xlfn.XLOOKUP(B1294,'Orders Ledger'!$A:$A,'Orders Ledger'!$H:$H,""))</f>
        <v/>
      </c>
      <c r="F1294" t="str">
        <f>IF(B1294="","",_xlfn.XLOOKUP(B1294,'Orders Ledger'!$A:$A,'Orders Ledger'!$F:$F,""))</f>
        <v/>
      </c>
      <c r="G1294" t="str">
        <f>IF(B1294="","",_xlfn.XLOOKUP(B1294,'Orders Ledger'!$A:$A,'Orders Ledger'!$N:$N,0))</f>
        <v/>
      </c>
    </row>
    <row r="1295" spans="2:7" x14ac:dyDescent="0.3">
      <c r="B1295" t="str">
        <f t="array" ref="B1295">IFERROR(INDEX('Orders Ledger'!$A$2:$A$1501, SMALL(IF(('Orders Ledger'!$J$2:$J$1501="disputed")+('Orders Ledger'!$J$2:$J$1501="PENDING_REVIEW"), ROW('Orders Ledger'!$A$2:$A$1501)-ROW('Orders Ledger'!$A$2)+1), ROW(1237:1237))), "")</f>
        <v/>
      </c>
      <c r="C1295" s="11" t="str">
        <f>IF(B1295="","",_xlfn.XLOOKUP(B1295,'Orders Ledger'!$A:$A,'Orders Ledger'!$B:$B,""))</f>
        <v/>
      </c>
      <c r="D1295" t="str">
        <f>IF(B1295="","",_xlfn.XLOOKUP(B1295,'Orders Ledger'!$A:$A,'Orders Ledger'!$G:$G,""))</f>
        <v/>
      </c>
      <c r="E1295" t="str">
        <f>IF(B1295="","",_xlfn.XLOOKUP(B1295,'Orders Ledger'!$A:$A,'Orders Ledger'!$H:$H,""))</f>
        <v/>
      </c>
      <c r="F1295" t="str">
        <f>IF(B1295="","",_xlfn.XLOOKUP(B1295,'Orders Ledger'!$A:$A,'Orders Ledger'!$F:$F,""))</f>
        <v/>
      </c>
      <c r="G1295" t="str">
        <f>IF(B1295="","",_xlfn.XLOOKUP(B1295,'Orders Ledger'!$A:$A,'Orders Ledger'!$N:$N,0))</f>
        <v/>
      </c>
    </row>
    <row r="1296" spans="2:7" x14ac:dyDescent="0.3">
      <c r="B1296" t="str">
        <f t="array" ref="B1296">IFERROR(INDEX('Orders Ledger'!$A$2:$A$1501, SMALL(IF(('Orders Ledger'!$J$2:$J$1501="disputed")+('Orders Ledger'!$J$2:$J$1501="PENDING_REVIEW"), ROW('Orders Ledger'!$A$2:$A$1501)-ROW('Orders Ledger'!$A$2)+1), ROW(1238:1238))), "")</f>
        <v/>
      </c>
      <c r="C1296" s="11" t="str">
        <f>IF(B1296="","",_xlfn.XLOOKUP(B1296,'Orders Ledger'!$A:$A,'Orders Ledger'!$B:$B,""))</f>
        <v/>
      </c>
      <c r="D1296" t="str">
        <f>IF(B1296="","",_xlfn.XLOOKUP(B1296,'Orders Ledger'!$A:$A,'Orders Ledger'!$G:$G,""))</f>
        <v/>
      </c>
      <c r="E1296" t="str">
        <f>IF(B1296="","",_xlfn.XLOOKUP(B1296,'Orders Ledger'!$A:$A,'Orders Ledger'!$H:$H,""))</f>
        <v/>
      </c>
      <c r="F1296" t="str">
        <f>IF(B1296="","",_xlfn.XLOOKUP(B1296,'Orders Ledger'!$A:$A,'Orders Ledger'!$F:$F,""))</f>
        <v/>
      </c>
      <c r="G1296" t="str">
        <f>IF(B1296="","",_xlfn.XLOOKUP(B1296,'Orders Ledger'!$A:$A,'Orders Ledger'!$N:$N,0))</f>
        <v/>
      </c>
    </row>
    <row r="1297" spans="2:7" x14ac:dyDescent="0.3">
      <c r="B1297" t="str">
        <f t="array" ref="B1297">IFERROR(INDEX('Orders Ledger'!$A$2:$A$1501, SMALL(IF(('Orders Ledger'!$J$2:$J$1501="disputed")+('Orders Ledger'!$J$2:$J$1501="PENDING_REVIEW"), ROW('Orders Ledger'!$A$2:$A$1501)-ROW('Orders Ledger'!$A$2)+1), ROW(1239:1239))), "")</f>
        <v/>
      </c>
      <c r="C1297" s="11" t="str">
        <f>IF(B1297="","",_xlfn.XLOOKUP(B1297,'Orders Ledger'!$A:$A,'Orders Ledger'!$B:$B,""))</f>
        <v/>
      </c>
      <c r="D1297" t="str">
        <f>IF(B1297="","",_xlfn.XLOOKUP(B1297,'Orders Ledger'!$A:$A,'Orders Ledger'!$G:$G,""))</f>
        <v/>
      </c>
      <c r="E1297" t="str">
        <f>IF(B1297="","",_xlfn.XLOOKUP(B1297,'Orders Ledger'!$A:$A,'Orders Ledger'!$H:$H,""))</f>
        <v/>
      </c>
      <c r="F1297" t="str">
        <f>IF(B1297="","",_xlfn.XLOOKUP(B1297,'Orders Ledger'!$A:$A,'Orders Ledger'!$F:$F,""))</f>
        <v/>
      </c>
      <c r="G1297" t="str">
        <f>IF(B1297="","",_xlfn.XLOOKUP(B1297,'Orders Ledger'!$A:$A,'Orders Ledger'!$N:$N,0))</f>
        <v/>
      </c>
    </row>
    <row r="1298" spans="2:7" x14ac:dyDescent="0.3">
      <c r="B1298" t="str">
        <f t="array" ref="B1298">IFERROR(INDEX('Orders Ledger'!$A$2:$A$1501, SMALL(IF(('Orders Ledger'!$J$2:$J$1501="disputed")+('Orders Ledger'!$J$2:$J$1501="PENDING_REVIEW"), ROW('Orders Ledger'!$A$2:$A$1501)-ROW('Orders Ledger'!$A$2)+1), ROW(1240:1240))), "")</f>
        <v/>
      </c>
      <c r="C1298" s="11" t="str">
        <f>IF(B1298="","",_xlfn.XLOOKUP(B1298,'Orders Ledger'!$A:$A,'Orders Ledger'!$B:$B,""))</f>
        <v/>
      </c>
      <c r="D1298" t="str">
        <f>IF(B1298="","",_xlfn.XLOOKUP(B1298,'Orders Ledger'!$A:$A,'Orders Ledger'!$G:$G,""))</f>
        <v/>
      </c>
      <c r="E1298" t="str">
        <f>IF(B1298="","",_xlfn.XLOOKUP(B1298,'Orders Ledger'!$A:$A,'Orders Ledger'!$H:$H,""))</f>
        <v/>
      </c>
      <c r="F1298" t="str">
        <f>IF(B1298="","",_xlfn.XLOOKUP(B1298,'Orders Ledger'!$A:$A,'Orders Ledger'!$F:$F,""))</f>
        <v/>
      </c>
      <c r="G1298" t="str">
        <f>IF(B1298="","",_xlfn.XLOOKUP(B1298,'Orders Ledger'!$A:$A,'Orders Ledger'!$N:$N,0))</f>
        <v/>
      </c>
    </row>
    <row r="1299" spans="2:7" x14ac:dyDescent="0.3">
      <c r="B1299" t="str">
        <f t="array" ref="B1299">IFERROR(INDEX('Orders Ledger'!$A$2:$A$1501, SMALL(IF(('Orders Ledger'!$J$2:$J$1501="disputed")+('Orders Ledger'!$J$2:$J$1501="PENDING_REVIEW"), ROW('Orders Ledger'!$A$2:$A$1501)-ROW('Orders Ledger'!$A$2)+1), ROW(1241:1241))), "")</f>
        <v/>
      </c>
      <c r="C1299" s="11" t="str">
        <f>IF(B1299="","",_xlfn.XLOOKUP(B1299,'Orders Ledger'!$A:$A,'Orders Ledger'!$B:$B,""))</f>
        <v/>
      </c>
      <c r="D1299" t="str">
        <f>IF(B1299="","",_xlfn.XLOOKUP(B1299,'Orders Ledger'!$A:$A,'Orders Ledger'!$G:$G,""))</f>
        <v/>
      </c>
      <c r="E1299" t="str">
        <f>IF(B1299="","",_xlfn.XLOOKUP(B1299,'Orders Ledger'!$A:$A,'Orders Ledger'!$H:$H,""))</f>
        <v/>
      </c>
      <c r="F1299" t="str">
        <f>IF(B1299="","",_xlfn.XLOOKUP(B1299,'Orders Ledger'!$A:$A,'Orders Ledger'!$F:$F,""))</f>
        <v/>
      </c>
      <c r="G1299" t="str">
        <f>IF(B1299="","",_xlfn.XLOOKUP(B1299,'Orders Ledger'!$A:$A,'Orders Ledger'!$N:$N,0))</f>
        <v/>
      </c>
    </row>
    <row r="1300" spans="2:7" x14ac:dyDescent="0.3">
      <c r="B1300" t="str">
        <f t="array" ref="B1300">IFERROR(INDEX('Orders Ledger'!$A$2:$A$1501, SMALL(IF(('Orders Ledger'!$J$2:$J$1501="disputed")+('Orders Ledger'!$J$2:$J$1501="PENDING_REVIEW"), ROW('Orders Ledger'!$A$2:$A$1501)-ROW('Orders Ledger'!$A$2)+1), ROW(1242:1242))), "")</f>
        <v/>
      </c>
      <c r="C1300" s="11" t="str">
        <f>IF(B1300="","",_xlfn.XLOOKUP(B1300,'Orders Ledger'!$A:$A,'Orders Ledger'!$B:$B,""))</f>
        <v/>
      </c>
      <c r="D1300" t="str">
        <f>IF(B1300="","",_xlfn.XLOOKUP(B1300,'Orders Ledger'!$A:$A,'Orders Ledger'!$G:$G,""))</f>
        <v/>
      </c>
      <c r="E1300" t="str">
        <f>IF(B1300="","",_xlfn.XLOOKUP(B1300,'Orders Ledger'!$A:$A,'Orders Ledger'!$H:$H,""))</f>
        <v/>
      </c>
      <c r="F1300" t="str">
        <f>IF(B1300="","",_xlfn.XLOOKUP(B1300,'Orders Ledger'!$A:$A,'Orders Ledger'!$F:$F,""))</f>
        <v/>
      </c>
      <c r="G1300" t="str">
        <f>IF(B1300="","",_xlfn.XLOOKUP(B1300,'Orders Ledger'!$A:$A,'Orders Ledger'!$N:$N,0))</f>
        <v/>
      </c>
    </row>
    <row r="1301" spans="2:7" x14ac:dyDescent="0.3">
      <c r="B1301" t="str">
        <f t="array" ref="B1301">IFERROR(INDEX('Orders Ledger'!$A$2:$A$1501, SMALL(IF(('Orders Ledger'!$J$2:$J$1501="disputed")+('Orders Ledger'!$J$2:$J$1501="PENDING_REVIEW"), ROW('Orders Ledger'!$A$2:$A$1501)-ROW('Orders Ledger'!$A$2)+1), ROW(1243:1243))), "")</f>
        <v/>
      </c>
      <c r="C1301" s="11" t="str">
        <f>IF(B1301="","",_xlfn.XLOOKUP(B1301,'Orders Ledger'!$A:$A,'Orders Ledger'!$B:$B,""))</f>
        <v/>
      </c>
      <c r="D1301" t="str">
        <f>IF(B1301="","",_xlfn.XLOOKUP(B1301,'Orders Ledger'!$A:$A,'Orders Ledger'!$G:$G,""))</f>
        <v/>
      </c>
      <c r="E1301" t="str">
        <f>IF(B1301="","",_xlfn.XLOOKUP(B1301,'Orders Ledger'!$A:$A,'Orders Ledger'!$H:$H,""))</f>
        <v/>
      </c>
      <c r="F1301" t="str">
        <f>IF(B1301="","",_xlfn.XLOOKUP(B1301,'Orders Ledger'!$A:$A,'Orders Ledger'!$F:$F,""))</f>
        <v/>
      </c>
      <c r="G1301" t="str">
        <f>IF(B1301="","",_xlfn.XLOOKUP(B1301,'Orders Ledger'!$A:$A,'Orders Ledger'!$N:$N,0))</f>
        <v/>
      </c>
    </row>
    <row r="1302" spans="2:7" x14ac:dyDescent="0.3">
      <c r="B1302" t="str">
        <f t="array" ref="B1302">IFERROR(INDEX('Orders Ledger'!$A$2:$A$1501, SMALL(IF(('Orders Ledger'!$J$2:$J$1501="disputed")+('Orders Ledger'!$J$2:$J$1501="PENDING_REVIEW"), ROW('Orders Ledger'!$A$2:$A$1501)-ROW('Orders Ledger'!$A$2)+1), ROW(1244:1244))), "")</f>
        <v/>
      </c>
      <c r="C1302" s="11" t="str">
        <f>IF(B1302="","",_xlfn.XLOOKUP(B1302,'Orders Ledger'!$A:$A,'Orders Ledger'!$B:$B,""))</f>
        <v/>
      </c>
      <c r="D1302" t="str">
        <f>IF(B1302="","",_xlfn.XLOOKUP(B1302,'Orders Ledger'!$A:$A,'Orders Ledger'!$G:$G,""))</f>
        <v/>
      </c>
      <c r="E1302" t="str">
        <f>IF(B1302="","",_xlfn.XLOOKUP(B1302,'Orders Ledger'!$A:$A,'Orders Ledger'!$H:$H,""))</f>
        <v/>
      </c>
      <c r="F1302" t="str">
        <f>IF(B1302="","",_xlfn.XLOOKUP(B1302,'Orders Ledger'!$A:$A,'Orders Ledger'!$F:$F,""))</f>
        <v/>
      </c>
      <c r="G1302" t="str">
        <f>IF(B1302="","",_xlfn.XLOOKUP(B1302,'Orders Ledger'!$A:$A,'Orders Ledger'!$N:$N,0))</f>
        <v/>
      </c>
    </row>
    <row r="1303" spans="2:7" x14ac:dyDescent="0.3">
      <c r="B1303" t="str">
        <f t="array" ref="B1303">IFERROR(INDEX('Orders Ledger'!$A$2:$A$1501, SMALL(IF(('Orders Ledger'!$J$2:$J$1501="disputed")+('Orders Ledger'!$J$2:$J$1501="PENDING_REVIEW"), ROW('Orders Ledger'!$A$2:$A$1501)-ROW('Orders Ledger'!$A$2)+1), ROW(1245:1245))), "")</f>
        <v/>
      </c>
      <c r="C1303" s="11" t="str">
        <f>IF(B1303="","",_xlfn.XLOOKUP(B1303,'Orders Ledger'!$A:$A,'Orders Ledger'!$B:$B,""))</f>
        <v/>
      </c>
      <c r="D1303" t="str">
        <f>IF(B1303="","",_xlfn.XLOOKUP(B1303,'Orders Ledger'!$A:$A,'Orders Ledger'!$G:$G,""))</f>
        <v/>
      </c>
      <c r="E1303" t="str">
        <f>IF(B1303="","",_xlfn.XLOOKUP(B1303,'Orders Ledger'!$A:$A,'Orders Ledger'!$H:$H,""))</f>
        <v/>
      </c>
      <c r="F1303" t="str">
        <f>IF(B1303="","",_xlfn.XLOOKUP(B1303,'Orders Ledger'!$A:$A,'Orders Ledger'!$F:$F,""))</f>
        <v/>
      </c>
      <c r="G1303" t="str">
        <f>IF(B1303="","",_xlfn.XLOOKUP(B1303,'Orders Ledger'!$A:$A,'Orders Ledger'!$N:$N,0))</f>
        <v/>
      </c>
    </row>
    <row r="1304" spans="2:7" x14ac:dyDescent="0.3">
      <c r="B1304" t="str">
        <f t="array" ref="B1304">IFERROR(INDEX('Orders Ledger'!$A$2:$A$1501, SMALL(IF(('Orders Ledger'!$J$2:$J$1501="disputed")+('Orders Ledger'!$J$2:$J$1501="PENDING_REVIEW"), ROW('Orders Ledger'!$A$2:$A$1501)-ROW('Orders Ledger'!$A$2)+1), ROW(1246:1246))), "")</f>
        <v/>
      </c>
      <c r="C1304" s="11" t="str">
        <f>IF(B1304="","",_xlfn.XLOOKUP(B1304,'Orders Ledger'!$A:$A,'Orders Ledger'!$B:$B,""))</f>
        <v/>
      </c>
      <c r="D1304" t="str">
        <f>IF(B1304="","",_xlfn.XLOOKUP(B1304,'Orders Ledger'!$A:$A,'Orders Ledger'!$G:$G,""))</f>
        <v/>
      </c>
      <c r="E1304" t="str">
        <f>IF(B1304="","",_xlfn.XLOOKUP(B1304,'Orders Ledger'!$A:$A,'Orders Ledger'!$H:$H,""))</f>
        <v/>
      </c>
      <c r="F1304" t="str">
        <f>IF(B1304="","",_xlfn.XLOOKUP(B1304,'Orders Ledger'!$A:$A,'Orders Ledger'!$F:$F,""))</f>
        <v/>
      </c>
      <c r="G1304" t="str">
        <f>IF(B1304="","",_xlfn.XLOOKUP(B1304,'Orders Ledger'!$A:$A,'Orders Ledger'!$N:$N,0))</f>
        <v/>
      </c>
    </row>
    <row r="1305" spans="2:7" x14ac:dyDescent="0.3">
      <c r="B1305" t="str">
        <f t="array" ref="B1305">IFERROR(INDEX('Orders Ledger'!$A$2:$A$1501, SMALL(IF(('Orders Ledger'!$J$2:$J$1501="disputed")+('Orders Ledger'!$J$2:$J$1501="PENDING_REVIEW"), ROW('Orders Ledger'!$A$2:$A$1501)-ROW('Orders Ledger'!$A$2)+1), ROW(1247:1247))), "")</f>
        <v/>
      </c>
      <c r="C1305" s="11" t="str">
        <f>IF(B1305="","",_xlfn.XLOOKUP(B1305,'Orders Ledger'!$A:$A,'Orders Ledger'!$B:$B,""))</f>
        <v/>
      </c>
      <c r="D1305" t="str">
        <f>IF(B1305="","",_xlfn.XLOOKUP(B1305,'Orders Ledger'!$A:$A,'Orders Ledger'!$G:$G,""))</f>
        <v/>
      </c>
      <c r="E1305" t="str">
        <f>IF(B1305="","",_xlfn.XLOOKUP(B1305,'Orders Ledger'!$A:$A,'Orders Ledger'!$H:$H,""))</f>
        <v/>
      </c>
      <c r="F1305" t="str">
        <f>IF(B1305="","",_xlfn.XLOOKUP(B1305,'Orders Ledger'!$A:$A,'Orders Ledger'!$F:$F,""))</f>
        <v/>
      </c>
      <c r="G1305" t="str">
        <f>IF(B1305="","",_xlfn.XLOOKUP(B1305,'Orders Ledger'!$A:$A,'Orders Ledger'!$N:$N,0))</f>
        <v/>
      </c>
    </row>
    <row r="1306" spans="2:7" x14ac:dyDescent="0.3">
      <c r="B1306" t="str">
        <f t="array" ref="B1306">IFERROR(INDEX('Orders Ledger'!$A$2:$A$1501, SMALL(IF(('Orders Ledger'!$J$2:$J$1501="disputed")+('Orders Ledger'!$J$2:$J$1501="PENDING_REVIEW"), ROW('Orders Ledger'!$A$2:$A$1501)-ROW('Orders Ledger'!$A$2)+1), ROW(1248:1248))), "")</f>
        <v/>
      </c>
      <c r="C1306" s="11" t="str">
        <f>IF(B1306="","",_xlfn.XLOOKUP(B1306,'Orders Ledger'!$A:$A,'Orders Ledger'!$B:$B,""))</f>
        <v/>
      </c>
      <c r="D1306" t="str">
        <f>IF(B1306="","",_xlfn.XLOOKUP(B1306,'Orders Ledger'!$A:$A,'Orders Ledger'!$G:$G,""))</f>
        <v/>
      </c>
      <c r="E1306" t="str">
        <f>IF(B1306="","",_xlfn.XLOOKUP(B1306,'Orders Ledger'!$A:$A,'Orders Ledger'!$H:$H,""))</f>
        <v/>
      </c>
      <c r="F1306" t="str">
        <f>IF(B1306="","",_xlfn.XLOOKUP(B1306,'Orders Ledger'!$A:$A,'Orders Ledger'!$F:$F,""))</f>
        <v/>
      </c>
      <c r="G1306" t="str">
        <f>IF(B1306="","",_xlfn.XLOOKUP(B1306,'Orders Ledger'!$A:$A,'Orders Ledger'!$N:$N,0))</f>
        <v/>
      </c>
    </row>
    <row r="1307" spans="2:7" x14ac:dyDescent="0.3">
      <c r="B1307" t="str">
        <f t="array" ref="B1307">IFERROR(INDEX('Orders Ledger'!$A$2:$A$1501, SMALL(IF(('Orders Ledger'!$J$2:$J$1501="disputed")+('Orders Ledger'!$J$2:$J$1501="PENDING_REVIEW"), ROW('Orders Ledger'!$A$2:$A$1501)-ROW('Orders Ledger'!$A$2)+1), ROW(1249:1249))), "")</f>
        <v/>
      </c>
      <c r="C1307" s="11" t="str">
        <f>IF(B1307="","",_xlfn.XLOOKUP(B1307,'Orders Ledger'!$A:$A,'Orders Ledger'!$B:$B,""))</f>
        <v/>
      </c>
      <c r="D1307" t="str">
        <f>IF(B1307="","",_xlfn.XLOOKUP(B1307,'Orders Ledger'!$A:$A,'Orders Ledger'!$G:$G,""))</f>
        <v/>
      </c>
      <c r="E1307" t="str">
        <f>IF(B1307="","",_xlfn.XLOOKUP(B1307,'Orders Ledger'!$A:$A,'Orders Ledger'!$H:$H,""))</f>
        <v/>
      </c>
      <c r="F1307" t="str">
        <f>IF(B1307="","",_xlfn.XLOOKUP(B1307,'Orders Ledger'!$A:$A,'Orders Ledger'!$F:$F,""))</f>
        <v/>
      </c>
      <c r="G1307" t="str">
        <f>IF(B1307="","",_xlfn.XLOOKUP(B1307,'Orders Ledger'!$A:$A,'Orders Ledger'!$N:$N,0))</f>
        <v/>
      </c>
    </row>
    <row r="1308" spans="2:7" x14ac:dyDescent="0.3">
      <c r="B1308" t="str">
        <f t="array" ref="B1308">IFERROR(INDEX('Orders Ledger'!$A$2:$A$1501, SMALL(IF(('Orders Ledger'!$J$2:$J$1501="disputed")+('Orders Ledger'!$J$2:$J$1501="PENDING_REVIEW"), ROW('Orders Ledger'!$A$2:$A$1501)-ROW('Orders Ledger'!$A$2)+1), ROW(1250:1250))), "")</f>
        <v/>
      </c>
      <c r="C1308" s="11" t="str">
        <f>IF(B1308="","",_xlfn.XLOOKUP(B1308,'Orders Ledger'!$A:$A,'Orders Ledger'!$B:$B,""))</f>
        <v/>
      </c>
      <c r="D1308" t="str">
        <f>IF(B1308="","",_xlfn.XLOOKUP(B1308,'Orders Ledger'!$A:$A,'Orders Ledger'!$G:$G,""))</f>
        <v/>
      </c>
      <c r="E1308" t="str">
        <f>IF(B1308="","",_xlfn.XLOOKUP(B1308,'Orders Ledger'!$A:$A,'Orders Ledger'!$H:$H,""))</f>
        <v/>
      </c>
      <c r="F1308" t="str">
        <f>IF(B1308="","",_xlfn.XLOOKUP(B1308,'Orders Ledger'!$A:$A,'Orders Ledger'!$F:$F,""))</f>
        <v/>
      </c>
      <c r="G1308" t="str">
        <f>IF(B1308="","",_xlfn.XLOOKUP(B1308,'Orders Ledger'!$A:$A,'Orders Ledger'!$N:$N,0))</f>
        <v/>
      </c>
    </row>
    <row r="1309" spans="2:7" x14ac:dyDescent="0.3">
      <c r="B1309" t="str">
        <f t="array" ref="B1309">IFERROR(INDEX('Orders Ledger'!$A$2:$A$1501, SMALL(IF(('Orders Ledger'!$J$2:$J$1501="disputed")+('Orders Ledger'!$J$2:$J$1501="PENDING_REVIEW"), ROW('Orders Ledger'!$A$2:$A$1501)-ROW('Orders Ledger'!$A$2)+1), ROW(1251:1251))), "")</f>
        <v/>
      </c>
      <c r="C1309" s="11" t="str">
        <f>IF(B1309="","",_xlfn.XLOOKUP(B1309,'Orders Ledger'!$A:$A,'Orders Ledger'!$B:$B,""))</f>
        <v/>
      </c>
      <c r="D1309" t="str">
        <f>IF(B1309="","",_xlfn.XLOOKUP(B1309,'Orders Ledger'!$A:$A,'Orders Ledger'!$G:$G,""))</f>
        <v/>
      </c>
      <c r="E1309" t="str">
        <f>IF(B1309="","",_xlfn.XLOOKUP(B1309,'Orders Ledger'!$A:$A,'Orders Ledger'!$H:$H,""))</f>
        <v/>
      </c>
      <c r="F1309" t="str">
        <f>IF(B1309="","",_xlfn.XLOOKUP(B1309,'Orders Ledger'!$A:$A,'Orders Ledger'!$F:$F,""))</f>
        <v/>
      </c>
      <c r="G1309" t="str">
        <f>IF(B1309="","",_xlfn.XLOOKUP(B1309,'Orders Ledger'!$A:$A,'Orders Ledger'!$N:$N,0))</f>
        <v/>
      </c>
    </row>
    <row r="1310" spans="2:7" x14ac:dyDescent="0.3">
      <c r="B1310" t="str">
        <f t="array" ref="B1310">IFERROR(INDEX('Orders Ledger'!$A$2:$A$1501, SMALL(IF(('Orders Ledger'!$J$2:$J$1501="disputed")+('Orders Ledger'!$J$2:$J$1501="PENDING_REVIEW"), ROW('Orders Ledger'!$A$2:$A$1501)-ROW('Orders Ledger'!$A$2)+1), ROW(1252:1252))), "")</f>
        <v/>
      </c>
      <c r="C1310" s="11" t="str">
        <f>IF(B1310="","",_xlfn.XLOOKUP(B1310,'Orders Ledger'!$A:$A,'Orders Ledger'!$B:$B,""))</f>
        <v/>
      </c>
      <c r="D1310" t="str">
        <f>IF(B1310="","",_xlfn.XLOOKUP(B1310,'Orders Ledger'!$A:$A,'Orders Ledger'!$G:$G,""))</f>
        <v/>
      </c>
      <c r="E1310" t="str">
        <f>IF(B1310="","",_xlfn.XLOOKUP(B1310,'Orders Ledger'!$A:$A,'Orders Ledger'!$H:$H,""))</f>
        <v/>
      </c>
      <c r="F1310" t="str">
        <f>IF(B1310="","",_xlfn.XLOOKUP(B1310,'Orders Ledger'!$A:$A,'Orders Ledger'!$F:$F,""))</f>
        <v/>
      </c>
      <c r="G1310" t="str">
        <f>IF(B1310="","",_xlfn.XLOOKUP(B1310,'Orders Ledger'!$A:$A,'Orders Ledger'!$N:$N,0))</f>
        <v/>
      </c>
    </row>
    <row r="1311" spans="2:7" x14ac:dyDescent="0.3">
      <c r="B1311" t="str">
        <f t="array" ref="B1311">IFERROR(INDEX('Orders Ledger'!$A$2:$A$1501, SMALL(IF(('Orders Ledger'!$J$2:$J$1501="disputed")+('Orders Ledger'!$J$2:$J$1501="PENDING_REVIEW"), ROW('Orders Ledger'!$A$2:$A$1501)-ROW('Orders Ledger'!$A$2)+1), ROW(1253:1253))), "")</f>
        <v/>
      </c>
      <c r="C1311" s="11" t="str">
        <f>IF(B1311="","",_xlfn.XLOOKUP(B1311,'Orders Ledger'!$A:$A,'Orders Ledger'!$B:$B,""))</f>
        <v/>
      </c>
      <c r="D1311" t="str">
        <f>IF(B1311="","",_xlfn.XLOOKUP(B1311,'Orders Ledger'!$A:$A,'Orders Ledger'!$G:$G,""))</f>
        <v/>
      </c>
      <c r="E1311" t="str">
        <f>IF(B1311="","",_xlfn.XLOOKUP(B1311,'Orders Ledger'!$A:$A,'Orders Ledger'!$H:$H,""))</f>
        <v/>
      </c>
      <c r="F1311" t="str">
        <f>IF(B1311="","",_xlfn.XLOOKUP(B1311,'Orders Ledger'!$A:$A,'Orders Ledger'!$F:$F,""))</f>
        <v/>
      </c>
      <c r="G1311" t="str">
        <f>IF(B1311="","",_xlfn.XLOOKUP(B1311,'Orders Ledger'!$A:$A,'Orders Ledger'!$N:$N,0))</f>
        <v/>
      </c>
    </row>
    <row r="1312" spans="2:7" x14ac:dyDescent="0.3">
      <c r="B1312" t="str">
        <f t="array" ref="B1312">IFERROR(INDEX('Orders Ledger'!$A$2:$A$1501, SMALL(IF(('Orders Ledger'!$J$2:$J$1501="disputed")+('Orders Ledger'!$J$2:$J$1501="PENDING_REVIEW"), ROW('Orders Ledger'!$A$2:$A$1501)-ROW('Orders Ledger'!$A$2)+1), ROW(1254:1254))), "")</f>
        <v/>
      </c>
      <c r="C1312" s="11" t="str">
        <f>IF(B1312="","",_xlfn.XLOOKUP(B1312,'Orders Ledger'!$A:$A,'Orders Ledger'!$B:$B,""))</f>
        <v/>
      </c>
      <c r="D1312" t="str">
        <f>IF(B1312="","",_xlfn.XLOOKUP(B1312,'Orders Ledger'!$A:$A,'Orders Ledger'!$G:$G,""))</f>
        <v/>
      </c>
      <c r="E1312" t="str">
        <f>IF(B1312="","",_xlfn.XLOOKUP(B1312,'Orders Ledger'!$A:$A,'Orders Ledger'!$H:$H,""))</f>
        <v/>
      </c>
      <c r="F1312" t="str">
        <f>IF(B1312="","",_xlfn.XLOOKUP(B1312,'Orders Ledger'!$A:$A,'Orders Ledger'!$F:$F,""))</f>
        <v/>
      </c>
      <c r="G1312" t="str">
        <f>IF(B1312="","",_xlfn.XLOOKUP(B1312,'Orders Ledger'!$A:$A,'Orders Ledger'!$N:$N,0))</f>
        <v/>
      </c>
    </row>
    <row r="1313" spans="2:7" x14ac:dyDescent="0.3">
      <c r="B1313" t="str">
        <f t="array" ref="B1313">IFERROR(INDEX('Orders Ledger'!$A$2:$A$1501, SMALL(IF(('Orders Ledger'!$J$2:$J$1501="disputed")+('Orders Ledger'!$J$2:$J$1501="PENDING_REVIEW"), ROW('Orders Ledger'!$A$2:$A$1501)-ROW('Orders Ledger'!$A$2)+1), ROW(1255:1255))), "")</f>
        <v/>
      </c>
      <c r="C1313" s="11" t="str">
        <f>IF(B1313="","",_xlfn.XLOOKUP(B1313,'Orders Ledger'!$A:$A,'Orders Ledger'!$B:$B,""))</f>
        <v/>
      </c>
      <c r="D1313" t="str">
        <f>IF(B1313="","",_xlfn.XLOOKUP(B1313,'Orders Ledger'!$A:$A,'Orders Ledger'!$G:$G,""))</f>
        <v/>
      </c>
      <c r="E1313" t="str">
        <f>IF(B1313="","",_xlfn.XLOOKUP(B1313,'Orders Ledger'!$A:$A,'Orders Ledger'!$H:$H,""))</f>
        <v/>
      </c>
      <c r="F1313" t="str">
        <f>IF(B1313="","",_xlfn.XLOOKUP(B1313,'Orders Ledger'!$A:$A,'Orders Ledger'!$F:$F,""))</f>
        <v/>
      </c>
      <c r="G1313" t="str">
        <f>IF(B1313="","",_xlfn.XLOOKUP(B1313,'Orders Ledger'!$A:$A,'Orders Ledger'!$N:$N,0))</f>
        <v/>
      </c>
    </row>
    <row r="1314" spans="2:7" x14ac:dyDescent="0.3">
      <c r="B1314" t="str">
        <f t="array" ref="B1314">IFERROR(INDEX('Orders Ledger'!$A$2:$A$1501, SMALL(IF(('Orders Ledger'!$J$2:$J$1501="disputed")+('Orders Ledger'!$J$2:$J$1501="PENDING_REVIEW"), ROW('Orders Ledger'!$A$2:$A$1501)-ROW('Orders Ledger'!$A$2)+1), ROW(1256:1256))), "")</f>
        <v/>
      </c>
      <c r="C1314" s="11" t="str">
        <f>IF(B1314="","",_xlfn.XLOOKUP(B1314,'Orders Ledger'!$A:$A,'Orders Ledger'!$B:$B,""))</f>
        <v/>
      </c>
      <c r="D1314" t="str">
        <f>IF(B1314="","",_xlfn.XLOOKUP(B1314,'Orders Ledger'!$A:$A,'Orders Ledger'!$G:$G,""))</f>
        <v/>
      </c>
      <c r="E1314" t="str">
        <f>IF(B1314="","",_xlfn.XLOOKUP(B1314,'Orders Ledger'!$A:$A,'Orders Ledger'!$H:$H,""))</f>
        <v/>
      </c>
      <c r="F1314" t="str">
        <f>IF(B1314="","",_xlfn.XLOOKUP(B1314,'Orders Ledger'!$A:$A,'Orders Ledger'!$F:$F,""))</f>
        <v/>
      </c>
      <c r="G1314" t="str">
        <f>IF(B1314="","",_xlfn.XLOOKUP(B1314,'Orders Ledger'!$A:$A,'Orders Ledger'!$N:$N,0))</f>
        <v/>
      </c>
    </row>
    <row r="1315" spans="2:7" x14ac:dyDescent="0.3">
      <c r="B1315" t="str">
        <f t="array" ref="B1315">IFERROR(INDEX('Orders Ledger'!$A$2:$A$1501, SMALL(IF(('Orders Ledger'!$J$2:$J$1501="disputed")+('Orders Ledger'!$J$2:$J$1501="PENDING_REVIEW"), ROW('Orders Ledger'!$A$2:$A$1501)-ROW('Orders Ledger'!$A$2)+1), ROW(1257:1257))), "")</f>
        <v/>
      </c>
      <c r="C1315" s="11" t="str">
        <f>IF(B1315="","",_xlfn.XLOOKUP(B1315,'Orders Ledger'!$A:$A,'Orders Ledger'!$B:$B,""))</f>
        <v/>
      </c>
      <c r="D1315" t="str">
        <f>IF(B1315="","",_xlfn.XLOOKUP(B1315,'Orders Ledger'!$A:$A,'Orders Ledger'!$G:$G,""))</f>
        <v/>
      </c>
      <c r="E1315" t="str">
        <f>IF(B1315="","",_xlfn.XLOOKUP(B1315,'Orders Ledger'!$A:$A,'Orders Ledger'!$H:$H,""))</f>
        <v/>
      </c>
      <c r="F1315" t="str">
        <f>IF(B1315="","",_xlfn.XLOOKUP(B1315,'Orders Ledger'!$A:$A,'Orders Ledger'!$F:$F,""))</f>
        <v/>
      </c>
      <c r="G1315" t="str">
        <f>IF(B1315="","",_xlfn.XLOOKUP(B1315,'Orders Ledger'!$A:$A,'Orders Ledger'!$N:$N,0))</f>
        <v/>
      </c>
    </row>
    <row r="1316" spans="2:7" x14ac:dyDescent="0.3">
      <c r="B1316" t="str">
        <f t="array" ref="B1316">IFERROR(INDEX('Orders Ledger'!$A$2:$A$1501, SMALL(IF(('Orders Ledger'!$J$2:$J$1501="disputed")+('Orders Ledger'!$J$2:$J$1501="PENDING_REVIEW"), ROW('Orders Ledger'!$A$2:$A$1501)-ROW('Orders Ledger'!$A$2)+1), ROW(1258:1258))), "")</f>
        <v/>
      </c>
      <c r="C1316" s="11" t="str">
        <f>IF(B1316="","",_xlfn.XLOOKUP(B1316,'Orders Ledger'!$A:$A,'Orders Ledger'!$B:$B,""))</f>
        <v/>
      </c>
      <c r="D1316" t="str">
        <f>IF(B1316="","",_xlfn.XLOOKUP(B1316,'Orders Ledger'!$A:$A,'Orders Ledger'!$G:$G,""))</f>
        <v/>
      </c>
      <c r="E1316" t="str">
        <f>IF(B1316="","",_xlfn.XLOOKUP(B1316,'Orders Ledger'!$A:$A,'Orders Ledger'!$H:$H,""))</f>
        <v/>
      </c>
      <c r="F1316" t="str">
        <f>IF(B1316="","",_xlfn.XLOOKUP(B1316,'Orders Ledger'!$A:$A,'Orders Ledger'!$F:$F,""))</f>
        <v/>
      </c>
      <c r="G1316" t="str">
        <f>IF(B1316="","",_xlfn.XLOOKUP(B1316,'Orders Ledger'!$A:$A,'Orders Ledger'!$N:$N,0))</f>
        <v/>
      </c>
    </row>
    <row r="1317" spans="2:7" x14ac:dyDescent="0.3">
      <c r="B1317" t="str">
        <f t="array" ref="B1317">IFERROR(INDEX('Orders Ledger'!$A$2:$A$1501, SMALL(IF(('Orders Ledger'!$J$2:$J$1501="disputed")+('Orders Ledger'!$J$2:$J$1501="PENDING_REVIEW"), ROW('Orders Ledger'!$A$2:$A$1501)-ROW('Orders Ledger'!$A$2)+1), ROW(1259:1259))), "")</f>
        <v/>
      </c>
      <c r="C1317" s="11" t="str">
        <f>IF(B1317="","",_xlfn.XLOOKUP(B1317,'Orders Ledger'!$A:$A,'Orders Ledger'!$B:$B,""))</f>
        <v/>
      </c>
      <c r="D1317" t="str">
        <f>IF(B1317="","",_xlfn.XLOOKUP(B1317,'Orders Ledger'!$A:$A,'Orders Ledger'!$G:$G,""))</f>
        <v/>
      </c>
      <c r="E1317" t="str">
        <f>IF(B1317="","",_xlfn.XLOOKUP(B1317,'Orders Ledger'!$A:$A,'Orders Ledger'!$H:$H,""))</f>
        <v/>
      </c>
      <c r="F1317" t="str">
        <f>IF(B1317="","",_xlfn.XLOOKUP(B1317,'Orders Ledger'!$A:$A,'Orders Ledger'!$F:$F,""))</f>
        <v/>
      </c>
      <c r="G1317" t="str">
        <f>IF(B1317="","",_xlfn.XLOOKUP(B1317,'Orders Ledger'!$A:$A,'Orders Ledger'!$N:$N,0))</f>
        <v/>
      </c>
    </row>
    <row r="1318" spans="2:7" x14ac:dyDescent="0.3">
      <c r="B1318" t="str">
        <f t="array" ref="B1318">IFERROR(INDEX('Orders Ledger'!$A$2:$A$1501, SMALL(IF(('Orders Ledger'!$J$2:$J$1501="disputed")+('Orders Ledger'!$J$2:$J$1501="PENDING_REVIEW"), ROW('Orders Ledger'!$A$2:$A$1501)-ROW('Orders Ledger'!$A$2)+1), ROW(1260:1260))), "")</f>
        <v/>
      </c>
      <c r="C1318" s="11" t="str">
        <f>IF(B1318="","",_xlfn.XLOOKUP(B1318,'Orders Ledger'!$A:$A,'Orders Ledger'!$B:$B,""))</f>
        <v/>
      </c>
      <c r="D1318" t="str">
        <f>IF(B1318="","",_xlfn.XLOOKUP(B1318,'Orders Ledger'!$A:$A,'Orders Ledger'!$G:$G,""))</f>
        <v/>
      </c>
      <c r="E1318" t="str">
        <f>IF(B1318="","",_xlfn.XLOOKUP(B1318,'Orders Ledger'!$A:$A,'Orders Ledger'!$H:$H,""))</f>
        <v/>
      </c>
      <c r="F1318" t="str">
        <f>IF(B1318="","",_xlfn.XLOOKUP(B1318,'Orders Ledger'!$A:$A,'Orders Ledger'!$F:$F,""))</f>
        <v/>
      </c>
      <c r="G1318" t="str">
        <f>IF(B1318="","",_xlfn.XLOOKUP(B1318,'Orders Ledger'!$A:$A,'Orders Ledger'!$N:$N,0))</f>
        <v/>
      </c>
    </row>
    <row r="1319" spans="2:7" x14ac:dyDescent="0.3">
      <c r="B1319" t="str">
        <f t="array" ref="B1319">IFERROR(INDEX('Orders Ledger'!$A$2:$A$1501, SMALL(IF(('Orders Ledger'!$J$2:$J$1501="disputed")+('Orders Ledger'!$J$2:$J$1501="PENDING_REVIEW"), ROW('Orders Ledger'!$A$2:$A$1501)-ROW('Orders Ledger'!$A$2)+1), ROW(1261:1261))), "")</f>
        <v/>
      </c>
      <c r="C1319" s="11" t="str">
        <f>IF(B1319="","",_xlfn.XLOOKUP(B1319,'Orders Ledger'!$A:$A,'Orders Ledger'!$B:$B,""))</f>
        <v/>
      </c>
      <c r="D1319" t="str">
        <f>IF(B1319="","",_xlfn.XLOOKUP(B1319,'Orders Ledger'!$A:$A,'Orders Ledger'!$G:$G,""))</f>
        <v/>
      </c>
      <c r="E1319" t="str">
        <f>IF(B1319="","",_xlfn.XLOOKUP(B1319,'Orders Ledger'!$A:$A,'Orders Ledger'!$H:$H,""))</f>
        <v/>
      </c>
      <c r="F1319" t="str">
        <f>IF(B1319="","",_xlfn.XLOOKUP(B1319,'Orders Ledger'!$A:$A,'Orders Ledger'!$F:$F,""))</f>
        <v/>
      </c>
      <c r="G1319" t="str">
        <f>IF(B1319="","",_xlfn.XLOOKUP(B1319,'Orders Ledger'!$A:$A,'Orders Ledger'!$N:$N,0))</f>
        <v/>
      </c>
    </row>
    <row r="1320" spans="2:7" x14ac:dyDescent="0.3">
      <c r="B1320" t="str">
        <f t="array" ref="B1320">IFERROR(INDEX('Orders Ledger'!$A$2:$A$1501, SMALL(IF(('Orders Ledger'!$J$2:$J$1501="disputed")+('Orders Ledger'!$J$2:$J$1501="PENDING_REVIEW"), ROW('Orders Ledger'!$A$2:$A$1501)-ROW('Orders Ledger'!$A$2)+1), ROW(1262:1262))), "")</f>
        <v/>
      </c>
      <c r="C1320" s="11" t="str">
        <f>IF(B1320="","",_xlfn.XLOOKUP(B1320,'Orders Ledger'!$A:$A,'Orders Ledger'!$B:$B,""))</f>
        <v/>
      </c>
      <c r="D1320" t="str">
        <f>IF(B1320="","",_xlfn.XLOOKUP(B1320,'Orders Ledger'!$A:$A,'Orders Ledger'!$G:$G,""))</f>
        <v/>
      </c>
      <c r="E1320" t="str">
        <f>IF(B1320="","",_xlfn.XLOOKUP(B1320,'Orders Ledger'!$A:$A,'Orders Ledger'!$H:$H,""))</f>
        <v/>
      </c>
      <c r="F1320" t="str">
        <f>IF(B1320="","",_xlfn.XLOOKUP(B1320,'Orders Ledger'!$A:$A,'Orders Ledger'!$F:$F,""))</f>
        <v/>
      </c>
      <c r="G1320" t="str">
        <f>IF(B1320="","",_xlfn.XLOOKUP(B1320,'Orders Ledger'!$A:$A,'Orders Ledger'!$N:$N,0))</f>
        <v/>
      </c>
    </row>
    <row r="1321" spans="2:7" x14ac:dyDescent="0.3">
      <c r="B1321" t="str">
        <f t="array" ref="B1321">IFERROR(INDEX('Orders Ledger'!$A$2:$A$1501, SMALL(IF(('Orders Ledger'!$J$2:$J$1501="disputed")+('Orders Ledger'!$J$2:$J$1501="PENDING_REVIEW"), ROW('Orders Ledger'!$A$2:$A$1501)-ROW('Orders Ledger'!$A$2)+1), ROW(1263:1263))), "")</f>
        <v/>
      </c>
      <c r="C1321" s="11" t="str">
        <f>IF(B1321="","",_xlfn.XLOOKUP(B1321,'Orders Ledger'!$A:$A,'Orders Ledger'!$B:$B,""))</f>
        <v/>
      </c>
      <c r="D1321" t="str">
        <f>IF(B1321="","",_xlfn.XLOOKUP(B1321,'Orders Ledger'!$A:$A,'Orders Ledger'!$G:$G,""))</f>
        <v/>
      </c>
      <c r="E1321" t="str">
        <f>IF(B1321="","",_xlfn.XLOOKUP(B1321,'Orders Ledger'!$A:$A,'Orders Ledger'!$H:$H,""))</f>
        <v/>
      </c>
      <c r="F1321" t="str">
        <f>IF(B1321="","",_xlfn.XLOOKUP(B1321,'Orders Ledger'!$A:$A,'Orders Ledger'!$F:$F,""))</f>
        <v/>
      </c>
      <c r="G1321" t="str">
        <f>IF(B1321="","",_xlfn.XLOOKUP(B1321,'Orders Ledger'!$A:$A,'Orders Ledger'!$N:$N,0))</f>
        <v/>
      </c>
    </row>
    <row r="1322" spans="2:7" x14ac:dyDescent="0.3">
      <c r="B1322" t="str">
        <f t="array" ref="B1322">IFERROR(INDEX('Orders Ledger'!$A$2:$A$1501, SMALL(IF(('Orders Ledger'!$J$2:$J$1501="disputed")+('Orders Ledger'!$J$2:$J$1501="PENDING_REVIEW"), ROW('Orders Ledger'!$A$2:$A$1501)-ROW('Orders Ledger'!$A$2)+1), ROW(1264:1264))), "")</f>
        <v/>
      </c>
      <c r="C1322" s="11" t="str">
        <f>IF(B1322="","",_xlfn.XLOOKUP(B1322,'Orders Ledger'!$A:$A,'Orders Ledger'!$B:$B,""))</f>
        <v/>
      </c>
      <c r="D1322" t="str">
        <f>IF(B1322="","",_xlfn.XLOOKUP(B1322,'Orders Ledger'!$A:$A,'Orders Ledger'!$G:$G,""))</f>
        <v/>
      </c>
      <c r="E1322" t="str">
        <f>IF(B1322="","",_xlfn.XLOOKUP(B1322,'Orders Ledger'!$A:$A,'Orders Ledger'!$H:$H,""))</f>
        <v/>
      </c>
      <c r="F1322" t="str">
        <f>IF(B1322="","",_xlfn.XLOOKUP(B1322,'Orders Ledger'!$A:$A,'Orders Ledger'!$F:$F,""))</f>
        <v/>
      </c>
      <c r="G1322" t="str">
        <f>IF(B1322="","",_xlfn.XLOOKUP(B1322,'Orders Ledger'!$A:$A,'Orders Ledger'!$N:$N,0))</f>
        <v/>
      </c>
    </row>
    <row r="1323" spans="2:7" x14ac:dyDescent="0.3">
      <c r="B1323" t="str">
        <f t="array" ref="B1323">IFERROR(INDEX('Orders Ledger'!$A$2:$A$1501, SMALL(IF(('Orders Ledger'!$J$2:$J$1501="disputed")+('Orders Ledger'!$J$2:$J$1501="PENDING_REVIEW"), ROW('Orders Ledger'!$A$2:$A$1501)-ROW('Orders Ledger'!$A$2)+1), ROW(1265:1265))), "")</f>
        <v/>
      </c>
      <c r="C1323" s="11" t="str">
        <f>IF(B1323="","",_xlfn.XLOOKUP(B1323,'Orders Ledger'!$A:$A,'Orders Ledger'!$B:$B,""))</f>
        <v/>
      </c>
      <c r="D1323" t="str">
        <f>IF(B1323="","",_xlfn.XLOOKUP(B1323,'Orders Ledger'!$A:$A,'Orders Ledger'!$G:$G,""))</f>
        <v/>
      </c>
      <c r="E1323" t="str">
        <f>IF(B1323="","",_xlfn.XLOOKUP(B1323,'Orders Ledger'!$A:$A,'Orders Ledger'!$H:$H,""))</f>
        <v/>
      </c>
      <c r="F1323" t="str">
        <f>IF(B1323="","",_xlfn.XLOOKUP(B1323,'Orders Ledger'!$A:$A,'Orders Ledger'!$F:$F,""))</f>
        <v/>
      </c>
      <c r="G1323" t="str">
        <f>IF(B1323="","",_xlfn.XLOOKUP(B1323,'Orders Ledger'!$A:$A,'Orders Ledger'!$N:$N,0))</f>
        <v/>
      </c>
    </row>
    <row r="1324" spans="2:7" x14ac:dyDescent="0.3">
      <c r="B1324" t="str">
        <f t="array" ref="B1324">IFERROR(INDEX('Orders Ledger'!$A$2:$A$1501, SMALL(IF(('Orders Ledger'!$J$2:$J$1501="disputed")+('Orders Ledger'!$J$2:$J$1501="PENDING_REVIEW"), ROW('Orders Ledger'!$A$2:$A$1501)-ROW('Orders Ledger'!$A$2)+1), ROW(1266:1266))), "")</f>
        <v/>
      </c>
      <c r="C1324" s="11" t="str">
        <f>IF(B1324="","",_xlfn.XLOOKUP(B1324,'Orders Ledger'!$A:$A,'Orders Ledger'!$B:$B,""))</f>
        <v/>
      </c>
      <c r="D1324" t="str">
        <f>IF(B1324="","",_xlfn.XLOOKUP(B1324,'Orders Ledger'!$A:$A,'Orders Ledger'!$G:$G,""))</f>
        <v/>
      </c>
      <c r="E1324" t="str">
        <f>IF(B1324="","",_xlfn.XLOOKUP(B1324,'Orders Ledger'!$A:$A,'Orders Ledger'!$H:$H,""))</f>
        <v/>
      </c>
      <c r="F1324" t="str">
        <f>IF(B1324="","",_xlfn.XLOOKUP(B1324,'Orders Ledger'!$A:$A,'Orders Ledger'!$F:$F,""))</f>
        <v/>
      </c>
      <c r="G1324" t="str">
        <f>IF(B1324="","",_xlfn.XLOOKUP(B1324,'Orders Ledger'!$A:$A,'Orders Ledger'!$N:$N,0))</f>
        <v/>
      </c>
    </row>
    <row r="1325" spans="2:7" x14ac:dyDescent="0.3">
      <c r="B1325" t="str">
        <f t="array" ref="B1325">IFERROR(INDEX('Orders Ledger'!$A$2:$A$1501, SMALL(IF(('Orders Ledger'!$J$2:$J$1501="disputed")+('Orders Ledger'!$J$2:$J$1501="PENDING_REVIEW"), ROW('Orders Ledger'!$A$2:$A$1501)-ROW('Orders Ledger'!$A$2)+1), ROW(1267:1267))), "")</f>
        <v/>
      </c>
      <c r="C1325" s="11" t="str">
        <f>IF(B1325="","",_xlfn.XLOOKUP(B1325,'Orders Ledger'!$A:$A,'Orders Ledger'!$B:$B,""))</f>
        <v/>
      </c>
      <c r="D1325" t="str">
        <f>IF(B1325="","",_xlfn.XLOOKUP(B1325,'Orders Ledger'!$A:$A,'Orders Ledger'!$G:$G,""))</f>
        <v/>
      </c>
      <c r="E1325" t="str">
        <f>IF(B1325="","",_xlfn.XLOOKUP(B1325,'Orders Ledger'!$A:$A,'Orders Ledger'!$H:$H,""))</f>
        <v/>
      </c>
      <c r="F1325" t="str">
        <f>IF(B1325="","",_xlfn.XLOOKUP(B1325,'Orders Ledger'!$A:$A,'Orders Ledger'!$F:$F,""))</f>
        <v/>
      </c>
      <c r="G1325" t="str">
        <f>IF(B1325="","",_xlfn.XLOOKUP(B1325,'Orders Ledger'!$A:$A,'Orders Ledger'!$N:$N,0))</f>
        <v/>
      </c>
    </row>
    <row r="1326" spans="2:7" x14ac:dyDescent="0.3">
      <c r="B1326" t="str">
        <f t="array" ref="B1326">IFERROR(INDEX('Orders Ledger'!$A$2:$A$1501, SMALL(IF(('Orders Ledger'!$J$2:$J$1501="disputed")+('Orders Ledger'!$J$2:$J$1501="PENDING_REVIEW"), ROW('Orders Ledger'!$A$2:$A$1501)-ROW('Orders Ledger'!$A$2)+1), ROW(1268:1268))), "")</f>
        <v/>
      </c>
      <c r="C1326" s="11" t="str">
        <f>IF(B1326="","",_xlfn.XLOOKUP(B1326,'Orders Ledger'!$A:$A,'Orders Ledger'!$B:$B,""))</f>
        <v/>
      </c>
      <c r="D1326" t="str">
        <f>IF(B1326="","",_xlfn.XLOOKUP(B1326,'Orders Ledger'!$A:$A,'Orders Ledger'!$G:$G,""))</f>
        <v/>
      </c>
      <c r="E1326" t="str">
        <f>IF(B1326="","",_xlfn.XLOOKUP(B1326,'Orders Ledger'!$A:$A,'Orders Ledger'!$H:$H,""))</f>
        <v/>
      </c>
      <c r="F1326" t="str">
        <f>IF(B1326="","",_xlfn.XLOOKUP(B1326,'Orders Ledger'!$A:$A,'Orders Ledger'!$F:$F,""))</f>
        <v/>
      </c>
      <c r="G1326" t="str">
        <f>IF(B1326="","",_xlfn.XLOOKUP(B1326,'Orders Ledger'!$A:$A,'Orders Ledger'!$N:$N,0))</f>
        <v/>
      </c>
    </row>
    <row r="1327" spans="2:7" x14ac:dyDescent="0.3">
      <c r="B1327" t="str">
        <f t="array" ref="B1327">IFERROR(INDEX('Orders Ledger'!$A$2:$A$1501, SMALL(IF(('Orders Ledger'!$J$2:$J$1501="disputed")+('Orders Ledger'!$J$2:$J$1501="PENDING_REVIEW"), ROW('Orders Ledger'!$A$2:$A$1501)-ROW('Orders Ledger'!$A$2)+1), ROW(1269:1269))), "")</f>
        <v/>
      </c>
      <c r="C1327" s="11" t="str">
        <f>IF(B1327="","",_xlfn.XLOOKUP(B1327,'Orders Ledger'!$A:$A,'Orders Ledger'!$B:$B,""))</f>
        <v/>
      </c>
      <c r="D1327" t="str">
        <f>IF(B1327="","",_xlfn.XLOOKUP(B1327,'Orders Ledger'!$A:$A,'Orders Ledger'!$G:$G,""))</f>
        <v/>
      </c>
      <c r="E1327" t="str">
        <f>IF(B1327="","",_xlfn.XLOOKUP(B1327,'Orders Ledger'!$A:$A,'Orders Ledger'!$H:$H,""))</f>
        <v/>
      </c>
      <c r="F1327" t="str">
        <f>IF(B1327="","",_xlfn.XLOOKUP(B1327,'Orders Ledger'!$A:$A,'Orders Ledger'!$F:$F,""))</f>
        <v/>
      </c>
      <c r="G1327" t="str">
        <f>IF(B1327="","",_xlfn.XLOOKUP(B1327,'Orders Ledger'!$A:$A,'Orders Ledger'!$N:$N,0))</f>
        <v/>
      </c>
    </row>
    <row r="1328" spans="2:7" x14ac:dyDescent="0.3">
      <c r="B1328" t="str">
        <f t="array" ref="B1328">IFERROR(INDEX('Orders Ledger'!$A$2:$A$1501, SMALL(IF(('Orders Ledger'!$J$2:$J$1501="disputed")+('Orders Ledger'!$J$2:$J$1501="PENDING_REVIEW"), ROW('Orders Ledger'!$A$2:$A$1501)-ROW('Orders Ledger'!$A$2)+1), ROW(1270:1270))), "")</f>
        <v/>
      </c>
      <c r="C1328" s="11" t="str">
        <f>IF(B1328="","",_xlfn.XLOOKUP(B1328,'Orders Ledger'!$A:$A,'Orders Ledger'!$B:$B,""))</f>
        <v/>
      </c>
      <c r="D1328" t="str">
        <f>IF(B1328="","",_xlfn.XLOOKUP(B1328,'Orders Ledger'!$A:$A,'Orders Ledger'!$G:$G,""))</f>
        <v/>
      </c>
      <c r="E1328" t="str">
        <f>IF(B1328="","",_xlfn.XLOOKUP(B1328,'Orders Ledger'!$A:$A,'Orders Ledger'!$H:$H,""))</f>
        <v/>
      </c>
      <c r="F1328" t="str">
        <f>IF(B1328="","",_xlfn.XLOOKUP(B1328,'Orders Ledger'!$A:$A,'Orders Ledger'!$F:$F,""))</f>
        <v/>
      </c>
      <c r="G1328" t="str">
        <f>IF(B1328="","",_xlfn.XLOOKUP(B1328,'Orders Ledger'!$A:$A,'Orders Ledger'!$N:$N,0))</f>
        <v/>
      </c>
    </row>
    <row r="1329" spans="2:7" x14ac:dyDescent="0.3">
      <c r="B1329" t="str">
        <f t="array" ref="B1329">IFERROR(INDEX('Orders Ledger'!$A$2:$A$1501, SMALL(IF(('Orders Ledger'!$J$2:$J$1501="disputed")+('Orders Ledger'!$J$2:$J$1501="PENDING_REVIEW"), ROW('Orders Ledger'!$A$2:$A$1501)-ROW('Orders Ledger'!$A$2)+1), ROW(1271:1271))), "")</f>
        <v/>
      </c>
      <c r="C1329" s="11" t="str">
        <f>IF(B1329="","",_xlfn.XLOOKUP(B1329,'Orders Ledger'!$A:$A,'Orders Ledger'!$B:$B,""))</f>
        <v/>
      </c>
      <c r="D1329" t="str">
        <f>IF(B1329="","",_xlfn.XLOOKUP(B1329,'Orders Ledger'!$A:$A,'Orders Ledger'!$G:$G,""))</f>
        <v/>
      </c>
      <c r="E1329" t="str">
        <f>IF(B1329="","",_xlfn.XLOOKUP(B1329,'Orders Ledger'!$A:$A,'Orders Ledger'!$H:$H,""))</f>
        <v/>
      </c>
      <c r="F1329" t="str">
        <f>IF(B1329="","",_xlfn.XLOOKUP(B1329,'Orders Ledger'!$A:$A,'Orders Ledger'!$F:$F,""))</f>
        <v/>
      </c>
      <c r="G1329" t="str">
        <f>IF(B1329="","",_xlfn.XLOOKUP(B1329,'Orders Ledger'!$A:$A,'Orders Ledger'!$N:$N,0))</f>
        <v/>
      </c>
    </row>
    <row r="1330" spans="2:7" x14ac:dyDescent="0.3">
      <c r="B1330" t="str">
        <f t="array" ref="B1330">IFERROR(INDEX('Orders Ledger'!$A$2:$A$1501, SMALL(IF(('Orders Ledger'!$J$2:$J$1501="disputed")+('Orders Ledger'!$J$2:$J$1501="PENDING_REVIEW"), ROW('Orders Ledger'!$A$2:$A$1501)-ROW('Orders Ledger'!$A$2)+1), ROW(1272:1272))), "")</f>
        <v/>
      </c>
      <c r="C1330" s="11" t="str">
        <f>IF(B1330="","",_xlfn.XLOOKUP(B1330,'Orders Ledger'!$A:$A,'Orders Ledger'!$B:$B,""))</f>
        <v/>
      </c>
      <c r="D1330" t="str">
        <f>IF(B1330="","",_xlfn.XLOOKUP(B1330,'Orders Ledger'!$A:$A,'Orders Ledger'!$G:$G,""))</f>
        <v/>
      </c>
      <c r="E1330" t="str">
        <f>IF(B1330="","",_xlfn.XLOOKUP(B1330,'Orders Ledger'!$A:$A,'Orders Ledger'!$H:$H,""))</f>
        <v/>
      </c>
      <c r="F1330" t="str">
        <f>IF(B1330="","",_xlfn.XLOOKUP(B1330,'Orders Ledger'!$A:$A,'Orders Ledger'!$F:$F,""))</f>
        <v/>
      </c>
      <c r="G1330" t="str">
        <f>IF(B1330="","",_xlfn.XLOOKUP(B1330,'Orders Ledger'!$A:$A,'Orders Ledger'!$N:$N,0))</f>
        <v/>
      </c>
    </row>
    <row r="1331" spans="2:7" x14ac:dyDescent="0.3">
      <c r="B1331" t="str">
        <f t="array" ref="B1331">IFERROR(INDEX('Orders Ledger'!$A$2:$A$1501, SMALL(IF(('Orders Ledger'!$J$2:$J$1501="disputed")+('Orders Ledger'!$J$2:$J$1501="PENDING_REVIEW"), ROW('Orders Ledger'!$A$2:$A$1501)-ROW('Orders Ledger'!$A$2)+1), ROW(1273:1273))), "")</f>
        <v/>
      </c>
      <c r="C1331" s="11" t="str">
        <f>IF(B1331="","",_xlfn.XLOOKUP(B1331,'Orders Ledger'!$A:$A,'Orders Ledger'!$B:$B,""))</f>
        <v/>
      </c>
      <c r="D1331" t="str">
        <f>IF(B1331="","",_xlfn.XLOOKUP(B1331,'Orders Ledger'!$A:$A,'Orders Ledger'!$G:$G,""))</f>
        <v/>
      </c>
      <c r="E1331" t="str">
        <f>IF(B1331="","",_xlfn.XLOOKUP(B1331,'Orders Ledger'!$A:$A,'Orders Ledger'!$H:$H,""))</f>
        <v/>
      </c>
      <c r="F1331" t="str">
        <f>IF(B1331="","",_xlfn.XLOOKUP(B1331,'Orders Ledger'!$A:$A,'Orders Ledger'!$F:$F,""))</f>
        <v/>
      </c>
      <c r="G1331" t="str">
        <f>IF(B1331="","",_xlfn.XLOOKUP(B1331,'Orders Ledger'!$A:$A,'Orders Ledger'!$N:$N,0))</f>
        <v/>
      </c>
    </row>
    <row r="1332" spans="2:7" x14ac:dyDescent="0.3">
      <c r="B1332" t="str">
        <f t="array" ref="B1332">IFERROR(INDEX('Orders Ledger'!$A$2:$A$1501, SMALL(IF(('Orders Ledger'!$J$2:$J$1501="disputed")+('Orders Ledger'!$J$2:$J$1501="PENDING_REVIEW"), ROW('Orders Ledger'!$A$2:$A$1501)-ROW('Orders Ledger'!$A$2)+1), ROW(1274:1274))), "")</f>
        <v/>
      </c>
      <c r="C1332" s="11" t="str">
        <f>IF(B1332="","",_xlfn.XLOOKUP(B1332,'Orders Ledger'!$A:$A,'Orders Ledger'!$B:$B,""))</f>
        <v/>
      </c>
      <c r="D1332" t="str">
        <f>IF(B1332="","",_xlfn.XLOOKUP(B1332,'Orders Ledger'!$A:$A,'Orders Ledger'!$G:$G,""))</f>
        <v/>
      </c>
      <c r="E1332" t="str">
        <f>IF(B1332="","",_xlfn.XLOOKUP(B1332,'Orders Ledger'!$A:$A,'Orders Ledger'!$H:$H,""))</f>
        <v/>
      </c>
      <c r="F1332" t="str">
        <f>IF(B1332="","",_xlfn.XLOOKUP(B1332,'Orders Ledger'!$A:$A,'Orders Ledger'!$F:$F,""))</f>
        <v/>
      </c>
      <c r="G1332" t="str">
        <f>IF(B1332="","",_xlfn.XLOOKUP(B1332,'Orders Ledger'!$A:$A,'Orders Ledger'!$N:$N,0))</f>
        <v/>
      </c>
    </row>
    <row r="1333" spans="2:7" x14ac:dyDescent="0.3">
      <c r="B1333" t="str">
        <f t="array" ref="B1333">IFERROR(INDEX('Orders Ledger'!$A$2:$A$1501, SMALL(IF(('Orders Ledger'!$J$2:$J$1501="disputed")+('Orders Ledger'!$J$2:$J$1501="PENDING_REVIEW"), ROW('Orders Ledger'!$A$2:$A$1501)-ROW('Orders Ledger'!$A$2)+1), ROW(1275:1275))), "")</f>
        <v/>
      </c>
      <c r="C1333" s="11" t="str">
        <f>IF(B1333="","",_xlfn.XLOOKUP(B1333,'Orders Ledger'!$A:$A,'Orders Ledger'!$B:$B,""))</f>
        <v/>
      </c>
      <c r="D1333" t="str">
        <f>IF(B1333="","",_xlfn.XLOOKUP(B1333,'Orders Ledger'!$A:$A,'Orders Ledger'!$G:$G,""))</f>
        <v/>
      </c>
      <c r="E1333" t="str">
        <f>IF(B1333="","",_xlfn.XLOOKUP(B1333,'Orders Ledger'!$A:$A,'Orders Ledger'!$H:$H,""))</f>
        <v/>
      </c>
      <c r="F1333" t="str">
        <f>IF(B1333="","",_xlfn.XLOOKUP(B1333,'Orders Ledger'!$A:$A,'Orders Ledger'!$F:$F,""))</f>
        <v/>
      </c>
      <c r="G1333" t="str">
        <f>IF(B1333="","",_xlfn.XLOOKUP(B1333,'Orders Ledger'!$A:$A,'Orders Ledger'!$N:$N,0))</f>
        <v/>
      </c>
    </row>
    <row r="1334" spans="2:7" x14ac:dyDescent="0.3">
      <c r="B1334" t="str">
        <f t="array" ref="B1334">IFERROR(INDEX('Orders Ledger'!$A$2:$A$1501, SMALL(IF(('Orders Ledger'!$J$2:$J$1501="disputed")+('Orders Ledger'!$J$2:$J$1501="PENDING_REVIEW"), ROW('Orders Ledger'!$A$2:$A$1501)-ROW('Orders Ledger'!$A$2)+1), ROW(1276:1276))), "")</f>
        <v/>
      </c>
      <c r="C1334" s="11" t="str">
        <f>IF(B1334="","",_xlfn.XLOOKUP(B1334,'Orders Ledger'!$A:$A,'Orders Ledger'!$B:$B,""))</f>
        <v/>
      </c>
      <c r="D1334" t="str">
        <f>IF(B1334="","",_xlfn.XLOOKUP(B1334,'Orders Ledger'!$A:$A,'Orders Ledger'!$G:$G,""))</f>
        <v/>
      </c>
      <c r="E1334" t="str">
        <f>IF(B1334="","",_xlfn.XLOOKUP(B1334,'Orders Ledger'!$A:$A,'Orders Ledger'!$H:$H,""))</f>
        <v/>
      </c>
      <c r="F1334" t="str">
        <f>IF(B1334="","",_xlfn.XLOOKUP(B1334,'Orders Ledger'!$A:$A,'Orders Ledger'!$F:$F,""))</f>
        <v/>
      </c>
      <c r="G1334" t="str">
        <f>IF(B1334="","",_xlfn.XLOOKUP(B1334,'Orders Ledger'!$A:$A,'Orders Ledger'!$N:$N,0))</f>
        <v/>
      </c>
    </row>
    <row r="1335" spans="2:7" x14ac:dyDescent="0.3">
      <c r="B1335" t="str">
        <f t="array" ref="B1335">IFERROR(INDEX('Orders Ledger'!$A$2:$A$1501, SMALL(IF(('Orders Ledger'!$J$2:$J$1501="disputed")+('Orders Ledger'!$J$2:$J$1501="PENDING_REVIEW"), ROW('Orders Ledger'!$A$2:$A$1501)-ROW('Orders Ledger'!$A$2)+1), ROW(1277:1277))), "")</f>
        <v/>
      </c>
      <c r="C1335" s="11" t="str">
        <f>IF(B1335="","",_xlfn.XLOOKUP(B1335,'Orders Ledger'!$A:$A,'Orders Ledger'!$B:$B,""))</f>
        <v/>
      </c>
      <c r="D1335" t="str">
        <f>IF(B1335="","",_xlfn.XLOOKUP(B1335,'Orders Ledger'!$A:$A,'Orders Ledger'!$G:$G,""))</f>
        <v/>
      </c>
      <c r="E1335" t="str">
        <f>IF(B1335="","",_xlfn.XLOOKUP(B1335,'Orders Ledger'!$A:$A,'Orders Ledger'!$H:$H,""))</f>
        <v/>
      </c>
      <c r="F1335" t="str">
        <f>IF(B1335="","",_xlfn.XLOOKUP(B1335,'Orders Ledger'!$A:$A,'Orders Ledger'!$F:$F,""))</f>
        <v/>
      </c>
      <c r="G1335" t="str">
        <f>IF(B1335="","",_xlfn.XLOOKUP(B1335,'Orders Ledger'!$A:$A,'Orders Ledger'!$N:$N,0))</f>
        <v/>
      </c>
    </row>
    <row r="1336" spans="2:7" x14ac:dyDescent="0.3">
      <c r="B1336" t="str">
        <f t="array" ref="B1336">IFERROR(INDEX('Orders Ledger'!$A$2:$A$1501, SMALL(IF(('Orders Ledger'!$J$2:$J$1501="disputed")+('Orders Ledger'!$J$2:$J$1501="PENDING_REVIEW"), ROW('Orders Ledger'!$A$2:$A$1501)-ROW('Orders Ledger'!$A$2)+1), ROW(1278:1278))), "")</f>
        <v/>
      </c>
      <c r="C1336" s="11" t="str">
        <f>IF(B1336="","",_xlfn.XLOOKUP(B1336,'Orders Ledger'!$A:$A,'Orders Ledger'!$B:$B,""))</f>
        <v/>
      </c>
      <c r="D1336" t="str">
        <f>IF(B1336="","",_xlfn.XLOOKUP(B1336,'Orders Ledger'!$A:$A,'Orders Ledger'!$G:$G,""))</f>
        <v/>
      </c>
      <c r="E1336" t="str">
        <f>IF(B1336="","",_xlfn.XLOOKUP(B1336,'Orders Ledger'!$A:$A,'Orders Ledger'!$H:$H,""))</f>
        <v/>
      </c>
      <c r="F1336" t="str">
        <f>IF(B1336="","",_xlfn.XLOOKUP(B1336,'Orders Ledger'!$A:$A,'Orders Ledger'!$F:$F,""))</f>
        <v/>
      </c>
      <c r="G1336" t="str">
        <f>IF(B1336="","",_xlfn.XLOOKUP(B1336,'Orders Ledger'!$A:$A,'Orders Ledger'!$N:$N,0))</f>
        <v/>
      </c>
    </row>
    <row r="1337" spans="2:7" x14ac:dyDescent="0.3">
      <c r="B1337" t="str">
        <f t="array" ref="B1337">IFERROR(INDEX('Orders Ledger'!$A$2:$A$1501, SMALL(IF(('Orders Ledger'!$J$2:$J$1501="disputed")+('Orders Ledger'!$J$2:$J$1501="PENDING_REVIEW"), ROW('Orders Ledger'!$A$2:$A$1501)-ROW('Orders Ledger'!$A$2)+1), ROW(1279:1279))), "")</f>
        <v/>
      </c>
      <c r="C1337" s="11" t="str">
        <f>IF(B1337="","",_xlfn.XLOOKUP(B1337,'Orders Ledger'!$A:$A,'Orders Ledger'!$B:$B,""))</f>
        <v/>
      </c>
      <c r="D1337" t="str">
        <f>IF(B1337="","",_xlfn.XLOOKUP(B1337,'Orders Ledger'!$A:$A,'Orders Ledger'!$G:$G,""))</f>
        <v/>
      </c>
      <c r="E1337" t="str">
        <f>IF(B1337="","",_xlfn.XLOOKUP(B1337,'Orders Ledger'!$A:$A,'Orders Ledger'!$H:$H,""))</f>
        <v/>
      </c>
      <c r="F1337" t="str">
        <f>IF(B1337="","",_xlfn.XLOOKUP(B1337,'Orders Ledger'!$A:$A,'Orders Ledger'!$F:$F,""))</f>
        <v/>
      </c>
      <c r="G1337" t="str">
        <f>IF(B1337="","",_xlfn.XLOOKUP(B1337,'Orders Ledger'!$A:$A,'Orders Ledger'!$N:$N,0))</f>
        <v/>
      </c>
    </row>
    <row r="1338" spans="2:7" x14ac:dyDescent="0.3">
      <c r="B1338" t="str">
        <f t="array" ref="B1338">IFERROR(INDEX('Orders Ledger'!$A$2:$A$1501, SMALL(IF(('Orders Ledger'!$J$2:$J$1501="disputed")+('Orders Ledger'!$J$2:$J$1501="PENDING_REVIEW"), ROW('Orders Ledger'!$A$2:$A$1501)-ROW('Orders Ledger'!$A$2)+1), ROW(1280:1280))), "")</f>
        <v/>
      </c>
      <c r="C1338" s="11" t="str">
        <f>IF(B1338="","",_xlfn.XLOOKUP(B1338,'Orders Ledger'!$A:$A,'Orders Ledger'!$B:$B,""))</f>
        <v/>
      </c>
      <c r="D1338" t="str">
        <f>IF(B1338="","",_xlfn.XLOOKUP(B1338,'Orders Ledger'!$A:$A,'Orders Ledger'!$G:$G,""))</f>
        <v/>
      </c>
      <c r="E1338" t="str">
        <f>IF(B1338="","",_xlfn.XLOOKUP(B1338,'Orders Ledger'!$A:$A,'Orders Ledger'!$H:$H,""))</f>
        <v/>
      </c>
      <c r="F1338" t="str">
        <f>IF(B1338="","",_xlfn.XLOOKUP(B1338,'Orders Ledger'!$A:$A,'Orders Ledger'!$F:$F,""))</f>
        <v/>
      </c>
      <c r="G1338" t="str">
        <f>IF(B1338="","",_xlfn.XLOOKUP(B1338,'Orders Ledger'!$A:$A,'Orders Ledger'!$N:$N,0))</f>
        <v/>
      </c>
    </row>
    <row r="1339" spans="2:7" x14ac:dyDescent="0.3">
      <c r="B1339" t="str">
        <f t="array" ref="B1339">IFERROR(INDEX('Orders Ledger'!$A$2:$A$1501, SMALL(IF(('Orders Ledger'!$J$2:$J$1501="disputed")+('Orders Ledger'!$J$2:$J$1501="PENDING_REVIEW"), ROW('Orders Ledger'!$A$2:$A$1501)-ROW('Orders Ledger'!$A$2)+1), ROW(1281:1281))), "")</f>
        <v/>
      </c>
      <c r="C1339" s="11" t="str">
        <f>IF(B1339="","",_xlfn.XLOOKUP(B1339,'Orders Ledger'!$A:$A,'Orders Ledger'!$B:$B,""))</f>
        <v/>
      </c>
      <c r="D1339" t="str">
        <f>IF(B1339="","",_xlfn.XLOOKUP(B1339,'Orders Ledger'!$A:$A,'Orders Ledger'!$G:$G,""))</f>
        <v/>
      </c>
      <c r="E1339" t="str">
        <f>IF(B1339="","",_xlfn.XLOOKUP(B1339,'Orders Ledger'!$A:$A,'Orders Ledger'!$H:$H,""))</f>
        <v/>
      </c>
      <c r="F1339" t="str">
        <f>IF(B1339="","",_xlfn.XLOOKUP(B1339,'Orders Ledger'!$A:$A,'Orders Ledger'!$F:$F,""))</f>
        <v/>
      </c>
      <c r="G1339" t="str">
        <f>IF(B1339="","",_xlfn.XLOOKUP(B1339,'Orders Ledger'!$A:$A,'Orders Ledger'!$N:$N,0))</f>
        <v/>
      </c>
    </row>
    <row r="1340" spans="2:7" x14ac:dyDescent="0.3">
      <c r="B1340" t="str">
        <f t="array" ref="B1340">IFERROR(INDEX('Orders Ledger'!$A$2:$A$1501, SMALL(IF(('Orders Ledger'!$J$2:$J$1501="disputed")+('Orders Ledger'!$J$2:$J$1501="PENDING_REVIEW"), ROW('Orders Ledger'!$A$2:$A$1501)-ROW('Orders Ledger'!$A$2)+1), ROW(1282:1282))), "")</f>
        <v/>
      </c>
      <c r="C1340" s="11" t="str">
        <f>IF(B1340="","",_xlfn.XLOOKUP(B1340,'Orders Ledger'!$A:$A,'Orders Ledger'!$B:$B,""))</f>
        <v/>
      </c>
      <c r="D1340" t="str">
        <f>IF(B1340="","",_xlfn.XLOOKUP(B1340,'Orders Ledger'!$A:$A,'Orders Ledger'!$G:$G,""))</f>
        <v/>
      </c>
      <c r="E1340" t="str">
        <f>IF(B1340="","",_xlfn.XLOOKUP(B1340,'Orders Ledger'!$A:$A,'Orders Ledger'!$H:$H,""))</f>
        <v/>
      </c>
      <c r="F1340" t="str">
        <f>IF(B1340="","",_xlfn.XLOOKUP(B1340,'Orders Ledger'!$A:$A,'Orders Ledger'!$F:$F,""))</f>
        <v/>
      </c>
      <c r="G1340" t="str">
        <f>IF(B1340="","",_xlfn.XLOOKUP(B1340,'Orders Ledger'!$A:$A,'Orders Ledger'!$N:$N,0))</f>
        <v/>
      </c>
    </row>
    <row r="1341" spans="2:7" x14ac:dyDescent="0.3">
      <c r="B1341" t="str">
        <f t="array" ref="B1341">IFERROR(INDEX('Orders Ledger'!$A$2:$A$1501, SMALL(IF(('Orders Ledger'!$J$2:$J$1501="disputed")+('Orders Ledger'!$J$2:$J$1501="PENDING_REVIEW"), ROW('Orders Ledger'!$A$2:$A$1501)-ROW('Orders Ledger'!$A$2)+1), ROW(1283:1283))), "")</f>
        <v/>
      </c>
      <c r="C1341" s="11" t="str">
        <f>IF(B1341="","",_xlfn.XLOOKUP(B1341,'Orders Ledger'!$A:$A,'Orders Ledger'!$B:$B,""))</f>
        <v/>
      </c>
      <c r="D1341" t="str">
        <f>IF(B1341="","",_xlfn.XLOOKUP(B1341,'Orders Ledger'!$A:$A,'Orders Ledger'!$G:$G,""))</f>
        <v/>
      </c>
      <c r="E1341" t="str">
        <f>IF(B1341="","",_xlfn.XLOOKUP(B1341,'Orders Ledger'!$A:$A,'Orders Ledger'!$H:$H,""))</f>
        <v/>
      </c>
      <c r="F1341" t="str">
        <f>IF(B1341="","",_xlfn.XLOOKUP(B1341,'Orders Ledger'!$A:$A,'Orders Ledger'!$F:$F,""))</f>
        <v/>
      </c>
      <c r="G1341" t="str">
        <f>IF(B1341="","",_xlfn.XLOOKUP(B1341,'Orders Ledger'!$A:$A,'Orders Ledger'!$N:$N,0))</f>
        <v/>
      </c>
    </row>
    <row r="1342" spans="2:7" x14ac:dyDescent="0.3">
      <c r="B1342" t="str">
        <f t="array" ref="B1342">IFERROR(INDEX('Orders Ledger'!$A$2:$A$1501, SMALL(IF(('Orders Ledger'!$J$2:$J$1501="disputed")+('Orders Ledger'!$J$2:$J$1501="PENDING_REVIEW"), ROW('Orders Ledger'!$A$2:$A$1501)-ROW('Orders Ledger'!$A$2)+1), ROW(1284:1284))), "")</f>
        <v/>
      </c>
      <c r="C1342" s="11" t="str">
        <f>IF(B1342="","",_xlfn.XLOOKUP(B1342,'Orders Ledger'!$A:$A,'Orders Ledger'!$B:$B,""))</f>
        <v/>
      </c>
      <c r="D1342" t="str">
        <f>IF(B1342="","",_xlfn.XLOOKUP(B1342,'Orders Ledger'!$A:$A,'Orders Ledger'!$G:$G,""))</f>
        <v/>
      </c>
      <c r="E1342" t="str">
        <f>IF(B1342="","",_xlfn.XLOOKUP(B1342,'Orders Ledger'!$A:$A,'Orders Ledger'!$H:$H,""))</f>
        <v/>
      </c>
      <c r="F1342" t="str">
        <f>IF(B1342="","",_xlfn.XLOOKUP(B1342,'Orders Ledger'!$A:$A,'Orders Ledger'!$F:$F,""))</f>
        <v/>
      </c>
      <c r="G1342" t="str">
        <f>IF(B1342="","",_xlfn.XLOOKUP(B1342,'Orders Ledger'!$A:$A,'Orders Ledger'!$N:$N,0))</f>
        <v/>
      </c>
    </row>
    <row r="1343" spans="2:7" x14ac:dyDescent="0.3">
      <c r="B1343" t="str">
        <f t="array" ref="B1343">IFERROR(INDEX('Orders Ledger'!$A$2:$A$1501, SMALL(IF(('Orders Ledger'!$J$2:$J$1501="disputed")+('Orders Ledger'!$J$2:$J$1501="PENDING_REVIEW"), ROW('Orders Ledger'!$A$2:$A$1501)-ROW('Orders Ledger'!$A$2)+1), ROW(1285:1285))), "")</f>
        <v/>
      </c>
      <c r="C1343" s="11" t="str">
        <f>IF(B1343="","",_xlfn.XLOOKUP(B1343,'Orders Ledger'!$A:$A,'Orders Ledger'!$B:$B,""))</f>
        <v/>
      </c>
      <c r="D1343" t="str">
        <f>IF(B1343="","",_xlfn.XLOOKUP(B1343,'Orders Ledger'!$A:$A,'Orders Ledger'!$G:$G,""))</f>
        <v/>
      </c>
      <c r="E1343" t="str">
        <f>IF(B1343="","",_xlfn.XLOOKUP(B1343,'Orders Ledger'!$A:$A,'Orders Ledger'!$H:$H,""))</f>
        <v/>
      </c>
      <c r="F1343" t="str">
        <f>IF(B1343="","",_xlfn.XLOOKUP(B1343,'Orders Ledger'!$A:$A,'Orders Ledger'!$F:$F,""))</f>
        <v/>
      </c>
      <c r="G1343" t="str">
        <f>IF(B1343="","",_xlfn.XLOOKUP(B1343,'Orders Ledger'!$A:$A,'Orders Ledger'!$N:$N,0))</f>
        <v/>
      </c>
    </row>
    <row r="1344" spans="2:7" x14ac:dyDescent="0.3">
      <c r="B1344" t="str">
        <f t="array" ref="B1344">IFERROR(INDEX('Orders Ledger'!$A$2:$A$1501, SMALL(IF(('Orders Ledger'!$J$2:$J$1501="disputed")+('Orders Ledger'!$J$2:$J$1501="PENDING_REVIEW"), ROW('Orders Ledger'!$A$2:$A$1501)-ROW('Orders Ledger'!$A$2)+1), ROW(1286:1286))), "")</f>
        <v/>
      </c>
      <c r="C1344" s="11" t="str">
        <f>IF(B1344="","",_xlfn.XLOOKUP(B1344,'Orders Ledger'!$A:$A,'Orders Ledger'!$B:$B,""))</f>
        <v/>
      </c>
      <c r="D1344" t="str">
        <f>IF(B1344="","",_xlfn.XLOOKUP(B1344,'Orders Ledger'!$A:$A,'Orders Ledger'!$G:$G,""))</f>
        <v/>
      </c>
      <c r="E1344" t="str">
        <f>IF(B1344="","",_xlfn.XLOOKUP(B1344,'Orders Ledger'!$A:$A,'Orders Ledger'!$H:$H,""))</f>
        <v/>
      </c>
      <c r="F1344" t="str">
        <f>IF(B1344="","",_xlfn.XLOOKUP(B1344,'Orders Ledger'!$A:$A,'Orders Ledger'!$F:$F,""))</f>
        <v/>
      </c>
      <c r="G1344" t="str">
        <f>IF(B1344="","",_xlfn.XLOOKUP(B1344,'Orders Ledger'!$A:$A,'Orders Ledger'!$N:$N,0))</f>
        <v/>
      </c>
    </row>
    <row r="1345" spans="2:7" x14ac:dyDescent="0.3">
      <c r="B1345" t="str">
        <f t="array" ref="B1345">IFERROR(INDEX('Orders Ledger'!$A$2:$A$1501, SMALL(IF(('Orders Ledger'!$J$2:$J$1501="disputed")+('Orders Ledger'!$J$2:$J$1501="PENDING_REVIEW"), ROW('Orders Ledger'!$A$2:$A$1501)-ROW('Orders Ledger'!$A$2)+1), ROW(1287:1287))), "")</f>
        <v/>
      </c>
      <c r="C1345" s="11" t="str">
        <f>IF(B1345="","",_xlfn.XLOOKUP(B1345,'Orders Ledger'!$A:$A,'Orders Ledger'!$B:$B,""))</f>
        <v/>
      </c>
      <c r="D1345" t="str">
        <f>IF(B1345="","",_xlfn.XLOOKUP(B1345,'Orders Ledger'!$A:$A,'Orders Ledger'!$G:$G,""))</f>
        <v/>
      </c>
      <c r="E1345" t="str">
        <f>IF(B1345="","",_xlfn.XLOOKUP(B1345,'Orders Ledger'!$A:$A,'Orders Ledger'!$H:$H,""))</f>
        <v/>
      </c>
      <c r="F1345" t="str">
        <f>IF(B1345="","",_xlfn.XLOOKUP(B1345,'Orders Ledger'!$A:$A,'Orders Ledger'!$F:$F,""))</f>
        <v/>
      </c>
      <c r="G1345" t="str">
        <f>IF(B1345="","",_xlfn.XLOOKUP(B1345,'Orders Ledger'!$A:$A,'Orders Ledger'!$N:$N,0))</f>
        <v/>
      </c>
    </row>
    <row r="1346" spans="2:7" x14ac:dyDescent="0.3">
      <c r="B1346" t="str">
        <f t="array" ref="B1346">IFERROR(INDEX('Orders Ledger'!$A$2:$A$1501, SMALL(IF(('Orders Ledger'!$J$2:$J$1501="disputed")+('Orders Ledger'!$J$2:$J$1501="PENDING_REVIEW"), ROW('Orders Ledger'!$A$2:$A$1501)-ROW('Orders Ledger'!$A$2)+1), ROW(1288:1288))), "")</f>
        <v/>
      </c>
      <c r="C1346" s="11" t="str">
        <f>IF(B1346="","",_xlfn.XLOOKUP(B1346,'Orders Ledger'!$A:$A,'Orders Ledger'!$B:$B,""))</f>
        <v/>
      </c>
      <c r="D1346" t="str">
        <f>IF(B1346="","",_xlfn.XLOOKUP(B1346,'Orders Ledger'!$A:$A,'Orders Ledger'!$G:$G,""))</f>
        <v/>
      </c>
      <c r="E1346" t="str">
        <f>IF(B1346="","",_xlfn.XLOOKUP(B1346,'Orders Ledger'!$A:$A,'Orders Ledger'!$H:$H,""))</f>
        <v/>
      </c>
      <c r="F1346" t="str">
        <f>IF(B1346="","",_xlfn.XLOOKUP(B1346,'Orders Ledger'!$A:$A,'Orders Ledger'!$F:$F,""))</f>
        <v/>
      </c>
      <c r="G1346" t="str">
        <f>IF(B1346="","",_xlfn.XLOOKUP(B1346,'Orders Ledger'!$A:$A,'Orders Ledger'!$N:$N,0))</f>
        <v/>
      </c>
    </row>
    <row r="1347" spans="2:7" x14ac:dyDescent="0.3">
      <c r="B1347" t="str">
        <f t="array" ref="B1347">IFERROR(INDEX('Orders Ledger'!$A$2:$A$1501, SMALL(IF(('Orders Ledger'!$J$2:$J$1501="disputed")+('Orders Ledger'!$J$2:$J$1501="PENDING_REVIEW"), ROW('Orders Ledger'!$A$2:$A$1501)-ROW('Orders Ledger'!$A$2)+1), ROW(1289:1289))), "")</f>
        <v/>
      </c>
      <c r="C1347" s="11" t="str">
        <f>IF(B1347="","",_xlfn.XLOOKUP(B1347,'Orders Ledger'!$A:$A,'Orders Ledger'!$B:$B,""))</f>
        <v/>
      </c>
      <c r="D1347" t="str">
        <f>IF(B1347="","",_xlfn.XLOOKUP(B1347,'Orders Ledger'!$A:$A,'Orders Ledger'!$G:$G,""))</f>
        <v/>
      </c>
      <c r="E1347" t="str">
        <f>IF(B1347="","",_xlfn.XLOOKUP(B1347,'Orders Ledger'!$A:$A,'Orders Ledger'!$H:$H,""))</f>
        <v/>
      </c>
      <c r="F1347" t="str">
        <f>IF(B1347="","",_xlfn.XLOOKUP(B1347,'Orders Ledger'!$A:$A,'Orders Ledger'!$F:$F,""))</f>
        <v/>
      </c>
      <c r="G1347" t="str">
        <f>IF(B1347="","",_xlfn.XLOOKUP(B1347,'Orders Ledger'!$A:$A,'Orders Ledger'!$N:$N,0))</f>
        <v/>
      </c>
    </row>
    <row r="1348" spans="2:7" x14ac:dyDescent="0.3">
      <c r="B1348" t="str">
        <f t="array" ref="B1348">IFERROR(INDEX('Orders Ledger'!$A$2:$A$1501, SMALL(IF(('Orders Ledger'!$J$2:$J$1501="disputed")+('Orders Ledger'!$J$2:$J$1501="PENDING_REVIEW"), ROW('Orders Ledger'!$A$2:$A$1501)-ROW('Orders Ledger'!$A$2)+1), ROW(1290:1290))), "")</f>
        <v/>
      </c>
      <c r="C1348" s="11" t="str">
        <f>IF(B1348="","",_xlfn.XLOOKUP(B1348,'Orders Ledger'!$A:$A,'Orders Ledger'!$B:$B,""))</f>
        <v/>
      </c>
      <c r="D1348" t="str">
        <f>IF(B1348="","",_xlfn.XLOOKUP(B1348,'Orders Ledger'!$A:$A,'Orders Ledger'!$G:$G,""))</f>
        <v/>
      </c>
      <c r="E1348" t="str">
        <f>IF(B1348="","",_xlfn.XLOOKUP(B1348,'Orders Ledger'!$A:$A,'Orders Ledger'!$H:$H,""))</f>
        <v/>
      </c>
      <c r="F1348" t="str">
        <f>IF(B1348="","",_xlfn.XLOOKUP(B1348,'Orders Ledger'!$A:$A,'Orders Ledger'!$F:$F,""))</f>
        <v/>
      </c>
      <c r="G1348" t="str">
        <f>IF(B1348="","",_xlfn.XLOOKUP(B1348,'Orders Ledger'!$A:$A,'Orders Ledger'!$N:$N,0))</f>
        <v/>
      </c>
    </row>
    <row r="1349" spans="2:7" x14ac:dyDescent="0.3">
      <c r="B1349" t="str">
        <f t="array" ref="B1349">IFERROR(INDEX('Orders Ledger'!$A$2:$A$1501, SMALL(IF(('Orders Ledger'!$J$2:$J$1501="disputed")+('Orders Ledger'!$J$2:$J$1501="PENDING_REVIEW"), ROW('Orders Ledger'!$A$2:$A$1501)-ROW('Orders Ledger'!$A$2)+1), ROW(1291:1291))), "")</f>
        <v/>
      </c>
      <c r="C1349" s="11" t="str">
        <f>IF(B1349="","",_xlfn.XLOOKUP(B1349,'Orders Ledger'!$A:$A,'Orders Ledger'!$B:$B,""))</f>
        <v/>
      </c>
      <c r="D1349" t="str">
        <f>IF(B1349="","",_xlfn.XLOOKUP(B1349,'Orders Ledger'!$A:$A,'Orders Ledger'!$G:$G,""))</f>
        <v/>
      </c>
      <c r="E1349" t="str">
        <f>IF(B1349="","",_xlfn.XLOOKUP(B1349,'Orders Ledger'!$A:$A,'Orders Ledger'!$H:$H,""))</f>
        <v/>
      </c>
      <c r="F1349" t="str">
        <f>IF(B1349="","",_xlfn.XLOOKUP(B1349,'Orders Ledger'!$A:$A,'Orders Ledger'!$F:$F,""))</f>
        <v/>
      </c>
      <c r="G1349" t="str">
        <f>IF(B1349="","",_xlfn.XLOOKUP(B1349,'Orders Ledger'!$A:$A,'Orders Ledger'!$N:$N,0))</f>
        <v/>
      </c>
    </row>
    <row r="1350" spans="2:7" x14ac:dyDescent="0.3">
      <c r="B1350" t="str">
        <f t="array" ref="B1350">IFERROR(INDEX('Orders Ledger'!$A$2:$A$1501, SMALL(IF(('Orders Ledger'!$J$2:$J$1501="disputed")+('Orders Ledger'!$J$2:$J$1501="PENDING_REVIEW"), ROW('Orders Ledger'!$A$2:$A$1501)-ROW('Orders Ledger'!$A$2)+1), ROW(1292:1292))), "")</f>
        <v/>
      </c>
      <c r="C1350" s="11" t="str">
        <f>IF(B1350="","",_xlfn.XLOOKUP(B1350,'Orders Ledger'!$A:$A,'Orders Ledger'!$B:$B,""))</f>
        <v/>
      </c>
      <c r="D1350" t="str">
        <f>IF(B1350="","",_xlfn.XLOOKUP(B1350,'Orders Ledger'!$A:$A,'Orders Ledger'!$G:$G,""))</f>
        <v/>
      </c>
      <c r="E1350" t="str">
        <f>IF(B1350="","",_xlfn.XLOOKUP(B1350,'Orders Ledger'!$A:$A,'Orders Ledger'!$H:$H,""))</f>
        <v/>
      </c>
      <c r="F1350" t="str">
        <f>IF(B1350="","",_xlfn.XLOOKUP(B1350,'Orders Ledger'!$A:$A,'Orders Ledger'!$F:$F,""))</f>
        <v/>
      </c>
      <c r="G1350" t="str">
        <f>IF(B1350="","",_xlfn.XLOOKUP(B1350,'Orders Ledger'!$A:$A,'Orders Ledger'!$N:$N,0))</f>
        <v/>
      </c>
    </row>
    <row r="1351" spans="2:7" x14ac:dyDescent="0.3">
      <c r="B1351" t="str">
        <f t="array" ref="B1351">IFERROR(INDEX('Orders Ledger'!$A$2:$A$1501, SMALL(IF(('Orders Ledger'!$J$2:$J$1501="disputed")+('Orders Ledger'!$J$2:$J$1501="PENDING_REVIEW"), ROW('Orders Ledger'!$A$2:$A$1501)-ROW('Orders Ledger'!$A$2)+1), ROW(1293:1293))), "")</f>
        <v/>
      </c>
      <c r="C1351" s="11" t="str">
        <f>IF(B1351="","",_xlfn.XLOOKUP(B1351,'Orders Ledger'!$A:$A,'Orders Ledger'!$B:$B,""))</f>
        <v/>
      </c>
      <c r="D1351" t="str">
        <f>IF(B1351="","",_xlfn.XLOOKUP(B1351,'Orders Ledger'!$A:$A,'Orders Ledger'!$G:$G,""))</f>
        <v/>
      </c>
      <c r="E1351" t="str">
        <f>IF(B1351="","",_xlfn.XLOOKUP(B1351,'Orders Ledger'!$A:$A,'Orders Ledger'!$H:$H,""))</f>
        <v/>
      </c>
      <c r="F1351" t="str">
        <f>IF(B1351="","",_xlfn.XLOOKUP(B1351,'Orders Ledger'!$A:$A,'Orders Ledger'!$F:$F,""))</f>
        <v/>
      </c>
      <c r="G1351" t="str">
        <f>IF(B1351="","",_xlfn.XLOOKUP(B1351,'Orders Ledger'!$A:$A,'Orders Ledger'!$N:$N,0))</f>
        <v/>
      </c>
    </row>
    <row r="1352" spans="2:7" x14ac:dyDescent="0.3">
      <c r="B1352" t="str">
        <f t="array" ref="B1352">IFERROR(INDEX('Orders Ledger'!$A$2:$A$1501, SMALL(IF(('Orders Ledger'!$J$2:$J$1501="disputed")+('Orders Ledger'!$J$2:$J$1501="PENDING_REVIEW"), ROW('Orders Ledger'!$A$2:$A$1501)-ROW('Orders Ledger'!$A$2)+1), ROW(1294:1294))), "")</f>
        <v/>
      </c>
      <c r="C1352" s="11" t="str">
        <f>IF(B1352="","",_xlfn.XLOOKUP(B1352,'Orders Ledger'!$A:$A,'Orders Ledger'!$B:$B,""))</f>
        <v/>
      </c>
      <c r="D1352" t="str">
        <f>IF(B1352="","",_xlfn.XLOOKUP(B1352,'Orders Ledger'!$A:$A,'Orders Ledger'!$G:$G,""))</f>
        <v/>
      </c>
      <c r="E1352" t="str">
        <f>IF(B1352="","",_xlfn.XLOOKUP(B1352,'Orders Ledger'!$A:$A,'Orders Ledger'!$H:$H,""))</f>
        <v/>
      </c>
      <c r="F1352" t="str">
        <f>IF(B1352="","",_xlfn.XLOOKUP(B1352,'Orders Ledger'!$A:$A,'Orders Ledger'!$F:$F,""))</f>
        <v/>
      </c>
      <c r="G1352" t="str">
        <f>IF(B1352="","",_xlfn.XLOOKUP(B1352,'Orders Ledger'!$A:$A,'Orders Ledger'!$N:$N,0))</f>
        <v/>
      </c>
    </row>
    <row r="1353" spans="2:7" x14ac:dyDescent="0.3">
      <c r="B1353" t="str">
        <f t="array" ref="B1353">IFERROR(INDEX('Orders Ledger'!$A$2:$A$1501, SMALL(IF(('Orders Ledger'!$J$2:$J$1501="disputed")+('Orders Ledger'!$J$2:$J$1501="PENDING_REVIEW"), ROW('Orders Ledger'!$A$2:$A$1501)-ROW('Orders Ledger'!$A$2)+1), ROW(1295:1295))), "")</f>
        <v/>
      </c>
      <c r="C1353" s="11" t="str">
        <f>IF(B1353="","",_xlfn.XLOOKUP(B1353,'Orders Ledger'!$A:$A,'Orders Ledger'!$B:$B,""))</f>
        <v/>
      </c>
      <c r="D1353" t="str">
        <f>IF(B1353="","",_xlfn.XLOOKUP(B1353,'Orders Ledger'!$A:$A,'Orders Ledger'!$G:$G,""))</f>
        <v/>
      </c>
      <c r="E1353" t="str">
        <f>IF(B1353="","",_xlfn.XLOOKUP(B1353,'Orders Ledger'!$A:$A,'Orders Ledger'!$H:$H,""))</f>
        <v/>
      </c>
      <c r="F1353" t="str">
        <f>IF(B1353="","",_xlfn.XLOOKUP(B1353,'Orders Ledger'!$A:$A,'Orders Ledger'!$F:$F,""))</f>
        <v/>
      </c>
      <c r="G1353" t="str">
        <f>IF(B1353="","",_xlfn.XLOOKUP(B1353,'Orders Ledger'!$A:$A,'Orders Ledger'!$N:$N,0))</f>
        <v/>
      </c>
    </row>
    <row r="1354" spans="2:7" x14ac:dyDescent="0.3">
      <c r="B1354" t="str">
        <f t="array" ref="B1354">IFERROR(INDEX('Orders Ledger'!$A$2:$A$1501, SMALL(IF(('Orders Ledger'!$J$2:$J$1501="disputed")+('Orders Ledger'!$J$2:$J$1501="PENDING_REVIEW"), ROW('Orders Ledger'!$A$2:$A$1501)-ROW('Orders Ledger'!$A$2)+1), ROW(1296:1296))), "")</f>
        <v/>
      </c>
      <c r="C1354" s="11" t="str">
        <f>IF(B1354="","",_xlfn.XLOOKUP(B1354,'Orders Ledger'!$A:$A,'Orders Ledger'!$B:$B,""))</f>
        <v/>
      </c>
      <c r="D1354" t="str">
        <f>IF(B1354="","",_xlfn.XLOOKUP(B1354,'Orders Ledger'!$A:$A,'Orders Ledger'!$G:$G,""))</f>
        <v/>
      </c>
      <c r="E1354" t="str">
        <f>IF(B1354="","",_xlfn.XLOOKUP(B1354,'Orders Ledger'!$A:$A,'Orders Ledger'!$H:$H,""))</f>
        <v/>
      </c>
      <c r="F1354" t="str">
        <f>IF(B1354="","",_xlfn.XLOOKUP(B1354,'Orders Ledger'!$A:$A,'Orders Ledger'!$F:$F,""))</f>
        <v/>
      </c>
      <c r="G1354" t="str">
        <f>IF(B1354="","",_xlfn.XLOOKUP(B1354,'Orders Ledger'!$A:$A,'Orders Ledger'!$N:$N,0))</f>
        <v/>
      </c>
    </row>
    <row r="1355" spans="2:7" x14ac:dyDescent="0.3">
      <c r="B1355" t="str">
        <f t="array" ref="B1355">IFERROR(INDEX('Orders Ledger'!$A$2:$A$1501, SMALL(IF(('Orders Ledger'!$J$2:$J$1501="disputed")+('Orders Ledger'!$J$2:$J$1501="PENDING_REVIEW"), ROW('Orders Ledger'!$A$2:$A$1501)-ROW('Orders Ledger'!$A$2)+1), ROW(1297:1297))), "")</f>
        <v/>
      </c>
      <c r="C1355" s="11" t="str">
        <f>IF(B1355="","",_xlfn.XLOOKUP(B1355,'Orders Ledger'!$A:$A,'Orders Ledger'!$B:$B,""))</f>
        <v/>
      </c>
      <c r="D1355" t="str">
        <f>IF(B1355="","",_xlfn.XLOOKUP(B1355,'Orders Ledger'!$A:$A,'Orders Ledger'!$G:$G,""))</f>
        <v/>
      </c>
      <c r="E1355" t="str">
        <f>IF(B1355="","",_xlfn.XLOOKUP(B1355,'Orders Ledger'!$A:$A,'Orders Ledger'!$H:$H,""))</f>
        <v/>
      </c>
      <c r="F1355" t="str">
        <f>IF(B1355="","",_xlfn.XLOOKUP(B1355,'Orders Ledger'!$A:$A,'Orders Ledger'!$F:$F,""))</f>
        <v/>
      </c>
      <c r="G1355" t="str">
        <f>IF(B1355="","",_xlfn.XLOOKUP(B1355,'Orders Ledger'!$A:$A,'Orders Ledger'!$N:$N,0))</f>
        <v/>
      </c>
    </row>
    <row r="1356" spans="2:7" x14ac:dyDescent="0.3">
      <c r="B1356" t="str">
        <f t="array" ref="B1356">IFERROR(INDEX('Orders Ledger'!$A$2:$A$1501, SMALL(IF(('Orders Ledger'!$J$2:$J$1501="disputed")+('Orders Ledger'!$J$2:$J$1501="PENDING_REVIEW"), ROW('Orders Ledger'!$A$2:$A$1501)-ROW('Orders Ledger'!$A$2)+1), ROW(1298:1298))), "")</f>
        <v/>
      </c>
      <c r="C1356" s="11" t="str">
        <f>IF(B1356="","",_xlfn.XLOOKUP(B1356,'Orders Ledger'!$A:$A,'Orders Ledger'!$B:$B,""))</f>
        <v/>
      </c>
      <c r="D1356" t="str">
        <f>IF(B1356="","",_xlfn.XLOOKUP(B1356,'Orders Ledger'!$A:$A,'Orders Ledger'!$G:$G,""))</f>
        <v/>
      </c>
      <c r="E1356" t="str">
        <f>IF(B1356="","",_xlfn.XLOOKUP(B1356,'Orders Ledger'!$A:$A,'Orders Ledger'!$H:$H,""))</f>
        <v/>
      </c>
      <c r="F1356" t="str">
        <f>IF(B1356="","",_xlfn.XLOOKUP(B1356,'Orders Ledger'!$A:$A,'Orders Ledger'!$F:$F,""))</f>
        <v/>
      </c>
      <c r="G1356" t="str">
        <f>IF(B1356="","",_xlfn.XLOOKUP(B1356,'Orders Ledger'!$A:$A,'Orders Ledger'!$N:$N,0))</f>
        <v/>
      </c>
    </row>
    <row r="1357" spans="2:7" x14ac:dyDescent="0.3">
      <c r="B1357" t="str">
        <f t="array" ref="B1357">IFERROR(INDEX('Orders Ledger'!$A$2:$A$1501, SMALL(IF(('Orders Ledger'!$J$2:$J$1501="disputed")+('Orders Ledger'!$J$2:$J$1501="PENDING_REVIEW"), ROW('Orders Ledger'!$A$2:$A$1501)-ROW('Orders Ledger'!$A$2)+1), ROW(1299:1299))), "")</f>
        <v/>
      </c>
      <c r="C1357" s="11" t="str">
        <f>IF(B1357="","",_xlfn.XLOOKUP(B1357,'Orders Ledger'!$A:$A,'Orders Ledger'!$B:$B,""))</f>
        <v/>
      </c>
      <c r="D1357" t="str">
        <f>IF(B1357="","",_xlfn.XLOOKUP(B1357,'Orders Ledger'!$A:$A,'Orders Ledger'!$G:$G,""))</f>
        <v/>
      </c>
      <c r="E1357" t="str">
        <f>IF(B1357="","",_xlfn.XLOOKUP(B1357,'Orders Ledger'!$A:$A,'Orders Ledger'!$H:$H,""))</f>
        <v/>
      </c>
      <c r="F1357" t="str">
        <f>IF(B1357="","",_xlfn.XLOOKUP(B1357,'Orders Ledger'!$A:$A,'Orders Ledger'!$F:$F,""))</f>
        <v/>
      </c>
      <c r="G1357" t="str">
        <f>IF(B1357="","",_xlfn.XLOOKUP(B1357,'Orders Ledger'!$A:$A,'Orders Ledger'!$N:$N,0))</f>
        <v/>
      </c>
    </row>
    <row r="1358" spans="2:7" x14ac:dyDescent="0.3">
      <c r="B1358" t="str">
        <f t="array" ref="B1358">IFERROR(INDEX('Orders Ledger'!$A$2:$A$1501, SMALL(IF(('Orders Ledger'!$J$2:$J$1501="disputed")+('Orders Ledger'!$J$2:$J$1501="PENDING_REVIEW"), ROW('Orders Ledger'!$A$2:$A$1501)-ROW('Orders Ledger'!$A$2)+1), ROW(1300:1300))), "")</f>
        <v/>
      </c>
      <c r="C1358" s="11" t="str">
        <f>IF(B1358="","",_xlfn.XLOOKUP(B1358,'Orders Ledger'!$A:$A,'Orders Ledger'!$B:$B,""))</f>
        <v/>
      </c>
      <c r="D1358" t="str">
        <f>IF(B1358="","",_xlfn.XLOOKUP(B1358,'Orders Ledger'!$A:$A,'Orders Ledger'!$G:$G,""))</f>
        <v/>
      </c>
      <c r="E1358" t="str">
        <f>IF(B1358="","",_xlfn.XLOOKUP(B1358,'Orders Ledger'!$A:$A,'Orders Ledger'!$H:$H,""))</f>
        <v/>
      </c>
      <c r="F1358" t="str">
        <f>IF(B1358="","",_xlfn.XLOOKUP(B1358,'Orders Ledger'!$A:$A,'Orders Ledger'!$F:$F,""))</f>
        <v/>
      </c>
      <c r="G1358" t="str">
        <f>IF(B1358="","",_xlfn.XLOOKUP(B1358,'Orders Ledger'!$A:$A,'Orders Ledger'!$N:$N,0))</f>
        <v/>
      </c>
    </row>
    <row r="1359" spans="2:7" x14ac:dyDescent="0.3">
      <c r="B1359" t="str">
        <f t="array" ref="B1359">IFERROR(INDEX('Orders Ledger'!$A$2:$A$1501, SMALL(IF(('Orders Ledger'!$J$2:$J$1501="disputed")+('Orders Ledger'!$J$2:$J$1501="PENDING_REVIEW"), ROW('Orders Ledger'!$A$2:$A$1501)-ROW('Orders Ledger'!$A$2)+1), ROW(1301:1301))), "")</f>
        <v/>
      </c>
      <c r="C1359" s="11" t="str">
        <f>IF(B1359="","",_xlfn.XLOOKUP(B1359,'Orders Ledger'!$A:$A,'Orders Ledger'!$B:$B,""))</f>
        <v/>
      </c>
      <c r="D1359" t="str">
        <f>IF(B1359="","",_xlfn.XLOOKUP(B1359,'Orders Ledger'!$A:$A,'Orders Ledger'!$G:$G,""))</f>
        <v/>
      </c>
      <c r="E1359" t="str">
        <f>IF(B1359="","",_xlfn.XLOOKUP(B1359,'Orders Ledger'!$A:$A,'Orders Ledger'!$H:$H,""))</f>
        <v/>
      </c>
      <c r="F1359" t="str">
        <f>IF(B1359="","",_xlfn.XLOOKUP(B1359,'Orders Ledger'!$A:$A,'Orders Ledger'!$F:$F,""))</f>
        <v/>
      </c>
      <c r="G1359" t="str">
        <f>IF(B1359="","",_xlfn.XLOOKUP(B1359,'Orders Ledger'!$A:$A,'Orders Ledger'!$N:$N,0))</f>
        <v/>
      </c>
    </row>
    <row r="1360" spans="2:7" x14ac:dyDescent="0.3">
      <c r="B1360" t="str">
        <f t="array" ref="B1360">IFERROR(INDEX('Orders Ledger'!$A$2:$A$1501, SMALL(IF(('Orders Ledger'!$J$2:$J$1501="disputed")+('Orders Ledger'!$J$2:$J$1501="PENDING_REVIEW"), ROW('Orders Ledger'!$A$2:$A$1501)-ROW('Orders Ledger'!$A$2)+1), ROW(1302:1302))), "")</f>
        <v/>
      </c>
      <c r="C1360" s="11" t="str">
        <f>IF(B1360="","",_xlfn.XLOOKUP(B1360,'Orders Ledger'!$A:$A,'Orders Ledger'!$B:$B,""))</f>
        <v/>
      </c>
      <c r="D1360" t="str">
        <f>IF(B1360="","",_xlfn.XLOOKUP(B1360,'Orders Ledger'!$A:$A,'Orders Ledger'!$G:$G,""))</f>
        <v/>
      </c>
      <c r="E1360" t="str">
        <f>IF(B1360="","",_xlfn.XLOOKUP(B1360,'Orders Ledger'!$A:$A,'Orders Ledger'!$H:$H,""))</f>
        <v/>
      </c>
      <c r="F1360" t="str">
        <f>IF(B1360="","",_xlfn.XLOOKUP(B1360,'Orders Ledger'!$A:$A,'Orders Ledger'!$F:$F,""))</f>
        <v/>
      </c>
      <c r="G1360" t="str">
        <f>IF(B1360="","",_xlfn.XLOOKUP(B1360,'Orders Ledger'!$A:$A,'Orders Ledger'!$N:$N,0))</f>
        <v/>
      </c>
    </row>
    <row r="1361" spans="2:7" x14ac:dyDescent="0.3">
      <c r="B1361" t="str">
        <f t="array" ref="B1361">IFERROR(INDEX('Orders Ledger'!$A$2:$A$1501, SMALL(IF(('Orders Ledger'!$J$2:$J$1501="disputed")+('Orders Ledger'!$J$2:$J$1501="PENDING_REVIEW"), ROW('Orders Ledger'!$A$2:$A$1501)-ROW('Orders Ledger'!$A$2)+1), ROW(1303:1303))), "")</f>
        <v/>
      </c>
      <c r="C1361" s="11" t="str">
        <f>IF(B1361="","",_xlfn.XLOOKUP(B1361,'Orders Ledger'!$A:$A,'Orders Ledger'!$B:$B,""))</f>
        <v/>
      </c>
      <c r="D1361" t="str">
        <f>IF(B1361="","",_xlfn.XLOOKUP(B1361,'Orders Ledger'!$A:$A,'Orders Ledger'!$G:$G,""))</f>
        <v/>
      </c>
      <c r="E1361" t="str">
        <f>IF(B1361="","",_xlfn.XLOOKUP(B1361,'Orders Ledger'!$A:$A,'Orders Ledger'!$H:$H,""))</f>
        <v/>
      </c>
      <c r="F1361" t="str">
        <f>IF(B1361="","",_xlfn.XLOOKUP(B1361,'Orders Ledger'!$A:$A,'Orders Ledger'!$F:$F,""))</f>
        <v/>
      </c>
      <c r="G1361" t="str">
        <f>IF(B1361="","",_xlfn.XLOOKUP(B1361,'Orders Ledger'!$A:$A,'Orders Ledger'!$N:$N,0))</f>
        <v/>
      </c>
    </row>
    <row r="1362" spans="2:7" x14ac:dyDescent="0.3">
      <c r="B1362" t="str">
        <f t="array" ref="B1362">IFERROR(INDEX('Orders Ledger'!$A$2:$A$1501, SMALL(IF(('Orders Ledger'!$J$2:$J$1501="disputed")+('Orders Ledger'!$J$2:$J$1501="PENDING_REVIEW"), ROW('Orders Ledger'!$A$2:$A$1501)-ROW('Orders Ledger'!$A$2)+1), ROW(1304:1304))), "")</f>
        <v/>
      </c>
      <c r="C1362" s="11" t="str">
        <f>IF(B1362="","",_xlfn.XLOOKUP(B1362,'Orders Ledger'!$A:$A,'Orders Ledger'!$B:$B,""))</f>
        <v/>
      </c>
      <c r="D1362" t="str">
        <f>IF(B1362="","",_xlfn.XLOOKUP(B1362,'Orders Ledger'!$A:$A,'Orders Ledger'!$G:$G,""))</f>
        <v/>
      </c>
      <c r="E1362" t="str">
        <f>IF(B1362="","",_xlfn.XLOOKUP(B1362,'Orders Ledger'!$A:$A,'Orders Ledger'!$H:$H,""))</f>
        <v/>
      </c>
      <c r="F1362" t="str">
        <f>IF(B1362="","",_xlfn.XLOOKUP(B1362,'Orders Ledger'!$A:$A,'Orders Ledger'!$F:$F,""))</f>
        <v/>
      </c>
      <c r="G1362" t="str">
        <f>IF(B1362="","",_xlfn.XLOOKUP(B1362,'Orders Ledger'!$A:$A,'Orders Ledger'!$N:$N,0))</f>
        <v/>
      </c>
    </row>
    <row r="1363" spans="2:7" x14ac:dyDescent="0.3">
      <c r="B1363" t="str">
        <f t="array" ref="B1363">IFERROR(INDEX('Orders Ledger'!$A$2:$A$1501, SMALL(IF(('Orders Ledger'!$J$2:$J$1501="disputed")+('Orders Ledger'!$J$2:$J$1501="PENDING_REVIEW"), ROW('Orders Ledger'!$A$2:$A$1501)-ROW('Orders Ledger'!$A$2)+1), ROW(1305:1305))), "")</f>
        <v/>
      </c>
      <c r="C1363" s="11" t="str">
        <f>IF(B1363="","",_xlfn.XLOOKUP(B1363,'Orders Ledger'!$A:$A,'Orders Ledger'!$B:$B,""))</f>
        <v/>
      </c>
      <c r="D1363" t="str">
        <f>IF(B1363="","",_xlfn.XLOOKUP(B1363,'Orders Ledger'!$A:$A,'Orders Ledger'!$G:$G,""))</f>
        <v/>
      </c>
      <c r="E1363" t="str">
        <f>IF(B1363="","",_xlfn.XLOOKUP(B1363,'Orders Ledger'!$A:$A,'Orders Ledger'!$H:$H,""))</f>
        <v/>
      </c>
      <c r="F1363" t="str">
        <f>IF(B1363="","",_xlfn.XLOOKUP(B1363,'Orders Ledger'!$A:$A,'Orders Ledger'!$F:$F,""))</f>
        <v/>
      </c>
      <c r="G1363" t="str">
        <f>IF(B1363="","",_xlfn.XLOOKUP(B1363,'Orders Ledger'!$A:$A,'Orders Ledger'!$N:$N,0))</f>
        <v/>
      </c>
    </row>
    <row r="1364" spans="2:7" x14ac:dyDescent="0.3">
      <c r="B1364" t="str">
        <f t="array" ref="B1364">IFERROR(INDEX('Orders Ledger'!$A$2:$A$1501, SMALL(IF(('Orders Ledger'!$J$2:$J$1501="disputed")+('Orders Ledger'!$J$2:$J$1501="PENDING_REVIEW"), ROW('Orders Ledger'!$A$2:$A$1501)-ROW('Orders Ledger'!$A$2)+1), ROW(1306:1306))), "")</f>
        <v/>
      </c>
      <c r="C1364" s="11" t="str">
        <f>IF(B1364="","",_xlfn.XLOOKUP(B1364,'Orders Ledger'!$A:$A,'Orders Ledger'!$B:$B,""))</f>
        <v/>
      </c>
      <c r="D1364" t="str">
        <f>IF(B1364="","",_xlfn.XLOOKUP(B1364,'Orders Ledger'!$A:$A,'Orders Ledger'!$G:$G,""))</f>
        <v/>
      </c>
      <c r="E1364" t="str">
        <f>IF(B1364="","",_xlfn.XLOOKUP(B1364,'Orders Ledger'!$A:$A,'Orders Ledger'!$H:$H,""))</f>
        <v/>
      </c>
      <c r="F1364" t="str">
        <f>IF(B1364="","",_xlfn.XLOOKUP(B1364,'Orders Ledger'!$A:$A,'Orders Ledger'!$F:$F,""))</f>
        <v/>
      </c>
      <c r="G1364" t="str">
        <f>IF(B1364="","",_xlfn.XLOOKUP(B1364,'Orders Ledger'!$A:$A,'Orders Ledger'!$N:$N,0))</f>
        <v/>
      </c>
    </row>
    <row r="1365" spans="2:7" x14ac:dyDescent="0.3">
      <c r="B1365" t="str">
        <f t="array" ref="B1365">IFERROR(INDEX('Orders Ledger'!$A$2:$A$1501, SMALL(IF(('Orders Ledger'!$J$2:$J$1501="disputed")+('Orders Ledger'!$J$2:$J$1501="PENDING_REVIEW"), ROW('Orders Ledger'!$A$2:$A$1501)-ROW('Orders Ledger'!$A$2)+1), ROW(1307:1307))), "")</f>
        <v/>
      </c>
      <c r="C1365" s="11" t="str">
        <f>IF(B1365="","",_xlfn.XLOOKUP(B1365,'Orders Ledger'!$A:$A,'Orders Ledger'!$B:$B,""))</f>
        <v/>
      </c>
      <c r="D1365" t="str">
        <f>IF(B1365="","",_xlfn.XLOOKUP(B1365,'Orders Ledger'!$A:$A,'Orders Ledger'!$G:$G,""))</f>
        <v/>
      </c>
      <c r="E1365" t="str">
        <f>IF(B1365="","",_xlfn.XLOOKUP(B1365,'Orders Ledger'!$A:$A,'Orders Ledger'!$H:$H,""))</f>
        <v/>
      </c>
      <c r="F1365" t="str">
        <f>IF(B1365="","",_xlfn.XLOOKUP(B1365,'Orders Ledger'!$A:$A,'Orders Ledger'!$F:$F,""))</f>
        <v/>
      </c>
      <c r="G1365" t="str">
        <f>IF(B1365="","",_xlfn.XLOOKUP(B1365,'Orders Ledger'!$A:$A,'Orders Ledger'!$N:$N,0))</f>
        <v/>
      </c>
    </row>
    <row r="1366" spans="2:7" x14ac:dyDescent="0.3">
      <c r="B1366" t="str">
        <f t="array" ref="B1366">IFERROR(INDEX('Orders Ledger'!$A$2:$A$1501, SMALL(IF(('Orders Ledger'!$J$2:$J$1501="disputed")+('Orders Ledger'!$J$2:$J$1501="PENDING_REVIEW"), ROW('Orders Ledger'!$A$2:$A$1501)-ROW('Orders Ledger'!$A$2)+1), ROW(1308:1308))), "")</f>
        <v/>
      </c>
      <c r="C1366" s="11" t="str">
        <f>IF(B1366="","",_xlfn.XLOOKUP(B1366,'Orders Ledger'!$A:$A,'Orders Ledger'!$B:$B,""))</f>
        <v/>
      </c>
      <c r="D1366" t="str">
        <f>IF(B1366="","",_xlfn.XLOOKUP(B1366,'Orders Ledger'!$A:$A,'Orders Ledger'!$G:$G,""))</f>
        <v/>
      </c>
      <c r="E1366" t="str">
        <f>IF(B1366="","",_xlfn.XLOOKUP(B1366,'Orders Ledger'!$A:$A,'Orders Ledger'!$H:$H,""))</f>
        <v/>
      </c>
      <c r="F1366" t="str">
        <f>IF(B1366="","",_xlfn.XLOOKUP(B1366,'Orders Ledger'!$A:$A,'Orders Ledger'!$F:$F,""))</f>
        <v/>
      </c>
      <c r="G1366" t="str">
        <f>IF(B1366="","",_xlfn.XLOOKUP(B1366,'Orders Ledger'!$A:$A,'Orders Ledger'!$N:$N,0))</f>
        <v/>
      </c>
    </row>
    <row r="1367" spans="2:7" x14ac:dyDescent="0.3">
      <c r="B1367" t="str">
        <f t="array" ref="B1367">IFERROR(INDEX('Orders Ledger'!$A$2:$A$1501, SMALL(IF(('Orders Ledger'!$J$2:$J$1501="disputed")+('Orders Ledger'!$J$2:$J$1501="PENDING_REVIEW"), ROW('Orders Ledger'!$A$2:$A$1501)-ROW('Orders Ledger'!$A$2)+1), ROW(1309:1309))), "")</f>
        <v/>
      </c>
      <c r="C1367" s="11" t="str">
        <f>IF(B1367="","",_xlfn.XLOOKUP(B1367,'Orders Ledger'!$A:$A,'Orders Ledger'!$B:$B,""))</f>
        <v/>
      </c>
      <c r="D1367" t="str">
        <f>IF(B1367="","",_xlfn.XLOOKUP(B1367,'Orders Ledger'!$A:$A,'Orders Ledger'!$G:$G,""))</f>
        <v/>
      </c>
      <c r="E1367" t="str">
        <f>IF(B1367="","",_xlfn.XLOOKUP(B1367,'Orders Ledger'!$A:$A,'Orders Ledger'!$H:$H,""))</f>
        <v/>
      </c>
      <c r="F1367" t="str">
        <f>IF(B1367="","",_xlfn.XLOOKUP(B1367,'Orders Ledger'!$A:$A,'Orders Ledger'!$F:$F,""))</f>
        <v/>
      </c>
      <c r="G1367" t="str">
        <f>IF(B1367="","",_xlfn.XLOOKUP(B1367,'Orders Ledger'!$A:$A,'Orders Ledger'!$N:$N,0))</f>
        <v/>
      </c>
    </row>
    <row r="1368" spans="2:7" x14ac:dyDescent="0.3">
      <c r="B1368" t="str">
        <f t="array" ref="B1368">IFERROR(INDEX('Orders Ledger'!$A$2:$A$1501, SMALL(IF(('Orders Ledger'!$J$2:$J$1501="disputed")+('Orders Ledger'!$J$2:$J$1501="PENDING_REVIEW"), ROW('Orders Ledger'!$A$2:$A$1501)-ROW('Orders Ledger'!$A$2)+1), ROW(1310:1310))), "")</f>
        <v/>
      </c>
      <c r="C1368" s="11" t="str">
        <f>IF(B1368="","",_xlfn.XLOOKUP(B1368,'Orders Ledger'!$A:$A,'Orders Ledger'!$B:$B,""))</f>
        <v/>
      </c>
      <c r="D1368" t="str">
        <f>IF(B1368="","",_xlfn.XLOOKUP(B1368,'Orders Ledger'!$A:$A,'Orders Ledger'!$G:$G,""))</f>
        <v/>
      </c>
      <c r="E1368" t="str">
        <f>IF(B1368="","",_xlfn.XLOOKUP(B1368,'Orders Ledger'!$A:$A,'Orders Ledger'!$H:$H,""))</f>
        <v/>
      </c>
      <c r="F1368" t="str">
        <f>IF(B1368="","",_xlfn.XLOOKUP(B1368,'Orders Ledger'!$A:$A,'Orders Ledger'!$F:$F,""))</f>
        <v/>
      </c>
      <c r="G1368" t="str">
        <f>IF(B1368="","",_xlfn.XLOOKUP(B1368,'Orders Ledger'!$A:$A,'Orders Ledger'!$N:$N,0))</f>
        <v/>
      </c>
    </row>
    <row r="1369" spans="2:7" x14ac:dyDescent="0.3">
      <c r="B1369" t="str">
        <f t="array" ref="B1369">IFERROR(INDEX('Orders Ledger'!$A$2:$A$1501, SMALL(IF(('Orders Ledger'!$J$2:$J$1501="disputed")+('Orders Ledger'!$J$2:$J$1501="PENDING_REVIEW"), ROW('Orders Ledger'!$A$2:$A$1501)-ROW('Orders Ledger'!$A$2)+1), ROW(1311:1311))), "")</f>
        <v/>
      </c>
      <c r="C1369" s="11" t="str">
        <f>IF(B1369="","",_xlfn.XLOOKUP(B1369,'Orders Ledger'!$A:$A,'Orders Ledger'!$B:$B,""))</f>
        <v/>
      </c>
      <c r="D1369" t="str">
        <f>IF(B1369="","",_xlfn.XLOOKUP(B1369,'Orders Ledger'!$A:$A,'Orders Ledger'!$G:$G,""))</f>
        <v/>
      </c>
      <c r="E1369" t="str">
        <f>IF(B1369="","",_xlfn.XLOOKUP(B1369,'Orders Ledger'!$A:$A,'Orders Ledger'!$H:$H,""))</f>
        <v/>
      </c>
      <c r="F1369" t="str">
        <f>IF(B1369="","",_xlfn.XLOOKUP(B1369,'Orders Ledger'!$A:$A,'Orders Ledger'!$F:$F,""))</f>
        <v/>
      </c>
      <c r="G1369" t="str">
        <f>IF(B1369="","",_xlfn.XLOOKUP(B1369,'Orders Ledger'!$A:$A,'Orders Ledger'!$N:$N,0))</f>
        <v/>
      </c>
    </row>
    <row r="1370" spans="2:7" x14ac:dyDescent="0.3">
      <c r="B1370" t="str">
        <f t="array" ref="B1370">IFERROR(INDEX('Orders Ledger'!$A$2:$A$1501, SMALL(IF(('Orders Ledger'!$J$2:$J$1501="disputed")+('Orders Ledger'!$J$2:$J$1501="PENDING_REVIEW"), ROW('Orders Ledger'!$A$2:$A$1501)-ROW('Orders Ledger'!$A$2)+1), ROW(1312:1312))), "")</f>
        <v/>
      </c>
      <c r="C1370" s="11" t="str">
        <f>IF(B1370="","",_xlfn.XLOOKUP(B1370,'Orders Ledger'!$A:$A,'Orders Ledger'!$B:$B,""))</f>
        <v/>
      </c>
      <c r="D1370" t="str">
        <f>IF(B1370="","",_xlfn.XLOOKUP(B1370,'Orders Ledger'!$A:$A,'Orders Ledger'!$G:$G,""))</f>
        <v/>
      </c>
      <c r="E1370" t="str">
        <f>IF(B1370="","",_xlfn.XLOOKUP(B1370,'Orders Ledger'!$A:$A,'Orders Ledger'!$H:$H,""))</f>
        <v/>
      </c>
      <c r="F1370" t="str">
        <f>IF(B1370="","",_xlfn.XLOOKUP(B1370,'Orders Ledger'!$A:$A,'Orders Ledger'!$F:$F,""))</f>
        <v/>
      </c>
      <c r="G1370" t="str">
        <f>IF(B1370="","",_xlfn.XLOOKUP(B1370,'Orders Ledger'!$A:$A,'Orders Ledger'!$N:$N,0))</f>
        <v/>
      </c>
    </row>
    <row r="1371" spans="2:7" x14ac:dyDescent="0.3">
      <c r="B1371" t="str">
        <f t="array" ref="B1371">IFERROR(INDEX('Orders Ledger'!$A$2:$A$1501, SMALL(IF(('Orders Ledger'!$J$2:$J$1501="disputed")+('Orders Ledger'!$J$2:$J$1501="PENDING_REVIEW"), ROW('Orders Ledger'!$A$2:$A$1501)-ROW('Orders Ledger'!$A$2)+1), ROW(1313:1313))), "")</f>
        <v/>
      </c>
      <c r="C1371" s="11" t="str">
        <f>IF(B1371="","",_xlfn.XLOOKUP(B1371,'Orders Ledger'!$A:$A,'Orders Ledger'!$B:$B,""))</f>
        <v/>
      </c>
      <c r="D1371" t="str">
        <f>IF(B1371="","",_xlfn.XLOOKUP(B1371,'Orders Ledger'!$A:$A,'Orders Ledger'!$G:$G,""))</f>
        <v/>
      </c>
      <c r="E1371" t="str">
        <f>IF(B1371="","",_xlfn.XLOOKUP(B1371,'Orders Ledger'!$A:$A,'Orders Ledger'!$H:$H,""))</f>
        <v/>
      </c>
      <c r="F1371" t="str">
        <f>IF(B1371="","",_xlfn.XLOOKUP(B1371,'Orders Ledger'!$A:$A,'Orders Ledger'!$F:$F,""))</f>
        <v/>
      </c>
      <c r="G1371" t="str">
        <f>IF(B1371="","",_xlfn.XLOOKUP(B1371,'Orders Ledger'!$A:$A,'Orders Ledger'!$N:$N,0))</f>
        <v/>
      </c>
    </row>
    <row r="1372" spans="2:7" x14ac:dyDescent="0.3">
      <c r="B1372" t="str">
        <f t="array" ref="B1372">IFERROR(INDEX('Orders Ledger'!$A$2:$A$1501, SMALL(IF(('Orders Ledger'!$J$2:$J$1501="disputed")+('Orders Ledger'!$J$2:$J$1501="PENDING_REVIEW"), ROW('Orders Ledger'!$A$2:$A$1501)-ROW('Orders Ledger'!$A$2)+1), ROW(1314:1314))), "")</f>
        <v/>
      </c>
      <c r="C1372" s="11" t="str">
        <f>IF(B1372="","",_xlfn.XLOOKUP(B1372,'Orders Ledger'!$A:$A,'Orders Ledger'!$B:$B,""))</f>
        <v/>
      </c>
      <c r="D1372" t="str">
        <f>IF(B1372="","",_xlfn.XLOOKUP(B1372,'Orders Ledger'!$A:$A,'Orders Ledger'!$G:$G,""))</f>
        <v/>
      </c>
      <c r="E1372" t="str">
        <f>IF(B1372="","",_xlfn.XLOOKUP(B1372,'Orders Ledger'!$A:$A,'Orders Ledger'!$H:$H,""))</f>
        <v/>
      </c>
      <c r="F1372" t="str">
        <f>IF(B1372="","",_xlfn.XLOOKUP(B1372,'Orders Ledger'!$A:$A,'Orders Ledger'!$F:$F,""))</f>
        <v/>
      </c>
      <c r="G1372" t="str">
        <f>IF(B1372="","",_xlfn.XLOOKUP(B1372,'Orders Ledger'!$A:$A,'Orders Ledger'!$N:$N,0))</f>
        <v/>
      </c>
    </row>
    <row r="1373" spans="2:7" x14ac:dyDescent="0.3">
      <c r="B1373" t="str">
        <f t="array" ref="B1373">IFERROR(INDEX('Orders Ledger'!$A$2:$A$1501, SMALL(IF(('Orders Ledger'!$J$2:$J$1501="disputed")+('Orders Ledger'!$J$2:$J$1501="PENDING_REVIEW"), ROW('Orders Ledger'!$A$2:$A$1501)-ROW('Orders Ledger'!$A$2)+1), ROW(1315:1315))), "")</f>
        <v/>
      </c>
      <c r="C1373" s="11" t="str">
        <f>IF(B1373="","",_xlfn.XLOOKUP(B1373,'Orders Ledger'!$A:$A,'Orders Ledger'!$B:$B,""))</f>
        <v/>
      </c>
      <c r="D1373" t="str">
        <f>IF(B1373="","",_xlfn.XLOOKUP(B1373,'Orders Ledger'!$A:$A,'Orders Ledger'!$G:$G,""))</f>
        <v/>
      </c>
      <c r="E1373" t="str">
        <f>IF(B1373="","",_xlfn.XLOOKUP(B1373,'Orders Ledger'!$A:$A,'Orders Ledger'!$H:$H,""))</f>
        <v/>
      </c>
      <c r="F1373" t="str">
        <f>IF(B1373="","",_xlfn.XLOOKUP(B1373,'Orders Ledger'!$A:$A,'Orders Ledger'!$F:$F,""))</f>
        <v/>
      </c>
      <c r="G1373" t="str">
        <f>IF(B1373="","",_xlfn.XLOOKUP(B1373,'Orders Ledger'!$A:$A,'Orders Ledger'!$N:$N,0))</f>
        <v/>
      </c>
    </row>
    <row r="1374" spans="2:7" x14ac:dyDescent="0.3">
      <c r="B1374" t="str">
        <f t="array" ref="B1374">IFERROR(INDEX('Orders Ledger'!$A$2:$A$1501, SMALL(IF(('Orders Ledger'!$J$2:$J$1501="disputed")+('Orders Ledger'!$J$2:$J$1501="PENDING_REVIEW"), ROW('Orders Ledger'!$A$2:$A$1501)-ROW('Orders Ledger'!$A$2)+1), ROW(1316:1316))), "")</f>
        <v/>
      </c>
      <c r="C1374" s="11" t="str">
        <f>IF(B1374="","",_xlfn.XLOOKUP(B1374,'Orders Ledger'!$A:$A,'Orders Ledger'!$B:$B,""))</f>
        <v/>
      </c>
      <c r="D1374" t="str">
        <f>IF(B1374="","",_xlfn.XLOOKUP(B1374,'Orders Ledger'!$A:$A,'Orders Ledger'!$G:$G,""))</f>
        <v/>
      </c>
      <c r="E1374" t="str">
        <f>IF(B1374="","",_xlfn.XLOOKUP(B1374,'Orders Ledger'!$A:$A,'Orders Ledger'!$H:$H,""))</f>
        <v/>
      </c>
      <c r="F1374" t="str">
        <f>IF(B1374="","",_xlfn.XLOOKUP(B1374,'Orders Ledger'!$A:$A,'Orders Ledger'!$F:$F,""))</f>
        <v/>
      </c>
      <c r="G1374" t="str">
        <f>IF(B1374="","",_xlfn.XLOOKUP(B1374,'Orders Ledger'!$A:$A,'Orders Ledger'!$N:$N,0))</f>
        <v/>
      </c>
    </row>
    <row r="1375" spans="2:7" x14ac:dyDescent="0.3">
      <c r="B1375" t="str">
        <f t="array" ref="B1375">IFERROR(INDEX('Orders Ledger'!$A$2:$A$1501, SMALL(IF(('Orders Ledger'!$J$2:$J$1501="disputed")+('Orders Ledger'!$J$2:$J$1501="PENDING_REVIEW"), ROW('Orders Ledger'!$A$2:$A$1501)-ROW('Orders Ledger'!$A$2)+1), ROW(1317:1317))), "")</f>
        <v/>
      </c>
      <c r="C1375" s="11" t="str">
        <f>IF(B1375="","",_xlfn.XLOOKUP(B1375,'Orders Ledger'!$A:$A,'Orders Ledger'!$B:$B,""))</f>
        <v/>
      </c>
      <c r="D1375" t="str">
        <f>IF(B1375="","",_xlfn.XLOOKUP(B1375,'Orders Ledger'!$A:$A,'Orders Ledger'!$G:$G,""))</f>
        <v/>
      </c>
      <c r="E1375" t="str">
        <f>IF(B1375="","",_xlfn.XLOOKUP(B1375,'Orders Ledger'!$A:$A,'Orders Ledger'!$H:$H,""))</f>
        <v/>
      </c>
      <c r="F1375" t="str">
        <f>IF(B1375="","",_xlfn.XLOOKUP(B1375,'Orders Ledger'!$A:$A,'Orders Ledger'!$F:$F,""))</f>
        <v/>
      </c>
      <c r="G1375" t="str">
        <f>IF(B1375="","",_xlfn.XLOOKUP(B1375,'Orders Ledger'!$A:$A,'Orders Ledger'!$N:$N,0))</f>
        <v/>
      </c>
    </row>
    <row r="1376" spans="2:7" x14ac:dyDescent="0.3">
      <c r="B1376" t="str">
        <f t="array" ref="B1376">IFERROR(INDEX('Orders Ledger'!$A$2:$A$1501, SMALL(IF(('Orders Ledger'!$J$2:$J$1501="disputed")+('Orders Ledger'!$J$2:$J$1501="PENDING_REVIEW"), ROW('Orders Ledger'!$A$2:$A$1501)-ROW('Orders Ledger'!$A$2)+1), ROW(1318:1318))), "")</f>
        <v/>
      </c>
      <c r="C1376" s="11" t="str">
        <f>IF(B1376="","",_xlfn.XLOOKUP(B1376,'Orders Ledger'!$A:$A,'Orders Ledger'!$B:$B,""))</f>
        <v/>
      </c>
      <c r="D1376" t="str">
        <f>IF(B1376="","",_xlfn.XLOOKUP(B1376,'Orders Ledger'!$A:$A,'Orders Ledger'!$G:$G,""))</f>
        <v/>
      </c>
      <c r="E1376" t="str">
        <f>IF(B1376="","",_xlfn.XLOOKUP(B1376,'Orders Ledger'!$A:$A,'Orders Ledger'!$H:$H,""))</f>
        <v/>
      </c>
      <c r="F1376" t="str">
        <f>IF(B1376="","",_xlfn.XLOOKUP(B1376,'Orders Ledger'!$A:$A,'Orders Ledger'!$F:$F,""))</f>
        <v/>
      </c>
      <c r="G1376" t="str">
        <f>IF(B1376="","",_xlfn.XLOOKUP(B1376,'Orders Ledger'!$A:$A,'Orders Ledger'!$N:$N,0))</f>
        <v/>
      </c>
    </row>
    <row r="1377" spans="2:7" x14ac:dyDescent="0.3">
      <c r="B1377" t="str">
        <f t="array" ref="B1377">IFERROR(INDEX('Orders Ledger'!$A$2:$A$1501, SMALL(IF(('Orders Ledger'!$J$2:$J$1501="disputed")+('Orders Ledger'!$J$2:$J$1501="PENDING_REVIEW"), ROW('Orders Ledger'!$A$2:$A$1501)-ROW('Orders Ledger'!$A$2)+1), ROW(1319:1319))), "")</f>
        <v/>
      </c>
      <c r="C1377" s="11" t="str">
        <f>IF(B1377="","",_xlfn.XLOOKUP(B1377,'Orders Ledger'!$A:$A,'Orders Ledger'!$B:$B,""))</f>
        <v/>
      </c>
      <c r="D1377" t="str">
        <f>IF(B1377="","",_xlfn.XLOOKUP(B1377,'Orders Ledger'!$A:$A,'Orders Ledger'!$G:$G,""))</f>
        <v/>
      </c>
      <c r="E1377" t="str">
        <f>IF(B1377="","",_xlfn.XLOOKUP(B1377,'Orders Ledger'!$A:$A,'Orders Ledger'!$H:$H,""))</f>
        <v/>
      </c>
      <c r="F1377" t="str">
        <f>IF(B1377="","",_xlfn.XLOOKUP(B1377,'Orders Ledger'!$A:$A,'Orders Ledger'!$F:$F,""))</f>
        <v/>
      </c>
      <c r="G1377" t="str">
        <f>IF(B1377="","",_xlfn.XLOOKUP(B1377,'Orders Ledger'!$A:$A,'Orders Ledger'!$N:$N,0))</f>
        <v/>
      </c>
    </row>
    <row r="1378" spans="2:7" x14ac:dyDescent="0.3">
      <c r="B1378" t="str">
        <f t="array" ref="B1378">IFERROR(INDEX('Orders Ledger'!$A$2:$A$1501, SMALL(IF(('Orders Ledger'!$J$2:$J$1501="disputed")+('Orders Ledger'!$J$2:$J$1501="PENDING_REVIEW"), ROW('Orders Ledger'!$A$2:$A$1501)-ROW('Orders Ledger'!$A$2)+1), ROW(1320:1320))), "")</f>
        <v/>
      </c>
      <c r="C1378" s="11" t="str">
        <f>IF(B1378="","",_xlfn.XLOOKUP(B1378,'Orders Ledger'!$A:$A,'Orders Ledger'!$B:$B,""))</f>
        <v/>
      </c>
      <c r="D1378" t="str">
        <f>IF(B1378="","",_xlfn.XLOOKUP(B1378,'Orders Ledger'!$A:$A,'Orders Ledger'!$G:$G,""))</f>
        <v/>
      </c>
      <c r="E1378" t="str">
        <f>IF(B1378="","",_xlfn.XLOOKUP(B1378,'Orders Ledger'!$A:$A,'Orders Ledger'!$H:$H,""))</f>
        <v/>
      </c>
      <c r="F1378" t="str">
        <f>IF(B1378="","",_xlfn.XLOOKUP(B1378,'Orders Ledger'!$A:$A,'Orders Ledger'!$F:$F,""))</f>
        <v/>
      </c>
      <c r="G1378" t="str">
        <f>IF(B1378="","",_xlfn.XLOOKUP(B1378,'Orders Ledger'!$A:$A,'Orders Ledger'!$N:$N,0))</f>
        <v/>
      </c>
    </row>
    <row r="1379" spans="2:7" x14ac:dyDescent="0.3">
      <c r="B1379" t="str">
        <f t="array" ref="B1379">IFERROR(INDEX('Orders Ledger'!$A$2:$A$1501, SMALL(IF(('Orders Ledger'!$J$2:$J$1501="disputed")+('Orders Ledger'!$J$2:$J$1501="PENDING_REVIEW"), ROW('Orders Ledger'!$A$2:$A$1501)-ROW('Orders Ledger'!$A$2)+1), ROW(1321:1321))), "")</f>
        <v/>
      </c>
      <c r="C1379" s="11" t="str">
        <f>IF(B1379="","",_xlfn.XLOOKUP(B1379,'Orders Ledger'!$A:$A,'Orders Ledger'!$B:$B,""))</f>
        <v/>
      </c>
      <c r="D1379" t="str">
        <f>IF(B1379="","",_xlfn.XLOOKUP(B1379,'Orders Ledger'!$A:$A,'Orders Ledger'!$G:$G,""))</f>
        <v/>
      </c>
      <c r="E1379" t="str">
        <f>IF(B1379="","",_xlfn.XLOOKUP(B1379,'Orders Ledger'!$A:$A,'Orders Ledger'!$H:$H,""))</f>
        <v/>
      </c>
      <c r="F1379" t="str">
        <f>IF(B1379="","",_xlfn.XLOOKUP(B1379,'Orders Ledger'!$A:$A,'Orders Ledger'!$F:$F,""))</f>
        <v/>
      </c>
      <c r="G1379" t="str">
        <f>IF(B1379="","",_xlfn.XLOOKUP(B1379,'Orders Ledger'!$A:$A,'Orders Ledger'!$N:$N,0))</f>
        <v/>
      </c>
    </row>
    <row r="1380" spans="2:7" x14ac:dyDescent="0.3">
      <c r="B1380" t="str">
        <f t="array" ref="B1380">IFERROR(INDEX('Orders Ledger'!$A$2:$A$1501, SMALL(IF(('Orders Ledger'!$J$2:$J$1501="disputed")+('Orders Ledger'!$J$2:$J$1501="PENDING_REVIEW"), ROW('Orders Ledger'!$A$2:$A$1501)-ROW('Orders Ledger'!$A$2)+1), ROW(1322:1322))), "")</f>
        <v/>
      </c>
      <c r="C1380" s="11" t="str">
        <f>IF(B1380="","",_xlfn.XLOOKUP(B1380,'Orders Ledger'!$A:$A,'Orders Ledger'!$B:$B,""))</f>
        <v/>
      </c>
      <c r="D1380" t="str">
        <f>IF(B1380="","",_xlfn.XLOOKUP(B1380,'Orders Ledger'!$A:$A,'Orders Ledger'!$G:$G,""))</f>
        <v/>
      </c>
      <c r="E1380" t="str">
        <f>IF(B1380="","",_xlfn.XLOOKUP(B1380,'Orders Ledger'!$A:$A,'Orders Ledger'!$H:$H,""))</f>
        <v/>
      </c>
      <c r="F1380" t="str">
        <f>IF(B1380="","",_xlfn.XLOOKUP(B1380,'Orders Ledger'!$A:$A,'Orders Ledger'!$F:$F,""))</f>
        <v/>
      </c>
      <c r="G1380" t="str">
        <f>IF(B1380="","",_xlfn.XLOOKUP(B1380,'Orders Ledger'!$A:$A,'Orders Ledger'!$N:$N,0))</f>
        <v/>
      </c>
    </row>
    <row r="1381" spans="2:7" x14ac:dyDescent="0.3">
      <c r="B1381" t="str">
        <f t="array" ref="B1381">IFERROR(INDEX('Orders Ledger'!$A$2:$A$1501, SMALL(IF(('Orders Ledger'!$J$2:$J$1501="disputed")+('Orders Ledger'!$J$2:$J$1501="PENDING_REVIEW"), ROW('Orders Ledger'!$A$2:$A$1501)-ROW('Orders Ledger'!$A$2)+1), ROW(1323:1323))), "")</f>
        <v/>
      </c>
      <c r="C1381" s="11" t="str">
        <f>IF(B1381="","",_xlfn.XLOOKUP(B1381,'Orders Ledger'!$A:$A,'Orders Ledger'!$B:$B,""))</f>
        <v/>
      </c>
      <c r="D1381" t="str">
        <f>IF(B1381="","",_xlfn.XLOOKUP(B1381,'Orders Ledger'!$A:$A,'Orders Ledger'!$G:$G,""))</f>
        <v/>
      </c>
      <c r="E1381" t="str">
        <f>IF(B1381="","",_xlfn.XLOOKUP(B1381,'Orders Ledger'!$A:$A,'Orders Ledger'!$H:$H,""))</f>
        <v/>
      </c>
      <c r="F1381" t="str">
        <f>IF(B1381="","",_xlfn.XLOOKUP(B1381,'Orders Ledger'!$A:$A,'Orders Ledger'!$F:$F,""))</f>
        <v/>
      </c>
      <c r="G1381" t="str">
        <f>IF(B1381="","",_xlfn.XLOOKUP(B1381,'Orders Ledger'!$A:$A,'Orders Ledger'!$N:$N,0))</f>
        <v/>
      </c>
    </row>
    <row r="1382" spans="2:7" x14ac:dyDescent="0.3">
      <c r="B1382" t="str">
        <f t="array" ref="B1382">IFERROR(INDEX('Orders Ledger'!$A$2:$A$1501, SMALL(IF(('Orders Ledger'!$J$2:$J$1501="disputed")+('Orders Ledger'!$J$2:$J$1501="PENDING_REVIEW"), ROW('Orders Ledger'!$A$2:$A$1501)-ROW('Orders Ledger'!$A$2)+1), ROW(1324:1324))), "")</f>
        <v/>
      </c>
      <c r="C1382" s="11" t="str">
        <f>IF(B1382="","",_xlfn.XLOOKUP(B1382,'Orders Ledger'!$A:$A,'Orders Ledger'!$B:$B,""))</f>
        <v/>
      </c>
      <c r="D1382" t="str">
        <f>IF(B1382="","",_xlfn.XLOOKUP(B1382,'Orders Ledger'!$A:$A,'Orders Ledger'!$G:$G,""))</f>
        <v/>
      </c>
      <c r="E1382" t="str">
        <f>IF(B1382="","",_xlfn.XLOOKUP(B1382,'Orders Ledger'!$A:$A,'Orders Ledger'!$H:$H,""))</f>
        <v/>
      </c>
      <c r="F1382" t="str">
        <f>IF(B1382="","",_xlfn.XLOOKUP(B1382,'Orders Ledger'!$A:$A,'Orders Ledger'!$F:$F,""))</f>
        <v/>
      </c>
      <c r="G1382" t="str">
        <f>IF(B1382="","",_xlfn.XLOOKUP(B1382,'Orders Ledger'!$A:$A,'Orders Ledger'!$N:$N,0))</f>
        <v/>
      </c>
    </row>
    <row r="1383" spans="2:7" x14ac:dyDescent="0.3">
      <c r="B1383" t="str">
        <f t="array" ref="B1383">IFERROR(INDEX('Orders Ledger'!$A$2:$A$1501, SMALL(IF(('Orders Ledger'!$J$2:$J$1501="disputed")+('Orders Ledger'!$J$2:$J$1501="PENDING_REVIEW"), ROW('Orders Ledger'!$A$2:$A$1501)-ROW('Orders Ledger'!$A$2)+1), ROW(1325:1325))), "")</f>
        <v/>
      </c>
      <c r="C1383" s="11" t="str">
        <f>IF(B1383="","",_xlfn.XLOOKUP(B1383,'Orders Ledger'!$A:$A,'Orders Ledger'!$B:$B,""))</f>
        <v/>
      </c>
      <c r="D1383" t="str">
        <f>IF(B1383="","",_xlfn.XLOOKUP(B1383,'Orders Ledger'!$A:$A,'Orders Ledger'!$G:$G,""))</f>
        <v/>
      </c>
      <c r="E1383" t="str">
        <f>IF(B1383="","",_xlfn.XLOOKUP(B1383,'Orders Ledger'!$A:$A,'Orders Ledger'!$H:$H,""))</f>
        <v/>
      </c>
      <c r="F1383" t="str">
        <f>IF(B1383="","",_xlfn.XLOOKUP(B1383,'Orders Ledger'!$A:$A,'Orders Ledger'!$F:$F,""))</f>
        <v/>
      </c>
      <c r="G1383" t="str">
        <f>IF(B1383="","",_xlfn.XLOOKUP(B1383,'Orders Ledger'!$A:$A,'Orders Ledger'!$N:$N,0))</f>
        <v/>
      </c>
    </row>
    <row r="1384" spans="2:7" x14ac:dyDescent="0.3">
      <c r="B1384" t="str">
        <f t="array" ref="B1384">IFERROR(INDEX('Orders Ledger'!$A$2:$A$1501, SMALL(IF(('Orders Ledger'!$J$2:$J$1501="disputed")+('Orders Ledger'!$J$2:$J$1501="PENDING_REVIEW"), ROW('Orders Ledger'!$A$2:$A$1501)-ROW('Orders Ledger'!$A$2)+1), ROW(1326:1326))), "")</f>
        <v/>
      </c>
      <c r="C1384" s="11" t="str">
        <f>IF(B1384="","",_xlfn.XLOOKUP(B1384,'Orders Ledger'!$A:$A,'Orders Ledger'!$B:$B,""))</f>
        <v/>
      </c>
      <c r="D1384" t="str">
        <f>IF(B1384="","",_xlfn.XLOOKUP(B1384,'Orders Ledger'!$A:$A,'Orders Ledger'!$G:$G,""))</f>
        <v/>
      </c>
      <c r="E1384" t="str">
        <f>IF(B1384="","",_xlfn.XLOOKUP(B1384,'Orders Ledger'!$A:$A,'Orders Ledger'!$H:$H,""))</f>
        <v/>
      </c>
      <c r="F1384" t="str">
        <f>IF(B1384="","",_xlfn.XLOOKUP(B1384,'Orders Ledger'!$A:$A,'Orders Ledger'!$F:$F,""))</f>
        <v/>
      </c>
      <c r="G1384" t="str">
        <f>IF(B1384="","",_xlfn.XLOOKUP(B1384,'Orders Ledger'!$A:$A,'Orders Ledger'!$N:$N,0))</f>
        <v/>
      </c>
    </row>
    <row r="1385" spans="2:7" x14ac:dyDescent="0.3">
      <c r="B1385" t="str">
        <f t="array" ref="B1385">IFERROR(INDEX('Orders Ledger'!$A$2:$A$1501, SMALL(IF(('Orders Ledger'!$J$2:$J$1501="disputed")+('Orders Ledger'!$J$2:$J$1501="PENDING_REVIEW"), ROW('Orders Ledger'!$A$2:$A$1501)-ROW('Orders Ledger'!$A$2)+1), ROW(1327:1327))), "")</f>
        <v/>
      </c>
      <c r="C1385" s="11" t="str">
        <f>IF(B1385="","",_xlfn.XLOOKUP(B1385,'Orders Ledger'!$A:$A,'Orders Ledger'!$B:$B,""))</f>
        <v/>
      </c>
      <c r="D1385" t="str">
        <f>IF(B1385="","",_xlfn.XLOOKUP(B1385,'Orders Ledger'!$A:$A,'Orders Ledger'!$G:$G,""))</f>
        <v/>
      </c>
      <c r="E1385" t="str">
        <f>IF(B1385="","",_xlfn.XLOOKUP(B1385,'Orders Ledger'!$A:$A,'Orders Ledger'!$H:$H,""))</f>
        <v/>
      </c>
      <c r="F1385" t="str">
        <f>IF(B1385="","",_xlfn.XLOOKUP(B1385,'Orders Ledger'!$A:$A,'Orders Ledger'!$F:$F,""))</f>
        <v/>
      </c>
      <c r="G1385" t="str">
        <f>IF(B1385="","",_xlfn.XLOOKUP(B1385,'Orders Ledger'!$A:$A,'Orders Ledger'!$N:$N,0))</f>
        <v/>
      </c>
    </row>
    <row r="1386" spans="2:7" x14ac:dyDescent="0.3">
      <c r="B1386" t="str">
        <f t="array" ref="B1386">IFERROR(INDEX('Orders Ledger'!$A$2:$A$1501, SMALL(IF(('Orders Ledger'!$J$2:$J$1501="disputed")+('Orders Ledger'!$J$2:$J$1501="PENDING_REVIEW"), ROW('Orders Ledger'!$A$2:$A$1501)-ROW('Orders Ledger'!$A$2)+1), ROW(1328:1328))), "")</f>
        <v/>
      </c>
      <c r="C1386" s="11" t="str">
        <f>IF(B1386="","",_xlfn.XLOOKUP(B1386,'Orders Ledger'!$A:$A,'Orders Ledger'!$B:$B,""))</f>
        <v/>
      </c>
      <c r="D1386" t="str">
        <f>IF(B1386="","",_xlfn.XLOOKUP(B1386,'Orders Ledger'!$A:$A,'Orders Ledger'!$G:$G,""))</f>
        <v/>
      </c>
      <c r="E1386" t="str">
        <f>IF(B1386="","",_xlfn.XLOOKUP(B1386,'Orders Ledger'!$A:$A,'Orders Ledger'!$H:$H,""))</f>
        <v/>
      </c>
      <c r="F1386" t="str">
        <f>IF(B1386="","",_xlfn.XLOOKUP(B1386,'Orders Ledger'!$A:$A,'Orders Ledger'!$F:$F,""))</f>
        <v/>
      </c>
      <c r="G1386" t="str">
        <f>IF(B1386="","",_xlfn.XLOOKUP(B1386,'Orders Ledger'!$A:$A,'Orders Ledger'!$N:$N,0))</f>
        <v/>
      </c>
    </row>
    <row r="1387" spans="2:7" x14ac:dyDescent="0.3">
      <c r="B1387" t="str">
        <f t="array" ref="B1387">IFERROR(INDEX('Orders Ledger'!$A$2:$A$1501, SMALL(IF(('Orders Ledger'!$J$2:$J$1501="disputed")+('Orders Ledger'!$J$2:$J$1501="PENDING_REVIEW"), ROW('Orders Ledger'!$A$2:$A$1501)-ROW('Orders Ledger'!$A$2)+1), ROW(1329:1329))), "")</f>
        <v/>
      </c>
      <c r="C1387" s="11" t="str">
        <f>IF(B1387="","",_xlfn.XLOOKUP(B1387,'Orders Ledger'!$A:$A,'Orders Ledger'!$B:$B,""))</f>
        <v/>
      </c>
      <c r="D1387" t="str">
        <f>IF(B1387="","",_xlfn.XLOOKUP(B1387,'Orders Ledger'!$A:$A,'Orders Ledger'!$G:$G,""))</f>
        <v/>
      </c>
      <c r="E1387" t="str">
        <f>IF(B1387="","",_xlfn.XLOOKUP(B1387,'Orders Ledger'!$A:$A,'Orders Ledger'!$H:$H,""))</f>
        <v/>
      </c>
      <c r="F1387" t="str">
        <f>IF(B1387="","",_xlfn.XLOOKUP(B1387,'Orders Ledger'!$A:$A,'Orders Ledger'!$F:$F,""))</f>
        <v/>
      </c>
      <c r="G1387" t="str">
        <f>IF(B1387="","",_xlfn.XLOOKUP(B1387,'Orders Ledger'!$A:$A,'Orders Ledger'!$N:$N,0))</f>
        <v/>
      </c>
    </row>
    <row r="1388" spans="2:7" x14ac:dyDescent="0.3">
      <c r="B1388" t="str">
        <f t="array" ref="B1388">IFERROR(INDEX('Orders Ledger'!$A$2:$A$1501, SMALL(IF(('Orders Ledger'!$J$2:$J$1501="disputed")+('Orders Ledger'!$J$2:$J$1501="PENDING_REVIEW"), ROW('Orders Ledger'!$A$2:$A$1501)-ROW('Orders Ledger'!$A$2)+1), ROW(1330:1330))), "")</f>
        <v/>
      </c>
      <c r="C1388" s="11" t="str">
        <f>IF(B1388="","",_xlfn.XLOOKUP(B1388,'Orders Ledger'!$A:$A,'Orders Ledger'!$B:$B,""))</f>
        <v/>
      </c>
      <c r="D1388" t="str">
        <f>IF(B1388="","",_xlfn.XLOOKUP(B1388,'Orders Ledger'!$A:$A,'Orders Ledger'!$G:$G,""))</f>
        <v/>
      </c>
      <c r="E1388" t="str">
        <f>IF(B1388="","",_xlfn.XLOOKUP(B1388,'Orders Ledger'!$A:$A,'Orders Ledger'!$H:$H,""))</f>
        <v/>
      </c>
      <c r="F1388" t="str">
        <f>IF(B1388="","",_xlfn.XLOOKUP(B1388,'Orders Ledger'!$A:$A,'Orders Ledger'!$F:$F,""))</f>
        <v/>
      </c>
      <c r="G1388" t="str">
        <f>IF(B1388="","",_xlfn.XLOOKUP(B1388,'Orders Ledger'!$A:$A,'Orders Ledger'!$N:$N,0))</f>
        <v/>
      </c>
    </row>
    <row r="1389" spans="2:7" x14ac:dyDescent="0.3">
      <c r="B1389" t="str">
        <f t="array" ref="B1389">IFERROR(INDEX('Orders Ledger'!$A$2:$A$1501, SMALL(IF(('Orders Ledger'!$J$2:$J$1501="disputed")+('Orders Ledger'!$J$2:$J$1501="PENDING_REVIEW"), ROW('Orders Ledger'!$A$2:$A$1501)-ROW('Orders Ledger'!$A$2)+1), ROW(1331:1331))), "")</f>
        <v/>
      </c>
      <c r="C1389" s="11" t="str">
        <f>IF(B1389="","",_xlfn.XLOOKUP(B1389,'Orders Ledger'!$A:$A,'Orders Ledger'!$B:$B,""))</f>
        <v/>
      </c>
      <c r="D1389" t="str">
        <f>IF(B1389="","",_xlfn.XLOOKUP(B1389,'Orders Ledger'!$A:$A,'Orders Ledger'!$G:$G,""))</f>
        <v/>
      </c>
      <c r="E1389" t="str">
        <f>IF(B1389="","",_xlfn.XLOOKUP(B1389,'Orders Ledger'!$A:$A,'Orders Ledger'!$H:$H,""))</f>
        <v/>
      </c>
      <c r="F1389" t="str">
        <f>IF(B1389="","",_xlfn.XLOOKUP(B1389,'Orders Ledger'!$A:$A,'Orders Ledger'!$F:$F,""))</f>
        <v/>
      </c>
      <c r="G1389" t="str">
        <f>IF(B1389="","",_xlfn.XLOOKUP(B1389,'Orders Ledger'!$A:$A,'Orders Ledger'!$N:$N,0))</f>
        <v/>
      </c>
    </row>
    <row r="1390" spans="2:7" x14ac:dyDescent="0.3">
      <c r="B1390" t="str">
        <f t="array" ref="B1390">IFERROR(INDEX('Orders Ledger'!$A$2:$A$1501, SMALL(IF(('Orders Ledger'!$J$2:$J$1501="disputed")+('Orders Ledger'!$J$2:$J$1501="PENDING_REVIEW"), ROW('Orders Ledger'!$A$2:$A$1501)-ROW('Orders Ledger'!$A$2)+1), ROW(1332:1332))), "")</f>
        <v/>
      </c>
      <c r="C1390" s="11" t="str">
        <f>IF(B1390="","",_xlfn.XLOOKUP(B1390,'Orders Ledger'!$A:$A,'Orders Ledger'!$B:$B,""))</f>
        <v/>
      </c>
      <c r="D1390" t="str">
        <f>IF(B1390="","",_xlfn.XLOOKUP(B1390,'Orders Ledger'!$A:$A,'Orders Ledger'!$G:$G,""))</f>
        <v/>
      </c>
      <c r="E1390" t="str">
        <f>IF(B1390="","",_xlfn.XLOOKUP(B1390,'Orders Ledger'!$A:$A,'Orders Ledger'!$H:$H,""))</f>
        <v/>
      </c>
      <c r="F1390" t="str">
        <f>IF(B1390="","",_xlfn.XLOOKUP(B1390,'Orders Ledger'!$A:$A,'Orders Ledger'!$F:$F,""))</f>
        <v/>
      </c>
      <c r="G1390" t="str">
        <f>IF(B1390="","",_xlfn.XLOOKUP(B1390,'Orders Ledger'!$A:$A,'Orders Ledger'!$N:$N,0))</f>
        <v/>
      </c>
    </row>
    <row r="1391" spans="2:7" x14ac:dyDescent="0.3">
      <c r="B1391" t="str">
        <f t="array" ref="B1391">IFERROR(INDEX('Orders Ledger'!$A$2:$A$1501, SMALL(IF(('Orders Ledger'!$J$2:$J$1501="disputed")+('Orders Ledger'!$J$2:$J$1501="PENDING_REVIEW"), ROW('Orders Ledger'!$A$2:$A$1501)-ROW('Orders Ledger'!$A$2)+1), ROW(1333:1333))), "")</f>
        <v/>
      </c>
      <c r="C1391" s="11" t="str">
        <f>IF(B1391="","",_xlfn.XLOOKUP(B1391,'Orders Ledger'!$A:$A,'Orders Ledger'!$B:$B,""))</f>
        <v/>
      </c>
      <c r="D1391" t="str">
        <f>IF(B1391="","",_xlfn.XLOOKUP(B1391,'Orders Ledger'!$A:$A,'Orders Ledger'!$G:$G,""))</f>
        <v/>
      </c>
      <c r="E1391" t="str">
        <f>IF(B1391="","",_xlfn.XLOOKUP(B1391,'Orders Ledger'!$A:$A,'Orders Ledger'!$H:$H,""))</f>
        <v/>
      </c>
      <c r="F1391" t="str">
        <f>IF(B1391="","",_xlfn.XLOOKUP(B1391,'Orders Ledger'!$A:$A,'Orders Ledger'!$F:$F,""))</f>
        <v/>
      </c>
      <c r="G1391" t="str">
        <f>IF(B1391="","",_xlfn.XLOOKUP(B1391,'Orders Ledger'!$A:$A,'Orders Ledger'!$N:$N,0))</f>
        <v/>
      </c>
    </row>
    <row r="1392" spans="2:7" x14ac:dyDescent="0.3">
      <c r="B1392" t="str">
        <f t="array" ref="B1392">IFERROR(INDEX('Orders Ledger'!$A$2:$A$1501, SMALL(IF(('Orders Ledger'!$J$2:$J$1501="disputed")+('Orders Ledger'!$J$2:$J$1501="PENDING_REVIEW"), ROW('Orders Ledger'!$A$2:$A$1501)-ROW('Orders Ledger'!$A$2)+1), ROW(1334:1334))), "")</f>
        <v/>
      </c>
      <c r="C1392" s="11" t="str">
        <f>IF(B1392="","",_xlfn.XLOOKUP(B1392,'Orders Ledger'!$A:$A,'Orders Ledger'!$B:$B,""))</f>
        <v/>
      </c>
      <c r="D1392" t="str">
        <f>IF(B1392="","",_xlfn.XLOOKUP(B1392,'Orders Ledger'!$A:$A,'Orders Ledger'!$G:$G,""))</f>
        <v/>
      </c>
      <c r="E1392" t="str">
        <f>IF(B1392="","",_xlfn.XLOOKUP(B1392,'Orders Ledger'!$A:$A,'Orders Ledger'!$H:$H,""))</f>
        <v/>
      </c>
      <c r="F1392" t="str">
        <f>IF(B1392="","",_xlfn.XLOOKUP(B1392,'Orders Ledger'!$A:$A,'Orders Ledger'!$F:$F,""))</f>
        <v/>
      </c>
      <c r="G1392" t="str">
        <f>IF(B1392="","",_xlfn.XLOOKUP(B1392,'Orders Ledger'!$A:$A,'Orders Ledger'!$N:$N,0))</f>
        <v/>
      </c>
    </row>
    <row r="1393" spans="2:7" x14ac:dyDescent="0.3">
      <c r="B1393" t="str">
        <f t="array" ref="B1393">IFERROR(INDEX('Orders Ledger'!$A$2:$A$1501, SMALL(IF(('Orders Ledger'!$J$2:$J$1501="disputed")+('Orders Ledger'!$J$2:$J$1501="PENDING_REVIEW"), ROW('Orders Ledger'!$A$2:$A$1501)-ROW('Orders Ledger'!$A$2)+1), ROW(1335:1335))), "")</f>
        <v/>
      </c>
      <c r="C1393" s="11" t="str">
        <f>IF(B1393="","",_xlfn.XLOOKUP(B1393,'Orders Ledger'!$A:$A,'Orders Ledger'!$B:$B,""))</f>
        <v/>
      </c>
      <c r="D1393" t="str">
        <f>IF(B1393="","",_xlfn.XLOOKUP(B1393,'Orders Ledger'!$A:$A,'Orders Ledger'!$G:$G,""))</f>
        <v/>
      </c>
      <c r="E1393" t="str">
        <f>IF(B1393="","",_xlfn.XLOOKUP(B1393,'Orders Ledger'!$A:$A,'Orders Ledger'!$H:$H,""))</f>
        <v/>
      </c>
      <c r="F1393" t="str">
        <f>IF(B1393="","",_xlfn.XLOOKUP(B1393,'Orders Ledger'!$A:$A,'Orders Ledger'!$F:$F,""))</f>
        <v/>
      </c>
      <c r="G1393" t="str">
        <f>IF(B1393="","",_xlfn.XLOOKUP(B1393,'Orders Ledger'!$A:$A,'Orders Ledger'!$N:$N,0))</f>
        <v/>
      </c>
    </row>
    <row r="1394" spans="2:7" x14ac:dyDescent="0.3">
      <c r="B1394" t="str">
        <f t="array" ref="B1394">IFERROR(INDEX('Orders Ledger'!$A$2:$A$1501, SMALL(IF(('Orders Ledger'!$J$2:$J$1501="disputed")+('Orders Ledger'!$J$2:$J$1501="PENDING_REVIEW"), ROW('Orders Ledger'!$A$2:$A$1501)-ROW('Orders Ledger'!$A$2)+1), ROW(1336:1336))), "")</f>
        <v/>
      </c>
      <c r="C1394" s="11" t="str">
        <f>IF(B1394="","",_xlfn.XLOOKUP(B1394,'Orders Ledger'!$A:$A,'Orders Ledger'!$B:$B,""))</f>
        <v/>
      </c>
      <c r="D1394" t="str">
        <f>IF(B1394="","",_xlfn.XLOOKUP(B1394,'Orders Ledger'!$A:$A,'Orders Ledger'!$G:$G,""))</f>
        <v/>
      </c>
      <c r="E1394" t="str">
        <f>IF(B1394="","",_xlfn.XLOOKUP(B1394,'Orders Ledger'!$A:$A,'Orders Ledger'!$H:$H,""))</f>
        <v/>
      </c>
      <c r="F1394" t="str">
        <f>IF(B1394="","",_xlfn.XLOOKUP(B1394,'Orders Ledger'!$A:$A,'Orders Ledger'!$F:$F,""))</f>
        <v/>
      </c>
      <c r="G1394" t="str">
        <f>IF(B1394="","",_xlfn.XLOOKUP(B1394,'Orders Ledger'!$A:$A,'Orders Ledger'!$N:$N,0))</f>
        <v/>
      </c>
    </row>
    <row r="1395" spans="2:7" x14ac:dyDescent="0.3">
      <c r="B1395" t="str">
        <f t="array" ref="B1395">IFERROR(INDEX('Orders Ledger'!$A$2:$A$1501, SMALL(IF(('Orders Ledger'!$J$2:$J$1501="disputed")+('Orders Ledger'!$J$2:$J$1501="PENDING_REVIEW"), ROW('Orders Ledger'!$A$2:$A$1501)-ROW('Orders Ledger'!$A$2)+1), ROW(1337:1337))), "")</f>
        <v/>
      </c>
      <c r="C1395" s="11" t="str">
        <f>IF(B1395="","",_xlfn.XLOOKUP(B1395,'Orders Ledger'!$A:$A,'Orders Ledger'!$B:$B,""))</f>
        <v/>
      </c>
      <c r="D1395" t="str">
        <f>IF(B1395="","",_xlfn.XLOOKUP(B1395,'Orders Ledger'!$A:$A,'Orders Ledger'!$G:$G,""))</f>
        <v/>
      </c>
      <c r="E1395" t="str">
        <f>IF(B1395="","",_xlfn.XLOOKUP(B1395,'Orders Ledger'!$A:$A,'Orders Ledger'!$H:$H,""))</f>
        <v/>
      </c>
      <c r="F1395" t="str">
        <f>IF(B1395="","",_xlfn.XLOOKUP(B1395,'Orders Ledger'!$A:$A,'Orders Ledger'!$F:$F,""))</f>
        <v/>
      </c>
      <c r="G1395" t="str">
        <f>IF(B1395="","",_xlfn.XLOOKUP(B1395,'Orders Ledger'!$A:$A,'Orders Ledger'!$N:$N,0))</f>
        <v/>
      </c>
    </row>
    <row r="1396" spans="2:7" x14ac:dyDescent="0.3">
      <c r="B1396" t="str">
        <f t="array" ref="B1396">IFERROR(INDEX('Orders Ledger'!$A$2:$A$1501, SMALL(IF(('Orders Ledger'!$J$2:$J$1501="disputed")+('Orders Ledger'!$J$2:$J$1501="PENDING_REVIEW"), ROW('Orders Ledger'!$A$2:$A$1501)-ROW('Orders Ledger'!$A$2)+1), ROW(1338:1338))), "")</f>
        <v/>
      </c>
      <c r="C1396" s="11" t="str">
        <f>IF(B1396="","",_xlfn.XLOOKUP(B1396,'Orders Ledger'!$A:$A,'Orders Ledger'!$B:$B,""))</f>
        <v/>
      </c>
      <c r="D1396" t="str">
        <f>IF(B1396="","",_xlfn.XLOOKUP(B1396,'Orders Ledger'!$A:$A,'Orders Ledger'!$G:$G,""))</f>
        <v/>
      </c>
      <c r="E1396" t="str">
        <f>IF(B1396="","",_xlfn.XLOOKUP(B1396,'Orders Ledger'!$A:$A,'Orders Ledger'!$H:$H,""))</f>
        <v/>
      </c>
      <c r="F1396" t="str">
        <f>IF(B1396="","",_xlfn.XLOOKUP(B1396,'Orders Ledger'!$A:$A,'Orders Ledger'!$F:$F,""))</f>
        <v/>
      </c>
      <c r="G1396" t="str">
        <f>IF(B1396="","",_xlfn.XLOOKUP(B1396,'Orders Ledger'!$A:$A,'Orders Ledger'!$N:$N,0))</f>
        <v/>
      </c>
    </row>
    <row r="1397" spans="2:7" x14ac:dyDescent="0.3">
      <c r="B1397" t="str">
        <f t="array" ref="B1397">IFERROR(INDEX('Orders Ledger'!$A$2:$A$1501, SMALL(IF(('Orders Ledger'!$J$2:$J$1501="disputed")+('Orders Ledger'!$J$2:$J$1501="PENDING_REVIEW"), ROW('Orders Ledger'!$A$2:$A$1501)-ROW('Orders Ledger'!$A$2)+1), ROW(1339:1339))), "")</f>
        <v/>
      </c>
      <c r="C1397" s="11" t="str">
        <f>IF(B1397="","",_xlfn.XLOOKUP(B1397,'Orders Ledger'!$A:$A,'Orders Ledger'!$B:$B,""))</f>
        <v/>
      </c>
      <c r="D1397" t="str">
        <f>IF(B1397="","",_xlfn.XLOOKUP(B1397,'Orders Ledger'!$A:$A,'Orders Ledger'!$G:$G,""))</f>
        <v/>
      </c>
      <c r="E1397" t="str">
        <f>IF(B1397="","",_xlfn.XLOOKUP(B1397,'Orders Ledger'!$A:$A,'Orders Ledger'!$H:$H,""))</f>
        <v/>
      </c>
      <c r="F1397" t="str">
        <f>IF(B1397="","",_xlfn.XLOOKUP(B1397,'Orders Ledger'!$A:$A,'Orders Ledger'!$F:$F,""))</f>
        <v/>
      </c>
      <c r="G1397" t="str">
        <f>IF(B1397="","",_xlfn.XLOOKUP(B1397,'Orders Ledger'!$A:$A,'Orders Ledger'!$N:$N,0))</f>
        <v/>
      </c>
    </row>
    <row r="1398" spans="2:7" x14ac:dyDescent="0.3">
      <c r="B1398" t="str">
        <f t="array" ref="B1398">IFERROR(INDEX('Orders Ledger'!$A$2:$A$1501, SMALL(IF(('Orders Ledger'!$J$2:$J$1501="disputed")+('Orders Ledger'!$J$2:$J$1501="PENDING_REVIEW"), ROW('Orders Ledger'!$A$2:$A$1501)-ROW('Orders Ledger'!$A$2)+1), ROW(1340:1340))), "")</f>
        <v/>
      </c>
      <c r="C1398" s="11" t="str">
        <f>IF(B1398="","",_xlfn.XLOOKUP(B1398,'Orders Ledger'!$A:$A,'Orders Ledger'!$B:$B,""))</f>
        <v/>
      </c>
      <c r="D1398" t="str">
        <f>IF(B1398="","",_xlfn.XLOOKUP(B1398,'Orders Ledger'!$A:$A,'Orders Ledger'!$G:$G,""))</f>
        <v/>
      </c>
      <c r="E1398" t="str">
        <f>IF(B1398="","",_xlfn.XLOOKUP(B1398,'Orders Ledger'!$A:$A,'Orders Ledger'!$H:$H,""))</f>
        <v/>
      </c>
      <c r="F1398" t="str">
        <f>IF(B1398="","",_xlfn.XLOOKUP(B1398,'Orders Ledger'!$A:$A,'Orders Ledger'!$F:$F,""))</f>
        <v/>
      </c>
      <c r="G1398" t="str">
        <f>IF(B1398="","",_xlfn.XLOOKUP(B1398,'Orders Ledger'!$A:$A,'Orders Ledger'!$N:$N,0))</f>
        <v/>
      </c>
    </row>
    <row r="1399" spans="2:7" x14ac:dyDescent="0.3">
      <c r="B1399" t="str">
        <f t="array" ref="B1399">IFERROR(INDEX('Orders Ledger'!$A$2:$A$1501, SMALL(IF(('Orders Ledger'!$J$2:$J$1501="disputed")+('Orders Ledger'!$J$2:$J$1501="PENDING_REVIEW"), ROW('Orders Ledger'!$A$2:$A$1501)-ROW('Orders Ledger'!$A$2)+1), ROW(1341:1341))), "")</f>
        <v/>
      </c>
      <c r="C1399" s="11" t="str">
        <f>IF(B1399="","",_xlfn.XLOOKUP(B1399,'Orders Ledger'!$A:$A,'Orders Ledger'!$B:$B,""))</f>
        <v/>
      </c>
      <c r="D1399" t="str">
        <f>IF(B1399="","",_xlfn.XLOOKUP(B1399,'Orders Ledger'!$A:$A,'Orders Ledger'!$G:$G,""))</f>
        <v/>
      </c>
      <c r="E1399" t="str">
        <f>IF(B1399="","",_xlfn.XLOOKUP(B1399,'Orders Ledger'!$A:$A,'Orders Ledger'!$H:$H,""))</f>
        <v/>
      </c>
      <c r="F1399" t="str">
        <f>IF(B1399="","",_xlfn.XLOOKUP(B1399,'Orders Ledger'!$A:$A,'Orders Ledger'!$F:$F,""))</f>
        <v/>
      </c>
      <c r="G1399" t="str">
        <f>IF(B1399="","",_xlfn.XLOOKUP(B1399,'Orders Ledger'!$A:$A,'Orders Ledger'!$N:$N,0))</f>
        <v/>
      </c>
    </row>
    <row r="1400" spans="2:7" x14ac:dyDescent="0.3">
      <c r="B1400" t="str">
        <f t="array" ref="B1400">IFERROR(INDEX('Orders Ledger'!$A$2:$A$1501, SMALL(IF(('Orders Ledger'!$J$2:$J$1501="disputed")+('Orders Ledger'!$J$2:$J$1501="PENDING_REVIEW"), ROW('Orders Ledger'!$A$2:$A$1501)-ROW('Orders Ledger'!$A$2)+1), ROW(1342:1342))), "")</f>
        <v/>
      </c>
      <c r="C1400" s="11" t="str">
        <f>IF(B1400="","",_xlfn.XLOOKUP(B1400,'Orders Ledger'!$A:$A,'Orders Ledger'!$B:$B,""))</f>
        <v/>
      </c>
      <c r="D1400" t="str">
        <f>IF(B1400="","",_xlfn.XLOOKUP(B1400,'Orders Ledger'!$A:$A,'Orders Ledger'!$G:$G,""))</f>
        <v/>
      </c>
      <c r="E1400" t="str">
        <f>IF(B1400="","",_xlfn.XLOOKUP(B1400,'Orders Ledger'!$A:$A,'Orders Ledger'!$H:$H,""))</f>
        <v/>
      </c>
      <c r="F1400" t="str">
        <f>IF(B1400="","",_xlfn.XLOOKUP(B1400,'Orders Ledger'!$A:$A,'Orders Ledger'!$F:$F,""))</f>
        <v/>
      </c>
      <c r="G1400" t="str">
        <f>IF(B1400="","",_xlfn.XLOOKUP(B1400,'Orders Ledger'!$A:$A,'Orders Ledger'!$N:$N,0))</f>
        <v/>
      </c>
    </row>
    <row r="1401" spans="2:7" x14ac:dyDescent="0.3">
      <c r="B1401" t="str">
        <f t="array" ref="B1401">IFERROR(INDEX('Orders Ledger'!$A$2:$A$1501, SMALL(IF(('Orders Ledger'!$J$2:$J$1501="disputed")+('Orders Ledger'!$J$2:$J$1501="PENDING_REVIEW"), ROW('Orders Ledger'!$A$2:$A$1501)-ROW('Orders Ledger'!$A$2)+1), ROW(1343:1343))), "")</f>
        <v/>
      </c>
      <c r="C1401" s="11" t="str">
        <f>IF(B1401="","",_xlfn.XLOOKUP(B1401,'Orders Ledger'!$A:$A,'Orders Ledger'!$B:$B,""))</f>
        <v/>
      </c>
      <c r="D1401" t="str">
        <f>IF(B1401="","",_xlfn.XLOOKUP(B1401,'Orders Ledger'!$A:$A,'Orders Ledger'!$G:$G,""))</f>
        <v/>
      </c>
      <c r="E1401" t="str">
        <f>IF(B1401="","",_xlfn.XLOOKUP(B1401,'Orders Ledger'!$A:$A,'Orders Ledger'!$H:$H,""))</f>
        <v/>
      </c>
      <c r="F1401" t="str">
        <f>IF(B1401="","",_xlfn.XLOOKUP(B1401,'Orders Ledger'!$A:$A,'Orders Ledger'!$F:$F,""))</f>
        <v/>
      </c>
      <c r="G1401" t="str">
        <f>IF(B1401="","",_xlfn.XLOOKUP(B1401,'Orders Ledger'!$A:$A,'Orders Ledger'!$N:$N,0))</f>
        <v/>
      </c>
    </row>
    <row r="1402" spans="2:7" x14ac:dyDescent="0.3">
      <c r="B1402" t="str">
        <f t="array" ref="B1402">IFERROR(INDEX('Orders Ledger'!$A$2:$A$1501, SMALL(IF(('Orders Ledger'!$J$2:$J$1501="disputed")+('Orders Ledger'!$J$2:$J$1501="PENDING_REVIEW"), ROW('Orders Ledger'!$A$2:$A$1501)-ROW('Orders Ledger'!$A$2)+1), ROW(1344:1344))), "")</f>
        <v/>
      </c>
      <c r="C1402" s="11" t="str">
        <f>IF(B1402="","",_xlfn.XLOOKUP(B1402,'Orders Ledger'!$A:$A,'Orders Ledger'!$B:$B,""))</f>
        <v/>
      </c>
      <c r="D1402" t="str">
        <f>IF(B1402="","",_xlfn.XLOOKUP(B1402,'Orders Ledger'!$A:$A,'Orders Ledger'!$G:$G,""))</f>
        <v/>
      </c>
      <c r="E1402" t="str">
        <f>IF(B1402="","",_xlfn.XLOOKUP(B1402,'Orders Ledger'!$A:$A,'Orders Ledger'!$H:$H,""))</f>
        <v/>
      </c>
      <c r="F1402" t="str">
        <f>IF(B1402="","",_xlfn.XLOOKUP(B1402,'Orders Ledger'!$A:$A,'Orders Ledger'!$F:$F,""))</f>
        <v/>
      </c>
      <c r="G1402" t="str">
        <f>IF(B1402="","",_xlfn.XLOOKUP(B1402,'Orders Ledger'!$A:$A,'Orders Ledger'!$N:$N,0))</f>
        <v/>
      </c>
    </row>
    <row r="1403" spans="2:7" x14ac:dyDescent="0.3">
      <c r="B1403" t="str">
        <f t="array" ref="B1403">IFERROR(INDEX('Orders Ledger'!$A$2:$A$1501, SMALL(IF(('Orders Ledger'!$J$2:$J$1501="disputed")+('Orders Ledger'!$J$2:$J$1501="PENDING_REVIEW"), ROW('Orders Ledger'!$A$2:$A$1501)-ROW('Orders Ledger'!$A$2)+1), ROW(1345:1345))), "")</f>
        <v/>
      </c>
      <c r="C1403" s="11" t="str">
        <f>IF(B1403="","",_xlfn.XLOOKUP(B1403,'Orders Ledger'!$A:$A,'Orders Ledger'!$B:$B,""))</f>
        <v/>
      </c>
      <c r="D1403" t="str">
        <f>IF(B1403="","",_xlfn.XLOOKUP(B1403,'Orders Ledger'!$A:$A,'Orders Ledger'!$G:$G,""))</f>
        <v/>
      </c>
      <c r="E1403" t="str">
        <f>IF(B1403="","",_xlfn.XLOOKUP(B1403,'Orders Ledger'!$A:$A,'Orders Ledger'!$H:$H,""))</f>
        <v/>
      </c>
      <c r="F1403" t="str">
        <f>IF(B1403="","",_xlfn.XLOOKUP(B1403,'Orders Ledger'!$A:$A,'Orders Ledger'!$F:$F,""))</f>
        <v/>
      </c>
      <c r="G1403" t="str">
        <f>IF(B1403="","",_xlfn.XLOOKUP(B1403,'Orders Ledger'!$A:$A,'Orders Ledger'!$N:$N,0))</f>
        <v/>
      </c>
    </row>
    <row r="1404" spans="2:7" x14ac:dyDescent="0.3">
      <c r="B1404" t="str">
        <f t="array" ref="B1404">IFERROR(INDEX('Orders Ledger'!$A$2:$A$1501, SMALL(IF(('Orders Ledger'!$J$2:$J$1501="disputed")+('Orders Ledger'!$J$2:$J$1501="PENDING_REVIEW"), ROW('Orders Ledger'!$A$2:$A$1501)-ROW('Orders Ledger'!$A$2)+1), ROW(1346:1346))), "")</f>
        <v/>
      </c>
      <c r="C1404" s="11" t="str">
        <f>IF(B1404="","",_xlfn.XLOOKUP(B1404,'Orders Ledger'!$A:$A,'Orders Ledger'!$B:$B,""))</f>
        <v/>
      </c>
      <c r="D1404" t="str">
        <f>IF(B1404="","",_xlfn.XLOOKUP(B1404,'Orders Ledger'!$A:$A,'Orders Ledger'!$G:$G,""))</f>
        <v/>
      </c>
      <c r="E1404" t="str">
        <f>IF(B1404="","",_xlfn.XLOOKUP(B1404,'Orders Ledger'!$A:$A,'Orders Ledger'!$H:$H,""))</f>
        <v/>
      </c>
      <c r="F1404" t="str">
        <f>IF(B1404="","",_xlfn.XLOOKUP(B1404,'Orders Ledger'!$A:$A,'Orders Ledger'!$F:$F,""))</f>
        <v/>
      </c>
      <c r="G1404" t="str">
        <f>IF(B1404="","",_xlfn.XLOOKUP(B1404,'Orders Ledger'!$A:$A,'Orders Ledger'!$N:$N,0))</f>
        <v/>
      </c>
    </row>
    <row r="1405" spans="2:7" x14ac:dyDescent="0.3">
      <c r="B1405" t="str">
        <f t="array" ref="B1405">IFERROR(INDEX('Orders Ledger'!$A$2:$A$1501, SMALL(IF(('Orders Ledger'!$J$2:$J$1501="disputed")+('Orders Ledger'!$J$2:$J$1501="PENDING_REVIEW"), ROW('Orders Ledger'!$A$2:$A$1501)-ROW('Orders Ledger'!$A$2)+1), ROW(1347:1347))), "")</f>
        <v/>
      </c>
      <c r="C1405" s="11" t="str">
        <f>IF(B1405="","",_xlfn.XLOOKUP(B1405,'Orders Ledger'!$A:$A,'Orders Ledger'!$B:$B,""))</f>
        <v/>
      </c>
      <c r="D1405" t="str">
        <f>IF(B1405="","",_xlfn.XLOOKUP(B1405,'Orders Ledger'!$A:$A,'Orders Ledger'!$G:$G,""))</f>
        <v/>
      </c>
      <c r="E1405" t="str">
        <f>IF(B1405="","",_xlfn.XLOOKUP(B1405,'Orders Ledger'!$A:$A,'Orders Ledger'!$H:$H,""))</f>
        <v/>
      </c>
      <c r="F1405" t="str">
        <f>IF(B1405="","",_xlfn.XLOOKUP(B1405,'Orders Ledger'!$A:$A,'Orders Ledger'!$F:$F,""))</f>
        <v/>
      </c>
      <c r="G1405" t="str">
        <f>IF(B1405="","",_xlfn.XLOOKUP(B1405,'Orders Ledger'!$A:$A,'Orders Ledger'!$N:$N,0))</f>
        <v/>
      </c>
    </row>
    <row r="1406" spans="2:7" x14ac:dyDescent="0.3">
      <c r="B1406" t="str">
        <f t="array" ref="B1406">IFERROR(INDEX('Orders Ledger'!$A$2:$A$1501, SMALL(IF(('Orders Ledger'!$J$2:$J$1501="disputed")+('Orders Ledger'!$J$2:$J$1501="PENDING_REVIEW"), ROW('Orders Ledger'!$A$2:$A$1501)-ROW('Orders Ledger'!$A$2)+1), ROW(1348:1348))), "")</f>
        <v/>
      </c>
      <c r="C1406" s="11" t="str">
        <f>IF(B1406="","",_xlfn.XLOOKUP(B1406,'Orders Ledger'!$A:$A,'Orders Ledger'!$B:$B,""))</f>
        <v/>
      </c>
      <c r="D1406" t="str">
        <f>IF(B1406="","",_xlfn.XLOOKUP(B1406,'Orders Ledger'!$A:$A,'Orders Ledger'!$G:$G,""))</f>
        <v/>
      </c>
      <c r="E1406" t="str">
        <f>IF(B1406="","",_xlfn.XLOOKUP(B1406,'Orders Ledger'!$A:$A,'Orders Ledger'!$H:$H,""))</f>
        <v/>
      </c>
      <c r="F1406" t="str">
        <f>IF(B1406="","",_xlfn.XLOOKUP(B1406,'Orders Ledger'!$A:$A,'Orders Ledger'!$F:$F,""))</f>
        <v/>
      </c>
      <c r="G1406" t="str">
        <f>IF(B1406="","",_xlfn.XLOOKUP(B1406,'Orders Ledger'!$A:$A,'Orders Ledger'!$N:$N,0))</f>
        <v/>
      </c>
    </row>
    <row r="1407" spans="2:7" x14ac:dyDescent="0.3">
      <c r="B1407" t="str">
        <f t="array" ref="B1407">IFERROR(INDEX('Orders Ledger'!$A$2:$A$1501, SMALL(IF(('Orders Ledger'!$J$2:$J$1501="disputed")+('Orders Ledger'!$J$2:$J$1501="PENDING_REVIEW"), ROW('Orders Ledger'!$A$2:$A$1501)-ROW('Orders Ledger'!$A$2)+1), ROW(1349:1349))), "")</f>
        <v/>
      </c>
      <c r="C1407" s="11" t="str">
        <f>IF(B1407="","",_xlfn.XLOOKUP(B1407,'Orders Ledger'!$A:$A,'Orders Ledger'!$B:$B,""))</f>
        <v/>
      </c>
      <c r="D1407" t="str">
        <f>IF(B1407="","",_xlfn.XLOOKUP(B1407,'Orders Ledger'!$A:$A,'Orders Ledger'!$G:$G,""))</f>
        <v/>
      </c>
      <c r="E1407" t="str">
        <f>IF(B1407="","",_xlfn.XLOOKUP(B1407,'Orders Ledger'!$A:$A,'Orders Ledger'!$H:$H,""))</f>
        <v/>
      </c>
      <c r="F1407" t="str">
        <f>IF(B1407="","",_xlfn.XLOOKUP(B1407,'Orders Ledger'!$A:$A,'Orders Ledger'!$F:$F,""))</f>
        <v/>
      </c>
      <c r="G1407" t="str">
        <f>IF(B1407="","",_xlfn.XLOOKUP(B1407,'Orders Ledger'!$A:$A,'Orders Ledger'!$N:$N,0))</f>
        <v/>
      </c>
    </row>
    <row r="1408" spans="2:7" x14ac:dyDescent="0.3">
      <c r="B1408" t="str">
        <f t="array" ref="B1408">IFERROR(INDEX('Orders Ledger'!$A$2:$A$1501, SMALL(IF(('Orders Ledger'!$J$2:$J$1501="disputed")+('Orders Ledger'!$J$2:$J$1501="PENDING_REVIEW"), ROW('Orders Ledger'!$A$2:$A$1501)-ROW('Orders Ledger'!$A$2)+1), ROW(1350:1350))), "")</f>
        <v/>
      </c>
      <c r="C1408" s="11" t="str">
        <f>IF(B1408="","",_xlfn.XLOOKUP(B1408,'Orders Ledger'!$A:$A,'Orders Ledger'!$B:$B,""))</f>
        <v/>
      </c>
      <c r="D1408" t="str">
        <f>IF(B1408="","",_xlfn.XLOOKUP(B1408,'Orders Ledger'!$A:$A,'Orders Ledger'!$G:$G,""))</f>
        <v/>
      </c>
      <c r="E1408" t="str">
        <f>IF(B1408="","",_xlfn.XLOOKUP(B1408,'Orders Ledger'!$A:$A,'Orders Ledger'!$H:$H,""))</f>
        <v/>
      </c>
      <c r="F1408" t="str">
        <f>IF(B1408="","",_xlfn.XLOOKUP(B1408,'Orders Ledger'!$A:$A,'Orders Ledger'!$F:$F,""))</f>
        <v/>
      </c>
      <c r="G1408" t="str">
        <f>IF(B1408="","",_xlfn.XLOOKUP(B1408,'Orders Ledger'!$A:$A,'Orders Ledger'!$N:$N,0))</f>
        <v/>
      </c>
    </row>
    <row r="1409" spans="2:7" x14ac:dyDescent="0.3">
      <c r="B1409" t="str">
        <f t="array" ref="B1409">IFERROR(INDEX('Orders Ledger'!$A$2:$A$1501, SMALL(IF(('Orders Ledger'!$J$2:$J$1501="disputed")+('Orders Ledger'!$J$2:$J$1501="PENDING_REVIEW"), ROW('Orders Ledger'!$A$2:$A$1501)-ROW('Orders Ledger'!$A$2)+1), ROW(1351:1351))), "")</f>
        <v/>
      </c>
      <c r="C1409" s="11" t="str">
        <f>IF(B1409="","",_xlfn.XLOOKUP(B1409,'Orders Ledger'!$A:$A,'Orders Ledger'!$B:$B,""))</f>
        <v/>
      </c>
      <c r="D1409" t="str">
        <f>IF(B1409="","",_xlfn.XLOOKUP(B1409,'Orders Ledger'!$A:$A,'Orders Ledger'!$G:$G,""))</f>
        <v/>
      </c>
      <c r="E1409" t="str">
        <f>IF(B1409="","",_xlfn.XLOOKUP(B1409,'Orders Ledger'!$A:$A,'Orders Ledger'!$H:$H,""))</f>
        <v/>
      </c>
      <c r="F1409" t="str">
        <f>IF(B1409="","",_xlfn.XLOOKUP(B1409,'Orders Ledger'!$A:$A,'Orders Ledger'!$F:$F,""))</f>
        <v/>
      </c>
      <c r="G1409" t="str">
        <f>IF(B1409="","",_xlfn.XLOOKUP(B1409,'Orders Ledger'!$A:$A,'Orders Ledger'!$N:$N,0))</f>
        <v/>
      </c>
    </row>
    <row r="1410" spans="2:7" x14ac:dyDescent="0.3">
      <c r="B1410" t="str">
        <f t="array" ref="B1410">IFERROR(INDEX('Orders Ledger'!$A$2:$A$1501, SMALL(IF(('Orders Ledger'!$J$2:$J$1501="disputed")+('Orders Ledger'!$J$2:$J$1501="PENDING_REVIEW"), ROW('Orders Ledger'!$A$2:$A$1501)-ROW('Orders Ledger'!$A$2)+1), ROW(1352:1352))), "")</f>
        <v/>
      </c>
      <c r="C1410" s="11" t="str">
        <f>IF(B1410="","",_xlfn.XLOOKUP(B1410,'Orders Ledger'!$A:$A,'Orders Ledger'!$B:$B,""))</f>
        <v/>
      </c>
      <c r="D1410" t="str">
        <f>IF(B1410="","",_xlfn.XLOOKUP(B1410,'Orders Ledger'!$A:$A,'Orders Ledger'!$G:$G,""))</f>
        <v/>
      </c>
      <c r="E1410" t="str">
        <f>IF(B1410="","",_xlfn.XLOOKUP(B1410,'Orders Ledger'!$A:$A,'Orders Ledger'!$H:$H,""))</f>
        <v/>
      </c>
      <c r="F1410" t="str">
        <f>IF(B1410="","",_xlfn.XLOOKUP(B1410,'Orders Ledger'!$A:$A,'Orders Ledger'!$F:$F,""))</f>
        <v/>
      </c>
      <c r="G1410" t="str">
        <f>IF(B1410="","",_xlfn.XLOOKUP(B1410,'Orders Ledger'!$A:$A,'Orders Ledger'!$N:$N,0))</f>
        <v/>
      </c>
    </row>
    <row r="1411" spans="2:7" x14ac:dyDescent="0.3">
      <c r="B1411" t="str">
        <f t="array" ref="B1411">IFERROR(INDEX('Orders Ledger'!$A$2:$A$1501, SMALL(IF(('Orders Ledger'!$J$2:$J$1501="disputed")+('Orders Ledger'!$J$2:$J$1501="PENDING_REVIEW"), ROW('Orders Ledger'!$A$2:$A$1501)-ROW('Orders Ledger'!$A$2)+1), ROW(1353:1353))), "")</f>
        <v/>
      </c>
      <c r="C1411" s="11" t="str">
        <f>IF(B1411="","",_xlfn.XLOOKUP(B1411,'Orders Ledger'!$A:$A,'Orders Ledger'!$B:$B,""))</f>
        <v/>
      </c>
      <c r="D1411" t="str">
        <f>IF(B1411="","",_xlfn.XLOOKUP(B1411,'Orders Ledger'!$A:$A,'Orders Ledger'!$G:$G,""))</f>
        <v/>
      </c>
      <c r="E1411" t="str">
        <f>IF(B1411="","",_xlfn.XLOOKUP(B1411,'Orders Ledger'!$A:$A,'Orders Ledger'!$H:$H,""))</f>
        <v/>
      </c>
      <c r="F1411" t="str">
        <f>IF(B1411="","",_xlfn.XLOOKUP(B1411,'Orders Ledger'!$A:$A,'Orders Ledger'!$F:$F,""))</f>
        <v/>
      </c>
      <c r="G1411" t="str">
        <f>IF(B1411="","",_xlfn.XLOOKUP(B1411,'Orders Ledger'!$A:$A,'Orders Ledger'!$N:$N,0))</f>
        <v/>
      </c>
    </row>
    <row r="1412" spans="2:7" x14ac:dyDescent="0.3">
      <c r="B1412" t="str">
        <f t="array" ref="B1412">IFERROR(INDEX('Orders Ledger'!$A$2:$A$1501, SMALL(IF(('Orders Ledger'!$J$2:$J$1501="disputed")+('Orders Ledger'!$J$2:$J$1501="PENDING_REVIEW"), ROW('Orders Ledger'!$A$2:$A$1501)-ROW('Orders Ledger'!$A$2)+1), ROW(1354:1354))), "")</f>
        <v/>
      </c>
      <c r="C1412" s="11" t="str">
        <f>IF(B1412="","",_xlfn.XLOOKUP(B1412,'Orders Ledger'!$A:$A,'Orders Ledger'!$B:$B,""))</f>
        <v/>
      </c>
      <c r="D1412" t="str">
        <f>IF(B1412="","",_xlfn.XLOOKUP(B1412,'Orders Ledger'!$A:$A,'Orders Ledger'!$G:$G,""))</f>
        <v/>
      </c>
      <c r="E1412" t="str">
        <f>IF(B1412="","",_xlfn.XLOOKUP(B1412,'Orders Ledger'!$A:$A,'Orders Ledger'!$H:$H,""))</f>
        <v/>
      </c>
      <c r="F1412" t="str">
        <f>IF(B1412="","",_xlfn.XLOOKUP(B1412,'Orders Ledger'!$A:$A,'Orders Ledger'!$F:$F,""))</f>
        <v/>
      </c>
      <c r="G1412" t="str">
        <f>IF(B1412="","",_xlfn.XLOOKUP(B1412,'Orders Ledger'!$A:$A,'Orders Ledger'!$N:$N,0))</f>
        <v/>
      </c>
    </row>
    <row r="1413" spans="2:7" x14ac:dyDescent="0.3">
      <c r="B1413" t="str">
        <f t="array" ref="B1413">IFERROR(INDEX('Orders Ledger'!$A$2:$A$1501, SMALL(IF(('Orders Ledger'!$J$2:$J$1501="disputed")+('Orders Ledger'!$J$2:$J$1501="PENDING_REVIEW"), ROW('Orders Ledger'!$A$2:$A$1501)-ROW('Orders Ledger'!$A$2)+1), ROW(1355:1355))), "")</f>
        <v/>
      </c>
      <c r="C1413" s="11" t="str">
        <f>IF(B1413="","",_xlfn.XLOOKUP(B1413,'Orders Ledger'!$A:$A,'Orders Ledger'!$B:$B,""))</f>
        <v/>
      </c>
      <c r="D1413" t="str">
        <f>IF(B1413="","",_xlfn.XLOOKUP(B1413,'Orders Ledger'!$A:$A,'Orders Ledger'!$G:$G,""))</f>
        <v/>
      </c>
      <c r="E1413" t="str">
        <f>IF(B1413="","",_xlfn.XLOOKUP(B1413,'Orders Ledger'!$A:$A,'Orders Ledger'!$H:$H,""))</f>
        <v/>
      </c>
      <c r="F1413" t="str">
        <f>IF(B1413="","",_xlfn.XLOOKUP(B1413,'Orders Ledger'!$A:$A,'Orders Ledger'!$F:$F,""))</f>
        <v/>
      </c>
      <c r="G1413" t="str">
        <f>IF(B1413="","",_xlfn.XLOOKUP(B1413,'Orders Ledger'!$A:$A,'Orders Ledger'!$N:$N,0))</f>
        <v/>
      </c>
    </row>
    <row r="1414" spans="2:7" x14ac:dyDescent="0.3">
      <c r="B1414" t="str">
        <f t="array" ref="B1414">IFERROR(INDEX('Orders Ledger'!$A$2:$A$1501, SMALL(IF(('Orders Ledger'!$J$2:$J$1501="disputed")+('Orders Ledger'!$J$2:$J$1501="PENDING_REVIEW"), ROW('Orders Ledger'!$A$2:$A$1501)-ROW('Orders Ledger'!$A$2)+1), ROW(1356:1356))), "")</f>
        <v/>
      </c>
      <c r="C1414" s="11" t="str">
        <f>IF(B1414="","",_xlfn.XLOOKUP(B1414,'Orders Ledger'!$A:$A,'Orders Ledger'!$B:$B,""))</f>
        <v/>
      </c>
      <c r="D1414" t="str">
        <f>IF(B1414="","",_xlfn.XLOOKUP(B1414,'Orders Ledger'!$A:$A,'Orders Ledger'!$G:$G,""))</f>
        <v/>
      </c>
      <c r="E1414" t="str">
        <f>IF(B1414="","",_xlfn.XLOOKUP(B1414,'Orders Ledger'!$A:$A,'Orders Ledger'!$H:$H,""))</f>
        <v/>
      </c>
      <c r="F1414" t="str">
        <f>IF(B1414="","",_xlfn.XLOOKUP(B1414,'Orders Ledger'!$A:$A,'Orders Ledger'!$F:$F,""))</f>
        <v/>
      </c>
      <c r="G1414" t="str">
        <f>IF(B1414="","",_xlfn.XLOOKUP(B1414,'Orders Ledger'!$A:$A,'Orders Ledger'!$N:$N,0))</f>
        <v/>
      </c>
    </row>
    <row r="1415" spans="2:7" x14ac:dyDescent="0.3">
      <c r="B1415" t="str">
        <f t="array" ref="B1415">IFERROR(INDEX('Orders Ledger'!$A$2:$A$1501, SMALL(IF(('Orders Ledger'!$J$2:$J$1501="disputed")+('Orders Ledger'!$J$2:$J$1501="PENDING_REVIEW"), ROW('Orders Ledger'!$A$2:$A$1501)-ROW('Orders Ledger'!$A$2)+1), ROW(1357:1357))), "")</f>
        <v/>
      </c>
      <c r="C1415" s="11" t="str">
        <f>IF(B1415="","",_xlfn.XLOOKUP(B1415,'Orders Ledger'!$A:$A,'Orders Ledger'!$B:$B,""))</f>
        <v/>
      </c>
      <c r="D1415" t="str">
        <f>IF(B1415="","",_xlfn.XLOOKUP(B1415,'Orders Ledger'!$A:$A,'Orders Ledger'!$G:$G,""))</f>
        <v/>
      </c>
      <c r="E1415" t="str">
        <f>IF(B1415="","",_xlfn.XLOOKUP(B1415,'Orders Ledger'!$A:$A,'Orders Ledger'!$H:$H,""))</f>
        <v/>
      </c>
      <c r="F1415" t="str">
        <f>IF(B1415="","",_xlfn.XLOOKUP(B1415,'Orders Ledger'!$A:$A,'Orders Ledger'!$F:$F,""))</f>
        <v/>
      </c>
      <c r="G1415" t="str">
        <f>IF(B1415="","",_xlfn.XLOOKUP(B1415,'Orders Ledger'!$A:$A,'Orders Ledger'!$N:$N,0))</f>
        <v/>
      </c>
    </row>
    <row r="1416" spans="2:7" x14ac:dyDescent="0.3">
      <c r="B1416" t="str">
        <f t="array" ref="B1416">IFERROR(INDEX('Orders Ledger'!$A$2:$A$1501, SMALL(IF(('Orders Ledger'!$J$2:$J$1501="disputed")+('Orders Ledger'!$J$2:$J$1501="PENDING_REVIEW"), ROW('Orders Ledger'!$A$2:$A$1501)-ROW('Orders Ledger'!$A$2)+1), ROW(1358:1358))), "")</f>
        <v/>
      </c>
      <c r="C1416" s="11" t="str">
        <f>IF(B1416="","",_xlfn.XLOOKUP(B1416,'Orders Ledger'!$A:$A,'Orders Ledger'!$B:$B,""))</f>
        <v/>
      </c>
      <c r="D1416" t="str">
        <f>IF(B1416="","",_xlfn.XLOOKUP(B1416,'Orders Ledger'!$A:$A,'Orders Ledger'!$G:$G,""))</f>
        <v/>
      </c>
      <c r="E1416" t="str">
        <f>IF(B1416="","",_xlfn.XLOOKUP(B1416,'Orders Ledger'!$A:$A,'Orders Ledger'!$H:$H,""))</f>
        <v/>
      </c>
      <c r="F1416" t="str">
        <f>IF(B1416="","",_xlfn.XLOOKUP(B1416,'Orders Ledger'!$A:$A,'Orders Ledger'!$F:$F,""))</f>
        <v/>
      </c>
      <c r="G1416" t="str">
        <f>IF(B1416="","",_xlfn.XLOOKUP(B1416,'Orders Ledger'!$A:$A,'Orders Ledger'!$N:$N,0))</f>
        <v/>
      </c>
    </row>
    <row r="1417" spans="2:7" x14ac:dyDescent="0.3">
      <c r="B1417" t="str">
        <f t="array" ref="B1417">IFERROR(INDEX('Orders Ledger'!$A$2:$A$1501, SMALL(IF(('Orders Ledger'!$J$2:$J$1501="disputed")+('Orders Ledger'!$J$2:$J$1501="PENDING_REVIEW"), ROW('Orders Ledger'!$A$2:$A$1501)-ROW('Orders Ledger'!$A$2)+1), ROW(1359:1359))), "")</f>
        <v/>
      </c>
      <c r="C1417" s="11" t="str">
        <f>IF(B1417="","",_xlfn.XLOOKUP(B1417,'Orders Ledger'!$A:$A,'Orders Ledger'!$B:$B,""))</f>
        <v/>
      </c>
      <c r="D1417" t="str">
        <f>IF(B1417="","",_xlfn.XLOOKUP(B1417,'Orders Ledger'!$A:$A,'Orders Ledger'!$G:$G,""))</f>
        <v/>
      </c>
      <c r="E1417" t="str">
        <f>IF(B1417="","",_xlfn.XLOOKUP(B1417,'Orders Ledger'!$A:$A,'Orders Ledger'!$H:$H,""))</f>
        <v/>
      </c>
      <c r="F1417" t="str">
        <f>IF(B1417="","",_xlfn.XLOOKUP(B1417,'Orders Ledger'!$A:$A,'Orders Ledger'!$F:$F,""))</f>
        <v/>
      </c>
      <c r="G1417" t="str">
        <f>IF(B1417="","",_xlfn.XLOOKUP(B1417,'Orders Ledger'!$A:$A,'Orders Ledger'!$N:$N,0))</f>
        <v/>
      </c>
    </row>
    <row r="1418" spans="2:7" x14ac:dyDescent="0.3">
      <c r="B1418" t="str">
        <f t="array" ref="B1418">IFERROR(INDEX('Orders Ledger'!$A$2:$A$1501, SMALL(IF(('Orders Ledger'!$J$2:$J$1501="disputed")+('Orders Ledger'!$J$2:$J$1501="PENDING_REVIEW"), ROW('Orders Ledger'!$A$2:$A$1501)-ROW('Orders Ledger'!$A$2)+1), ROW(1360:1360))), "")</f>
        <v/>
      </c>
      <c r="C1418" s="11" t="str">
        <f>IF(B1418="","",_xlfn.XLOOKUP(B1418,'Orders Ledger'!$A:$A,'Orders Ledger'!$B:$B,""))</f>
        <v/>
      </c>
      <c r="D1418" t="str">
        <f>IF(B1418="","",_xlfn.XLOOKUP(B1418,'Orders Ledger'!$A:$A,'Orders Ledger'!$G:$G,""))</f>
        <v/>
      </c>
      <c r="E1418" t="str">
        <f>IF(B1418="","",_xlfn.XLOOKUP(B1418,'Orders Ledger'!$A:$A,'Orders Ledger'!$H:$H,""))</f>
        <v/>
      </c>
      <c r="F1418" t="str">
        <f>IF(B1418="","",_xlfn.XLOOKUP(B1418,'Orders Ledger'!$A:$A,'Orders Ledger'!$F:$F,""))</f>
        <v/>
      </c>
      <c r="G1418" t="str">
        <f>IF(B1418="","",_xlfn.XLOOKUP(B1418,'Orders Ledger'!$A:$A,'Orders Ledger'!$N:$N,0))</f>
        <v/>
      </c>
    </row>
    <row r="1419" spans="2:7" x14ac:dyDescent="0.3">
      <c r="B1419" t="str">
        <f t="array" ref="B1419">IFERROR(INDEX('Orders Ledger'!$A$2:$A$1501, SMALL(IF(('Orders Ledger'!$J$2:$J$1501="disputed")+('Orders Ledger'!$J$2:$J$1501="PENDING_REVIEW"), ROW('Orders Ledger'!$A$2:$A$1501)-ROW('Orders Ledger'!$A$2)+1), ROW(1361:1361))), "")</f>
        <v/>
      </c>
      <c r="C1419" s="11" t="str">
        <f>IF(B1419="","",_xlfn.XLOOKUP(B1419,'Orders Ledger'!$A:$A,'Orders Ledger'!$B:$B,""))</f>
        <v/>
      </c>
      <c r="D1419" t="str">
        <f>IF(B1419="","",_xlfn.XLOOKUP(B1419,'Orders Ledger'!$A:$A,'Orders Ledger'!$G:$G,""))</f>
        <v/>
      </c>
      <c r="E1419" t="str">
        <f>IF(B1419="","",_xlfn.XLOOKUP(B1419,'Orders Ledger'!$A:$A,'Orders Ledger'!$H:$H,""))</f>
        <v/>
      </c>
      <c r="F1419" t="str">
        <f>IF(B1419="","",_xlfn.XLOOKUP(B1419,'Orders Ledger'!$A:$A,'Orders Ledger'!$F:$F,""))</f>
        <v/>
      </c>
      <c r="G1419" t="str">
        <f>IF(B1419="","",_xlfn.XLOOKUP(B1419,'Orders Ledger'!$A:$A,'Orders Ledger'!$N:$N,0))</f>
        <v/>
      </c>
    </row>
    <row r="1420" spans="2:7" x14ac:dyDescent="0.3">
      <c r="B1420" t="str">
        <f t="array" ref="B1420">IFERROR(INDEX('Orders Ledger'!$A$2:$A$1501, SMALL(IF(('Orders Ledger'!$J$2:$J$1501="disputed")+('Orders Ledger'!$J$2:$J$1501="PENDING_REVIEW"), ROW('Orders Ledger'!$A$2:$A$1501)-ROW('Orders Ledger'!$A$2)+1), ROW(1362:1362))), "")</f>
        <v/>
      </c>
      <c r="C1420" s="11" t="str">
        <f>IF(B1420="","",_xlfn.XLOOKUP(B1420,'Orders Ledger'!$A:$A,'Orders Ledger'!$B:$B,""))</f>
        <v/>
      </c>
      <c r="D1420" t="str">
        <f>IF(B1420="","",_xlfn.XLOOKUP(B1420,'Orders Ledger'!$A:$A,'Orders Ledger'!$G:$G,""))</f>
        <v/>
      </c>
      <c r="E1420" t="str">
        <f>IF(B1420="","",_xlfn.XLOOKUP(B1420,'Orders Ledger'!$A:$A,'Orders Ledger'!$H:$H,""))</f>
        <v/>
      </c>
      <c r="F1420" t="str">
        <f>IF(B1420="","",_xlfn.XLOOKUP(B1420,'Orders Ledger'!$A:$A,'Orders Ledger'!$F:$F,""))</f>
        <v/>
      </c>
      <c r="G1420" t="str">
        <f>IF(B1420="","",_xlfn.XLOOKUP(B1420,'Orders Ledger'!$A:$A,'Orders Ledger'!$N:$N,0))</f>
        <v/>
      </c>
    </row>
    <row r="1421" spans="2:7" x14ac:dyDescent="0.3">
      <c r="B1421" t="str">
        <f t="array" ref="B1421">IFERROR(INDEX('Orders Ledger'!$A$2:$A$1501, SMALL(IF(('Orders Ledger'!$J$2:$J$1501="disputed")+('Orders Ledger'!$J$2:$J$1501="PENDING_REVIEW"), ROW('Orders Ledger'!$A$2:$A$1501)-ROW('Orders Ledger'!$A$2)+1), ROW(1363:1363))), "")</f>
        <v/>
      </c>
      <c r="C1421" s="11" t="str">
        <f>IF(B1421="","",_xlfn.XLOOKUP(B1421,'Orders Ledger'!$A:$A,'Orders Ledger'!$B:$B,""))</f>
        <v/>
      </c>
      <c r="D1421" t="str">
        <f>IF(B1421="","",_xlfn.XLOOKUP(B1421,'Orders Ledger'!$A:$A,'Orders Ledger'!$G:$G,""))</f>
        <v/>
      </c>
      <c r="E1421" t="str">
        <f>IF(B1421="","",_xlfn.XLOOKUP(B1421,'Orders Ledger'!$A:$A,'Orders Ledger'!$H:$H,""))</f>
        <v/>
      </c>
      <c r="F1421" t="str">
        <f>IF(B1421="","",_xlfn.XLOOKUP(B1421,'Orders Ledger'!$A:$A,'Orders Ledger'!$F:$F,""))</f>
        <v/>
      </c>
      <c r="G1421" t="str">
        <f>IF(B1421="","",_xlfn.XLOOKUP(B1421,'Orders Ledger'!$A:$A,'Orders Ledger'!$N:$N,0))</f>
        <v/>
      </c>
    </row>
    <row r="1422" spans="2:7" x14ac:dyDescent="0.3">
      <c r="B1422" t="str">
        <f t="array" ref="B1422">IFERROR(INDEX('Orders Ledger'!$A$2:$A$1501, SMALL(IF(('Orders Ledger'!$J$2:$J$1501="disputed")+('Orders Ledger'!$J$2:$J$1501="PENDING_REVIEW"), ROW('Orders Ledger'!$A$2:$A$1501)-ROW('Orders Ledger'!$A$2)+1), ROW(1364:1364))), "")</f>
        <v/>
      </c>
      <c r="C1422" s="11" t="str">
        <f>IF(B1422="","",_xlfn.XLOOKUP(B1422,'Orders Ledger'!$A:$A,'Orders Ledger'!$B:$B,""))</f>
        <v/>
      </c>
      <c r="D1422" t="str">
        <f>IF(B1422="","",_xlfn.XLOOKUP(B1422,'Orders Ledger'!$A:$A,'Orders Ledger'!$G:$G,""))</f>
        <v/>
      </c>
      <c r="E1422" t="str">
        <f>IF(B1422="","",_xlfn.XLOOKUP(B1422,'Orders Ledger'!$A:$A,'Orders Ledger'!$H:$H,""))</f>
        <v/>
      </c>
      <c r="F1422" t="str">
        <f>IF(B1422="","",_xlfn.XLOOKUP(B1422,'Orders Ledger'!$A:$A,'Orders Ledger'!$F:$F,""))</f>
        <v/>
      </c>
      <c r="G1422" t="str">
        <f>IF(B1422="","",_xlfn.XLOOKUP(B1422,'Orders Ledger'!$A:$A,'Orders Ledger'!$N:$N,0))</f>
        <v/>
      </c>
    </row>
    <row r="1423" spans="2:7" x14ac:dyDescent="0.3">
      <c r="B1423" t="str">
        <f t="array" ref="B1423">IFERROR(INDEX('Orders Ledger'!$A$2:$A$1501, SMALL(IF(('Orders Ledger'!$J$2:$J$1501="disputed")+('Orders Ledger'!$J$2:$J$1501="PENDING_REVIEW"), ROW('Orders Ledger'!$A$2:$A$1501)-ROW('Orders Ledger'!$A$2)+1), ROW(1365:1365))), "")</f>
        <v/>
      </c>
      <c r="C1423" s="11" t="str">
        <f>IF(B1423="","",_xlfn.XLOOKUP(B1423,'Orders Ledger'!$A:$A,'Orders Ledger'!$B:$B,""))</f>
        <v/>
      </c>
      <c r="D1423" t="str">
        <f>IF(B1423="","",_xlfn.XLOOKUP(B1423,'Orders Ledger'!$A:$A,'Orders Ledger'!$G:$G,""))</f>
        <v/>
      </c>
      <c r="E1423" t="str">
        <f>IF(B1423="","",_xlfn.XLOOKUP(B1423,'Orders Ledger'!$A:$A,'Orders Ledger'!$H:$H,""))</f>
        <v/>
      </c>
      <c r="F1423" t="str">
        <f>IF(B1423="","",_xlfn.XLOOKUP(B1423,'Orders Ledger'!$A:$A,'Orders Ledger'!$F:$F,""))</f>
        <v/>
      </c>
      <c r="G1423" t="str">
        <f>IF(B1423="","",_xlfn.XLOOKUP(B1423,'Orders Ledger'!$A:$A,'Orders Ledger'!$N:$N,0))</f>
        <v/>
      </c>
    </row>
    <row r="1424" spans="2:7" x14ac:dyDescent="0.3">
      <c r="B1424" t="str">
        <f t="array" ref="B1424">IFERROR(INDEX('Orders Ledger'!$A$2:$A$1501, SMALL(IF(('Orders Ledger'!$J$2:$J$1501="disputed")+('Orders Ledger'!$J$2:$J$1501="PENDING_REVIEW"), ROW('Orders Ledger'!$A$2:$A$1501)-ROW('Orders Ledger'!$A$2)+1), ROW(1366:1366))), "")</f>
        <v/>
      </c>
      <c r="C1424" s="11" t="str">
        <f>IF(B1424="","",_xlfn.XLOOKUP(B1424,'Orders Ledger'!$A:$A,'Orders Ledger'!$B:$B,""))</f>
        <v/>
      </c>
      <c r="D1424" t="str">
        <f>IF(B1424="","",_xlfn.XLOOKUP(B1424,'Orders Ledger'!$A:$A,'Orders Ledger'!$G:$G,""))</f>
        <v/>
      </c>
      <c r="E1424" t="str">
        <f>IF(B1424="","",_xlfn.XLOOKUP(B1424,'Orders Ledger'!$A:$A,'Orders Ledger'!$H:$H,""))</f>
        <v/>
      </c>
      <c r="F1424" t="str">
        <f>IF(B1424="","",_xlfn.XLOOKUP(B1424,'Orders Ledger'!$A:$A,'Orders Ledger'!$F:$F,""))</f>
        <v/>
      </c>
      <c r="G1424" t="str">
        <f>IF(B1424="","",_xlfn.XLOOKUP(B1424,'Orders Ledger'!$A:$A,'Orders Ledger'!$N:$N,0))</f>
        <v/>
      </c>
    </row>
    <row r="1425" spans="2:7" x14ac:dyDescent="0.3">
      <c r="B1425" t="str">
        <f t="array" ref="B1425">IFERROR(INDEX('Orders Ledger'!$A$2:$A$1501, SMALL(IF(('Orders Ledger'!$J$2:$J$1501="disputed")+('Orders Ledger'!$J$2:$J$1501="PENDING_REVIEW"), ROW('Orders Ledger'!$A$2:$A$1501)-ROW('Orders Ledger'!$A$2)+1), ROW(1367:1367))), "")</f>
        <v/>
      </c>
      <c r="C1425" s="11" t="str">
        <f>IF(B1425="","",_xlfn.XLOOKUP(B1425,'Orders Ledger'!$A:$A,'Orders Ledger'!$B:$B,""))</f>
        <v/>
      </c>
      <c r="D1425" t="str">
        <f>IF(B1425="","",_xlfn.XLOOKUP(B1425,'Orders Ledger'!$A:$A,'Orders Ledger'!$G:$G,""))</f>
        <v/>
      </c>
      <c r="E1425" t="str">
        <f>IF(B1425="","",_xlfn.XLOOKUP(B1425,'Orders Ledger'!$A:$A,'Orders Ledger'!$H:$H,""))</f>
        <v/>
      </c>
      <c r="F1425" t="str">
        <f>IF(B1425="","",_xlfn.XLOOKUP(B1425,'Orders Ledger'!$A:$A,'Orders Ledger'!$F:$F,""))</f>
        <v/>
      </c>
      <c r="G1425" t="str">
        <f>IF(B1425="","",_xlfn.XLOOKUP(B1425,'Orders Ledger'!$A:$A,'Orders Ledger'!$N:$N,0))</f>
        <v/>
      </c>
    </row>
    <row r="1426" spans="2:7" x14ac:dyDescent="0.3">
      <c r="B1426" t="str">
        <f t="array" ref="B1426">IFERROR(INDEX('Orders Ledger'!$A$2:$A$1501, SMALL(IF(('Orders Ledger'!$J$2:$J$1501="disputed")+('Orders Ledger'!$J$2:$J$1501="PENDING_REVIEW"), ROW('Orders Ledger'!$A$2:$A$1501)-ROW('Orders Ledger'!$A$2)+1), ROW(1368:1368))), "")</f>
        <v/>
      </c>
      <c r="C1426" s="11" t="str">
        <f>IF(B1426="","",_xlfn.XLOOKUP(B1426,'Orders Ledger'!$A:$A,'Orders Ledger'!$B:$B,""))</f>
        <v/>
      </c>
      <c r="D1426" t="str">
        <f>IF(B1426="","",_xlfn.XLOOKUP(B1426,'Orders Ledger'!$A:$A,'Orders Ledger'!$G:$G,""))</f>
        <v/>
      </c>
      <c r="E1426" t="str">
        <f>IF(B1426="","",_xlfn.XLOOKUP(B1426,'Orders Ledger'!$A:$A,'Orders Ledger'!$H:$H,""))</f>
        <v/>
      </c>
      <c r="F1426" t="str">
        <f>IF(B1426="","",_xlfn.XLOOKUP(B1426,'Orders Ledger'!$A:$A,'Orders Ledger'!$F:$F,""))</f>
        <v/>
      </c>
      <c r="G1426" t="str">
        <f>IF(B1426="","",_xlfn.XLOOKUP(B1426,'Orders Ledger'!$A:$A,'Orders Ledger'!$N:$N,0))</f>
        <v/>
      </c>
    </row>
    <row r="1427" spans="2:7" x14ac:dyDescent="0.3">
      <c r="B1427" t="str">
        <f t="array" ref="B1427">IFERROR(INDEX('Orders Ledger'!$A$2:$A$1501, SMALL(IF(('Orders Ledger'!$J$2:$J$1501="disputed")+('Orders Ledger'!$J$2:$J$1501="PENDING_REVIEW"), ROW('Orders Ledger'!$A$2:$A$1501)-ROW('Orders Ledger'!$A$2)+1), ROW(1369:1369))), "")</f>
        <v/>
      </c>
      <c r="C1427" s="11" t="str">
        <f>IF(B1427="","",_xlfn.XLOOKUP(B1427,'Orders Ledger'!$A:$A,'Orders Ledger'!$B:$B,""))</f>
        <v/>
      </c>
      <c r="D1427" t="str">
        <f>IF(B1427="","",_xlfn.XLOOKUP(B1427,'Orders Ledger'!$A:$A,'Orders Ledger'!$G:$G,""))</f>
        <v/>
      </c>
      <c r="E1427" t="str">
        <f>IF(B1427="","",_xlfn.XLOOKUP(B1427,'Orders Ledger'!$A:$A,'Orders Ledger'!$H:$H,""))</f>
        <v/>
      </c>
      <c r="F1427" t="str">
        <f>IF(B1427="","",_xlfn.XLOOKUP(B1427,'Orders Ledger'!$A:$A,'Orders Ledger'!$F:$F,""))</f>
        <v/>
      </c>
      <c r="G1427" t="str">
        <f>IF(B1427="","",_xlfn.XLOOKUP(B1427,'Orders Ledger'!$A:$A,'Orders Ledger'!$N:$N,0))</f>
        <v/>
      </c>
    </row>
    <row r="1428" spans="2:7" x14ac:dyDescent="0.3">
      <c r="B1428" t="str">
        <f t="array" ref="B1428">IFERROR(INDEX('Orders Ledger'!$A$2:$A$1501, SMALL(IF(('Orders Ledger'!$J$2:$J$1501="disputed")+('Orders Ledger'!$J$2:$J$1501="PENDING_REVIEW"), ROW('Orders Ledger'!$A$2:$A$1501)-ROW('Orders Ledger'!$A$2)+1), ROW(1370:1370))), "")</f>
        <v/>
      </c>
      <c r="C1428" s="11" t="str">
        <f>IF(B1428="","",_xlfn.XLOOKUP(B1428,'Orders Ledger'!$A:$A,'Orders Ledger'!$B:$B,""))</f>
        <v/>
      </c>
      <c r="D1428" t="str">
        <f>IF(B1428="","",_xlfn.XLOOKUP(B1428,'Orders Ledger'!$A:$A,'Orders Ledger'!$G:$G,""))</f>
        <v/>
      </c>
      <c r="E1428" t="str">
        <f>IF(B1428="","",_xlfn.XLOOKUP(B1428,'Orders Ledger'!$A:$A,'Orders Ledger'!$H:$H,""))</f>
        <v/>
      </c>
      <c r="F1428" t="str">
        <f>IF(B1428="","",_xlfn.XLOOKUP(B1428,'Orders Ledger'!$A:$A,'Orders Ledger'!$F:$F,""))</f>
        <v/>
      </c>
      <c r="G1428" t="str">
        <f>IF(B1428="","",_xlfn.XLOOKUP(B1428,'Orders Ledger'!$A:$A,'Orders Ledger'!$N:$N,0))</f>
        <v/>
      </c>
    </row>
    <row r="1429" spans="2:7" x14ac:dyDescent="0.3">
      <c r="B1429" t="str">
        <f t="array" ref="B1429">IFERROR(INDEX('Orders Ledger'!$A$2:$A$1501, SMALL(IF(('Orders Ledger'!$J$2:$J$1501="disputed")+('Orders Ledger'!$J$2:$J$1501="PENDING_REVIEW"), ROW('Orders Ledger'!$A$2:$A$1501)-ROW('Orders Ledger'!$A$2)+1), ROW(1371:1371))), "")</f>
        <v/>
      </c>
      <c r="C1429" s="11" t="str">
        <f>IF(B1429="","",_xlfn.XLOOKUP(B1429,'Orders Ledger'!$A:$A,'Orders Ledger'!$B:$B,""))</f>
        <v/>
      </c>
      <c r="D1429" t="str">
        <f>IF(B1429="","",_xlfn.XLOOKUP(B1429,'Orders Ledger'!$A:$A,'Orders Ledger'!$G:$G,""))</f>
        <v/>
      </c>
      <c r="E1429" t="str">
        <f>IF(B1429="","",_xlfn.XLOOKUP(B1429,'Orders Ledger'!$A:$A,'Orders Ledger'!$H:$H,""))</f>
        <v/>
      </c>
      <c r="F1429" t="str">
        <f>IF(B1429="","",_xlfn.XLOOKUP(B1429,'Orders Ledger'!$A:$A,'Orders Ledger'!$F:$F,""))</f>
        <v/>
      </c>
      <c r="G1429" t="str">
        <f>IF(B1429="","",_xlfn.XLOOKUP(B1429,'Orders Ledger'!$A:$A,'Orders Ledger'!$N:$N,0))</f>
        <v/>
      </c>
    </row>
    <row r="1430" spans="2:7" x14ac:dyDescent="0.3">
      <c r="B1430" t="str">
        <f t="array" ref="B1430">IFERROR(INDEX('Orders Ledger'!$A$2:$A$1501, SMALL(IF(('Orders Ledger'!$J$2:$J$1501="disputed")+('Orders Ledger'!$J$2:$J$1501="PENDING_REVIEW"), ROW('Orders Ledger'!$A$2:$A$1501)-ROW('Orders Ledger'!$A$2)+1), ROW(1372:1372))), "")</f>
        <v/>
      </c>
      <c r="C1430" s="11" t="str">
        <f>IF(B1430="","",_xlfn.XLOOKUP(B1430,'Orders Ledger'!$A:$A,'Orders Ledger'!$B:$B,""))</f>
        <v/>
      </c>
      <c r="D1430" t="str">
        <f>IF(B1430="","",_xlfn.XLOOKUP(B1430,'Orders Ledger'!$A:$A,'Orders Ledger'!$G:$G,""))</f>
        <v/>
      </c>
      <c r="E1430" t="str">
        <f>IF(B1430="","",_xlfn.XLOOKUP(B1430,'Orders Ledger'!$A:$A,'Orders Ledger'!$H:$H,""))</f>
        <v/>
      </c>
      <c r="F1430" t="str">
        <f>IF(B1430="","",_xlfn.XLOOKUP(B1430,'Orders Ledger'!$A:$A,'Orders Ledger'!$F:$F,""))</f>
        <v/>
      </c>
      <c r="G1430" t="str">
        <f>IF(B1430="","",_xlfn.XLOOKUP(B1430,'Orders Ledger'!$A:$A,'Orders Ledger'!$N:$N,0))</f>
        <v/>
      </c>
    </row>
    <row r="1431" spans="2:7" x14ac:dyDescent="0.3">
      <c r="B1431" t="str">
        <f t="array" ref="B1431">IFERROR(INDEX('Orders Ledger'!$A$2:$A$1501, SMALL(IF(('Orders Ledger'!$J$2:$J$1501="disputed")+('Orders Ledger'!$J$2:$J$1501="PENDING_REVIEW"), ROW('Orders Ledger'!$A$2:$A$1501)-ROW('Orders Ledger'!$A$2)+1), ROW(1373:1373))), "")</f>
        <v/>
      </c>
      <c r="C1431" s="11" t="str">
        <f>IF(B1431="","",_xlfn.XLOOKUP(B1431,'Orders Ledger'!$A:$A,'Orders Ledger'!$B:$B,""))</f>
        <v/>
      </c>
      <c r="D1431" t="str">
        <f>IF(B1431="","",_xlfn.XLOOKUP(B1431,'Orders Ledger'!$A:$A,'Orders Ledger'!$G:$G,""))</f>
        <v/>
      </c>
      <c r="E1431" t="str">
        <f>IF(B1431="","",_xlfn.XLOOKUP(B1431,'Orders Ledger'!$A:$A,'Orders Ledger'!$H:$H,""))</f>
        <v/>
      </c>
      <c r="F1431" t="str">
        <f>IF(B1431="","",_xlfn.XLOOKUP(B1431,'Orders Ledger'!$A:$A,'Orders Ledger'!$F:$F,""))</f>
        <v/>
      </c>
      <c r="G1431" t="str">
        <f>IF(B1431="","",_xlfn.XLOOKUP(B1431,'Orders Ledger'!$A:$A,'Orders Ledger'!$N:$N,0))</f>
        <v/>
      </c>
    </row>
    <row r="1432" spans="2:7" x14ac:dyDescent="0.3">
      <c r="B1432" t="str">
        <f t="array" ref="B1432">IFERROR(INDEX('Orders Ledger'!$A$2:$A$1501, SMALL(IF(('Orders Ledger'!$J$2:$J$1501="disputed")+('Orders Ledger'!$J$2:$J$1501="PENDING_REVIEW"), ROW('Orders Ledger'!$A$2:$A$1501)-ROW('Orders Ledger'!$A$2)+1), ROW(1374:1374))), "")</f>
        <v/>
      </c>
      <c r="C1432" s="11" t="str">
        <f>IF(B1432="","",_xlfn.XLOOKUP(B1432,'Orders Ledger'!$A:$A,'Orders Ledger'!$B:$B,""))</f>
        <v/>
      </c>
      <c r="D1432" t="str">
        <f>IF(B1432="","",_xlfn.XLOOKUP(B1432,'Orders Ledger'!$A:$A,'Orders Ledger'!$G:$G,""))</f>
        <v/>
      </c>
      <c r="E1432" t="str">
        <f>IF(B1432="","",_xlfn.XLOOKUP(B1432,'Orders Ledger'!$A:$A,'Orders Ledger'!$H:$H,""))</f>
        <v/>
      </c>
      <c r="F1432" t="str">
        <f>IF(B1432="","",_xlfn.XLOOKUP(B1432,'Orders Ledger'!$A:$A,'Orders Ledger'!$F:$F,""))</f>
        <v/>
      </c>
      <c r="G1432" t="str">
        <f>IF(B1432="","",_xlfn.XLOOKUP(B1432,'Orders Ledger'!$A:$A,'Orders Ledger'!$N:$N,0))</f>
        <v/>
      </c>
    </row>
    <row r="1433" spans="2:7" x14ac:dyDescent="0.3">
      <c r="B1433" t="str">
        <f t="array" ref="B1433">IFERROR(INDEX('Orders Ledger'!$A$2:$A$1501, SMALL(IF(('Orders Ledger'!$J$2:$J$1501="disputed")+('Orders Ledger'!$J$2:$J$1501="PENDING_REVIEW"), ROW('Orders Ledger'!$A$2:$A$1501)-ROW('Orders Ledger'!$A$2)+1), ROW(1375:1375))), "")</f>
        <v/>
      </c>
      <c r="C1433" s="11" t="str">
        <f>IF(B1433="","",_xlfn.XLOOKUP(B1433,'Orders Ledger'!$A:$A,'Orders Ledger'!$B:$B,""))</f>
        <v/>
      </c>
      <c r="D1433" t="str">
        <f>IF(B1433="","",_xlfn.XLOOKUP(B1433,'Orders Ledger'!$A:$A,'Orders Ledger'!$G:$G,""))</f>
        <v/>
      </c>
      <c r="E1433" t="str">
        <f>IF(B1433="","",_xlfn.XLOOKUP(B1433,'Orders Ledger'!$A:$A,'Orders Ledger'!$H:$H,""))</f>
        <v/>
      </c>
      <c r="F1433" t="str">
        <f>IF(B1433="","",_xlfn.XLOOKUP(B1433,'Orders Ledger'!$A:$A,'Orders Ledger'!$F:$F,""))</f>
        <v/>
      </c>
      <c r="G1433" t="str">
        <f>IF(B1433="","",_xlfn.XLOOKUP(B1433,'Orders Ledger'!$A:$A,'Orders Ledger'!$N:$N,0))</f>
        <v/>
      </c>
    </row>
    <row r="1434" spans="2:7" x14ac:dyDescent="0.3">
      <c r="B1434" t="str">
        <f t="array" ref="B1434">IFERROR(INDEX('Orders Ledger'!$A$2:$A$1501, SMALL(IF(('Orders Ledger'!$J$2:$J$1501="disputed")+('Orders Ledger'!$J$2:$J$1501="PENDING_REVIEW"), ROW('Orders Ledger'!$A$2:$A$1501)-ROW('Orders Ledger'!$A$2)+1), ROW(1376:1376))), "")</f>
        <v/>
      </c>
      <c r="C1434" s="11" t="str">
        <f>IF(B1434="","",_xlfn.XLOOKUP(B1434,'Orders Ledger'!$A:$A,'Orders Ledger'!$B:$B,""))</f>
        <v/>
      </c>
      <c r="D1434" t="str">
        <f>IF(B1434="","",_xlfn.XLOOKUP(B1434,'Orders Ledger'!$A:$A,'Orders Ledger'!$G:$G,""))</f>
        <v/>
      </c>
      <c r="E1434" t="str">
        <f>IF(B1434="","",_xlfn.XLOOKUP(B1434,'Orders Ledger'!$A:$A,'Orders Ledger'!$H:$H,""))</f>
        <v/>
      </c>
      <c r="F1434" t="str">
        <f>IF(B1434="","",_xlfn.XLOOKUP(B1434,'Orders Ledger'!$A:$A,'Orders Ledger'!$F:$F,""))</f>
        <v/>
      </c>
      <c r="G1434" t="str">
        <f>IF(B1434="","",_xlfn.XLOOKUP(B1434,'Orders Ledger'!$A:$A,'Orders Ledger'!$N:$N,0))</f>
        <v/>
      </c>
    </row>
    <row r="1435" spans="2:7" x14ac:dyDescent="0.3">
      <c r="B1435" t="str">
        <f t="array" ref="B1435">IFERROR(INDEX('Orders Ledger'!$A$2:$A$1501, SMALL(IF(('Orders Ledger'!$J$2:$J$1501="disputed")+('Orders Ledger'!$J$2:$J$1501="PENDING_REVIEW"), ROW('Orders Ledger'!$A$2:$A$1501)-ROW('Orders Ledger'!$A$2)+1), ROW(1377:1377))), "")</f>
        <v/>
      </c>
      <c r="C1435" s="11" t="str">
        <f>IF(B1435="","",_xlfn.XLOOKUP(B1435,'Orders Ledger'!$A:$A,'Orders Ledger'!$B:$B,""))</f>
        <v/>
      </c>
      <c r="D1435" t="str">
        <f>IF(B1435="","",_xlfn.XLOOKUP(B1435,'Orders Ledger'!$A:$A,'Orders Ledger'!$G:$G,""))</f>
        <v/>
      </c>
      <c r="E1435" t="str">
        <f>IF(B1435="","",_xlfn.XLOOKUP(B1435,'Orders Ledger'!$A:$A,'Orders Ledger'!$H:$H,""))</f>
        <v/>
      </c>
      <c r="F1435" t="str">
        <f>IF(B1435="","",_xlfn.XLOOKUP(B1435,'Orders Ledger'!$A:$A,'Orders Ledger'!$F:$F,""))</f>
        <v/>
      </c>
      <c r="G1435" t="str">
        <f>IF(B1435="","",_xlfn.XLOOKUP(B1435,'Orders Ledger'!$A:$A,'Orders Ledger'!$N:$N,0))</f>
        <v/>
      </c>
    </row>
    <row r="1436" spans="2:7" x14ac:dyDescent="0.3">
      <c r="B1436" t="str">
        <f t="array" ref="B1436">IFERROR(INDEX('Orders Ledger'!$A$2:$A$1501, SMALL(IF(('Orders Ledger'!$J$2:$J$1501="disputed")+('Orders Ledger'!$J$2:$J$1501="PENDING_REVIEW"), ROW('Orders Ledger'!$A$2:$A$1501)-ROW('Orders Ledger'!$A$2)+1), ROW(1378:1378))), "")</f>
        <v/>
      </c>
      <c r="C1436" s="11" t="str">
        <f>IF(B1436="","",_xlfn.XLOOKUP(B1436,'Orders Ledger'!$A:$A,'Orders Ledger'!$B:$B,""))</f>
        <v/>
      </c>
      <c r="D1436" t="str">
        <f>IF(B1436="","",_xlfn.XLOOKUP(B1436,'Orders Ledger'!$A:$A,'Orders Ledger'!$G:$G,""))</f>
        <v/>
      </c>
      <c r="E1436" t="str">
        <f>IF(B1436="","",_xlfn.XLOOKUP(B1436,'Orders Ledger'!$A:$A,'Orders Ledger'!$H:$H,""))</f>
        <v/>
      </c>
      <c r="F1436" t="str">
        <f>IF(B1436="","",_xlfn.XLOOKUP(B1436,'Orders Ledger'!$A:$A,'Orders Ledger'!$F:$F,""))</f>
        <v/>
      </c>
      <c r="G1436" t="str">
        <f>IF(B1436="","",_xlfn.XLOOKUP(B1436,'Orders Ledger'!$A:$A,'Orders Ledger'!$N:$N,0))</f>
        <v/>
      </c>
    </row>
    <row r="1437" spans="2:7" x14ac:dyDescent="0.3">
      <c r="B1437" t="str">
        <f t="array" ref="B1437">IFERROR(INDEX('Orders Ledger'!$A$2:$A$1501, SMALL(IF(('Orders Ledger'!$J$2:$J$1501="disputed")+('Orders Ledger'!$J$2:$J$1501="PENDING_REVIEW"), ROW('Orders Ledger'!$A$2:$A$1501)-ROW('Orders Ledger'!$A$2)+1), ROW(1379:1379))), "")</f>
        <v/>
      </c>
      <c r="C1437" s="11" t="str">
        <f>IF(B1437="","",_xlfn.XLOOKUP(B1437,'Orders Ledger'!$A:$A,'Orders Ledger'!$B:$B,""))</f>
        <v/>
      </c>
      <c r="D1437" t="str">
        <f>IF(B1437="","",_xlfn.XLOOKUP(B1437,'Orders Ledger'!$A:$A,'Orders Ledger'!$G:$G,""))</f>
        <v/>
      </c>
      <c r="E1437" t="str">
        <f>IF(B1437="","",_xlfn.XLOOKUP(B1437,'Orders Ledger'!$A:$A,'Orders Ledger'!$H:$H,""))</f>
        <v/>
      </c>
      <c r="F1437" t="str">
        <f>IF(B1437="","",_xlfn.XLOOKUP(B1437,'Orders Ledger'!$A:$A,'Orders Ledger'!$F:$F,""))</f>
        <v/>
      </c>
      <c r="G1437" t="str">
        <f>IF(B1437="","",_xlfn.XLOOKUP(B1437,'Orders Ledger'!$A:$A,'Orders Ledger'!$N:$N,0))</f>
        <v/>
      </c>
    </row>
    <row r="1438" spans="2:7" x14ac:dyDescent="0.3">
      <c r="B1438" t="str">
        <f t="array" ref="B1438">IFERROR(INDEX('Orders Ledger'!$A$2:$A$1501, SMALL(IF(('Orders Ledger'!$J$2:$J$1501="disputed")+('Orders Ledger'!$J$2:$J$1501="PENDING_REVIEW"), ROW('Orders Ledger'!$A$2:$A$1501)-ROW('Orders Ledger'!$A$2)+1), ROW(1380:1380))), "")</f>
        <v/>
      </c>
      <c r="C1438" s="11" t="str">
        <f>IF(B1438="","",_xlfn.XLOOKUP(B1438,'Orders Ledger'!$A:$A,'Orders Ledger'!$B:$B,""))</f>
        <v/>
      </c>
      <c r="D1438" t="str">
        <f>IF(B1438="","",_xlfn.XLOOKUP(B1438,'Orders Ledger'!$A:$A,'Orders Ledger'!$G:$G,""))</f>
        <v/>
      </c>
      <c r="E1438" t="str">
        <f>IF(B1438="","",_xlfn.XLOOKUP(B1438,'Orders Ledger'!$A:$A,'Orders Ledger'!$H:$H,""))</f>
        <v/>
      </c>
      <c r="F1438" t="str">
        <f>IF(B1438="","",_xlfn.XLOOKUP(B1438,'Orders Ledger'!$A:$A,'Orders Ledger'!$F:$F,""))</f>
        <v/>
      </c>
      <c r="G1438" t="str">
        <f>IF(B1438="","",_xlfn.XLOOKUP(B1438,'Orders Ledger'!$A:$A,'Orders Ledger'!$N:$N,0))</f>
        <v/>
      </c>
    </row>
    <row r="1439" spans="2:7" x14ac:dyDescent="0.3">
      <c r="B1439" t="str">
        <f t="array" ref="B1439">IFERROR(INDEX('Orders Ledger'!$A$2:$A$1501, SMALL(IF(('Orders Ledger'!$J$2:$J$1501="disputed")+('Orders Ledger'!$J$2:$J$1501="PENDING_REVIEW"), ROW('Orders Ledger'!$A$2:$A$1501)-ROW('Orders Ledger'!$A$2)+1), ROW(1381:1381))), "")</f>
        <v/>
      </c>
      <c r="C1439" s="11" t="str">
        <f>IF(B1439="","",_xlfn.XLOOKUP(B1439,'Orders Ledger'!$A:$A,'Orders Ledger'!$B:$B,""))</f>
        <v/>
      </c>
      <c r="D1439" t="str">
        <f>IF(B1439="","",_xlfn.XLOOKUP(B1439,'Orders Ledger'!$A:$A,'Orders Ledger'!$G:$G,""))</f>
        <v/>
      </c>
      <c r="E1439" t="str">
        <f>IF(B1439="","",_xlfn.XLOOKUP(B1439,'Orders Ledger'!$A:$A,'Orders Ledger'!$H:$H,""))</f>
        <v/>
      </c>
      <c r="F1439" t="str">
        <f>IF(B1439="","",_xlfn.XLOOKUP(B1439,'Orders Ledger'!$A:$A,'Orders Ledger'!$F:$F,""))</f>
        <v/>
      </c>
      <c r="G1439" t="str">
        <f>IF(B1439="","",_xlfn.XLOOKUP(B1439,'Orders Ledger'!$A:$A,'Orders Ledger'!$N:$N,0))</f>
        <v/>
      </c>
    </row>
    <row r="1440" spans="2:7" x14ac:dyDescent="0.3">
      <c r="B1440" t="str">
        <f t="array" ref="B1440">IFERROR(INDEX('Orders Ledger'!$A$2:$A$1501, SMALL(IF(('Orders Ledger'!$J$2:$J$1501="disputed")+('Orders Ledger'!$J$2:$J$1501="PENDING_REVIEW"), ROW('Orders Ledger'!$A$2:$A$1501)-ROW('Orders Ledger'!$A$2)+1), ROW(1382:1382))), "")</f>
        <v/>
      </c>
      <c r="C1440" s="11" t="str">
        <f>IF(B1440="","",_xlfn.XLOOKUP(B1440,'Orders Ledger'!$A:$A,'Orders Ledger'!$B:$B,""))</f>
        <v/>
      </c>
      <c r="D1440" t="str">
        <f>IF(B1440="","",_xlfn.XLOOKUP(B1440,'Orders Ledger'!$A:$A,'Orders Ledger'!$G:$G,""))</f>
        <v/>
      </c>
      <c r="E1440" t="str">
        <f>IF(B1440="","",_xlfn.XLOOKUP(B1440,'Orders Ledger'!$A:$A,'Orders Ledger'!$H:$H,""))</f>
        <v/>
      </c>
      <c r="F1440" t="str">
        <f>IF(B1440="","",_xlfn.XLOOKUP(B1440,'Orders Ledger'!$A:$A,'Orders Ledger'!$F:$F,""))</f>
        <v/>
      </c>
      <c r="G1440" t="str">
        <f>IF(B1440="","",_xlfn.XLOOKUP(B1440,'Orders Ledger'!$A:$A,'Orders Ledger'!$N:$N,0))</f>
        <v/>
      </c>
    </row>
    <row r="1441" spans="2:7" x14ac:dyDescent="0.3">
      <c r="B1441" t="str">
        <f t="array" ref="B1441">IFERROR(INDEX('Orders Ledger'!$A$2:$A$1501, SMALL(IF(('Orders Ledger'!$J$2:$J$1501="disputed")+('Orders Ledger'!$J$2:$J$1501="PENDING_REVIEW"), ROW('Orders Ledger'!$A$2:$A$1501)-ROW('Orders Ledger'!$A$2)+1), ROW(1383:1383))), "")</f>
        <v/>
      </c>
      <c r="C1441" s="11" t="str">
        <f>IF(B1441="","",_xlfn.XLOOKUP(B1441,'Orders Ledger'!$A:$A,'Orders Ledger'!$B:$B,""))</f>
        <v/>
      </c>
      <c r="D1441" t="str">
        <f>IF(B1441="","",_xlfn.XLOOKUP(B1441,'Orders Ledger'!$A:$A,'Orders Ledger'!$G:$G,""))</f>
        <v/>
      </c>
      <c r="E1441" t="str">
        <f>IF(B1441="","",_xlfn.XLOOKUP(B1441,'Orders Ledger'!$A:$A,'Orders Ledger'!$H:$H,""))</f>
        <v/>
      </c>
      <c r="F1441" t="str">
        <f>IF(B1441="","",_xlfn.XLOOKUP(B1441,'Orders Ledger'!$A:$A,'Orders Ledger'!$F:$F,""))</f>
        <v/>
      </c>
      <c r="G1441" t="str">
        <f>IF(B1441="","",_xlfn.XLOOKUP(B1441,'Orders Ledger'!$A:$A,'Orders Ledger'!$N:$N,0))</f>
        <v/>
      </c>
    </row>
    <row r="1442" spans="2:7" x14ac:dyDescent="0.3">
      <c r="B1442" t="str">
        <f t="array" ref="B1442">IFERROR(INDEX('Orders Ledger'!$A$2:$A$1501, SMALL(IF(('Orders Ledger'!$J$2:$J$1501="disputed")+('Orders Ledger'!$J$2:$J$1501="PENDING_REVIEW"), ROW('Orders Ledger'!$A$2:$A$1501)-ROW('Orders Ledger'!$A$2)+1), ROW(1384:1384))), "")</f>
        <v/>
      </c>
      <c r="C1442" s="11" t="str">
        <f>IF(B1442="","",_xlfn.XLOOKUP(B1442,'Orders Ledger'!$A:$A,'Orders Ledger'!$B:$B,""))</f>
        <v/>
      </c>
      <c r="D1442" t="str">
        <f>IF(B1442="","",_xlfn.XLOOKUP(B1442,'Orders Ledger'!$A:$A,'Orders Ledger'!$G:$G,""))</f>
        <v/>
      </c>
      <c r="E1442" t="str">
        <f>IF(B1442="","",_xlfn.XLOOKUP(B1442,'Orders Ledger'!$A:$A,'Orders Ledger'!$H:$H,""))</f>
        <v/>
      </c>
      <c r="F1442" t="str">
        <f>IF(B1442="","",_xlfn.XLOOKUP(B1442,'Orders Ledger'!$A:$A,'Orders Ledger'!$F:$F,""))</f>
        <v/>
      </c>
      <c r="G1442" t="str">
        <f>IF(B1442="","",_xlfn.XLOOKUP(B1442,'Orders Ledger'!$A:$A,'Orders Ledger'!$N:$N,0))</f>
        <v/>
      </c>
    </row>
    <row r="1443" spans="2:7" x14ac:dyDescent="0.3">
      <c r="B1443" t="str">
        <f t="array" ref="B1443">IFERROR(INDEX('Orders Ledger'!$A$2:$A$1501, SMALL(IF(('Orders Ledger'!$J$2:$J$1501="disputed")+('Orders Ledger'!$J$2:$J$1501="PENDING_REVIEW"), ROW('Orders Ledger'!$A$2:$A$1501)-ROW('Orders Ledger'!$A$2)+1), ROW(1385:1385))), "")</f>
        <v/>
      </c>
      <c r="C1443" s="11" t="str">
        <f>IF(B1443="","",_xlfn.XLOOKUP(B1443,'Orders Ledger'!$A:$A,'Orders Ledger'!$B:$B,""))</f>
        <v/>
      </c>
      <c r="D1443" t="str">
        <f>IF(B1443="","",_xlfn.XLOOKUP(B1443,'Orders Ledger'!$A:$A,'Orders Ledger'!$G:$G,""))</f>
        <v/>
      </c>
      <c r="E1443" t="str">
        <f>IF(B1443="","",_xlfn.XLOOKUP(B1443,'Orders Ledger'!$A:$A,'Orders Ledger'!$H:$H,""))</f>
        <v/>
      </c>
      <c r="F1443" t="str">
        <f>IF(B1443="","",_xlfn.XLOOKUP(B1443,'Orders Ledger'!$A:$A,'Orders Ledger'!$F:$F,""))</f>
        <v/>
      </c>
      <c r="G1443" t="str">
        <f>IF(B1443="","",_xlfn.XLOOKUP(B1443,'Orders Ledger'!$A:$A,'Orders Ledger'!$N:$N,0))</f>
        <v/>
      </c>
    </row>
    <row r="1444" spans="2:7" x14ac:dyDescent="0.3">
      <c r="B1444" t="str">
        <f t="array" ref="B1444">IFERROR(INDEX('Orders Ledger'!$A$2:$A$1501, SMALL(IF(('Orders Ledger'!$J$2:$J$1501="disputed")+('Orders Ledger'!$J$2:$J$1501="PENDING_REVIEW"), ROW('Orders Ledger'!$A$2:$A$1501)-ROW('Orders Ledger'!$A$2)+1), ROW(1386:1386))), "")</f>
        <v/>
      </c>
      <c r="C1444" s="11" t="str">
        <f>IF(B1444="","",_xlfn.XLOOKUP(B1444,'Orders Ledger'!$A:$A,'Orders Ledger'!$B:$B,""))</f>
        <v/>
      </c>
      <c r="D1444" t="str">
        <f>IF(B1444="","",_xlfn.XLOOKUP(B1444,'Orders Ledger'!$A:$A,'Orders Ledger'!$G:$G,""))</f>
        <v/>
      </c>
      <c r="E1444" t="str">
        <f>IF(B1444="","",_xlfn.XLOOKUP(B1444,'Orders Ledger'!$A:$A,'Orders Ledger'!$H:$H,""))</f>
        <v/>
      </c>
      <c r="F1444" t="str">
        <f>IF(B1444="","",_xlfn.XLOOKUP(B1444,'Orders Ledger'!$A:$A,'Orders Ledger'!$F:$F,""))</f>
        <v/>
      </c>
      <c r="G1444" t="str">
        <f>IF(B1444="","",_xlfn.XLOOKUP(B1444,'Orders Ledger'!$A:$A,'Orders Ledger'!$N:$N,0))</f>
        <v/>
      </c>
    </row>
    <row r="1445" spans="2:7" x14ac:dyDescent="0.3">
      <c r="B1445" t="str">
        <f t="array" ref="B1445">IFERROR(INDEX('Orders Ledger'!$A$2:$A$1501, SMALL(IF(('Orders Ledger'!$J$2:$J$1501="disputed")+('Orders Ledger'!$J$2:$J$1501="PENDING_REVIEW"), ROW('Orders Ledger'!$A$2:$A$1501)-ROW('Orders Ledger'!$A$2)+1), ROW(1387:1387))), "")</f>
        <v/>
      </c>
      <c r="C1445" s="11" t="str">
        <f>IF(B1445="","",_xlfn.XLOOKUP(B1445,'Orders Ledger'!$A:$A,'Orders Ledger'!$B:$B,""))</f>
        <v/>
      </c>
      <c r="D1445" t="str">
        <f>IF(B1445="","",_xlfn.XLOOKUP(B1445,'Orders Ledger'!$A:$A,'Orders Ledger'!$G:$G,""))</f>
        <v/>
      </c>
      <c r="E1445" t="str">
        <f>IF(B1445="","",_xlfn.XLOOKUP(B1445,'Orders Ledger'!$A:$A,'Orders Ledger'!$H:$H,""))</f>
        <v/>
      </c>
      <c r="F1445" t="str">
        <f>IF(B1445="","",_xlfn.XLOOKUP(B1445,'Orders Ledger'!$A:$A,'Orders Ledger'!$F:$F,""))</f>
        <v/>
      </c>
      <c r="G1445" t="str">
        <f>IF(B1445="","",_xlfn.XLOOKUP(B1445,'Orders Ledger'!$A:$A,'Orders Ledger'!$N:$N,0))</f>
        <v/>
      </c>
    </row>
    <row r="1446" spans="2:7" x14ac:dyDescent="0.3">
      <c r="B1446" t="str">
        <f t="array" ref="B1446">IFERROR(INDEX('Orders Ledger'!$A$2:$A$1501, SMALL(IF(('Orders Ledger'!$J$2:$J$1501="disputed")+('Orders Ledger'!$J$2:$J$1501="PENDING_REVIEW"), ROW('Orders Ledger'!$A$2:$A$1501)-ROW('Orders Ledger'!$A$2)+1), ROW(1388:1388))), "")</f>
        <v/>
      </c>
      <c r="C1446" s="11" t="str">
        <f>IF(B1446="","",_xlfn.XLOOKUP(B1446,'Orders Ledger'!$A:$A,'Orders Ledger'!$B:$B,""))</f>
        <v/>
      </c>
      <c r="D1446" t="str">
        <f>IF(B1446="","",_xlfn.XLOOKUP(B1446,'Orders Ledger'!$A:$A,'Orders Ledger'!$G:$G,""))</f>
        <v/>
      </c>
      <c r="E1446" t="str">
        <f>IF(B1446="","",_xlfn.XLOOKUP(B1446,'Orders Ledger'!$A:$A,'Orders Ledger'!$H:$H,""))</f>
        <v/>
      </c>
      <c r="F1446" t="str">
        <f>IF(B1446="","",_xlfn.XLOOKUP(B1446,'Orders Ledger'!$A:$A,'Orders Ledger'!$F:$F,""))</f>
        <v/>
      </c>
      <c r="G1446" t="str">
        <f>IF(B1446="","",_xlfn.XLOOKUP(B1446,'Orders Ledger'!$A:$A,'Orders Ledger'!$N:$N,0))</f>
        <v/>
      </c>
    </row>
    <row r="1447" spans="2:7" x14ac:dyDescent="0.3">
      <c r="B1447" t="str">
        <f t="array" ref="B1447">IFERROR(INDEX('Orders Ledger'!$A$2:$A$1501, SMALL(IF(('Orders Ledger'!$J$2:$J$1501="disputed")+('Orders Ledger'!$J$2:$J$1501="PENDING_REVIEW"), ROW('Orders Ledger'!$A$2:$A$1501)-ROW('Orders Ledger'!$A$2)+1), ROW(1389:1389))), "")</f>
        <v/>
      </c>
      <c r="C1447" s="11" t="str">
        <f>IF(B1447="","",_xlfn.XLOOKUP(B1447,'Orders Ledger'!$A:$A,'Orders Ledger'!$B:$B,""))</f>
        <v/>
      </c>
      <c r="D1447" t="str">
        <f>IF(B1447="","",_xlfn.XLOOKUP(B1447,'Orders Ledger'!$A:$A,'Orders Ledger'!$G:$G,""))</f>
        <v/>
      </c>
      <c r="E1447" t="str">
        <f>IF(B1447="","",_xlfn.XLOOKUP(B1447,'Orders Ledger'!$A:$A,'Orders Ledger'!$H:$H,""))</f>
        <v/>
      </c>
      <c r="F1447" t="str">
        <f>IF(B1447="","",_xlfn.XLOOKUP(B1447,'Orders Ledger'!$A:$A,'Orders Ledger'!$F:$F,""))</f>
        <v/>
      </c>
      <c r="G1447" t="str">
        <f>IF(B1447="","",_xlfn.XLOOKUP(B1447,'Orders Ledger'!$A:$A,'Orders Ledger'!$N:$N,0))</f>
        <v/>
      </c>
    </row>
    <row r="1448" spans="2:7" x14ac:dyDescent="0.3">
      <c r="B1448" t="str">
        <f t="array" ref="B1448">IFERROR(INDEX('Orders Ledger'!$A$2:$A$1501, SMALL(IF(('Orders Ledger'!$J$2:$J$1501="disputed")+('Orders Ledger'!$J$2:$J$1501="PENDING_REVIEW"), ROW('Orders Ledger'!$A$2:$A$1501)-ROW('Orders Ledger'!$A$2)+1), ROW(1390:1390))), "")</f>
        <v/>
      </c>
      <c r="C1448" s="11" t="str">
        <f>IF(B1448="","",_xlfn.XLOOKUP(B1448,'Orders Ledger'!$A:$A,'Orders Ledger'!$B:$B,""))</f>
        <v/>
      </c>
      <c r="D1448" t="str">
        <f>IF(B1448="","",_xlfn.XLOOKUP(B1448,'Orders Ledger'!$A:$A,'Orders Ledger'!$G:$G,""))</f>
        <v/>
      </c>
      <c r="E1448" t="str">
        <f>IF(B1448="","",_xlfn.XLOOKUP(B1448,'Orders Ledger'!$A:$A,'Orders Ledger'!$H:$H,""))</f>
        <v/>
      </c>
      <c r="F1448" t="str">
        <f>IF(B1448="","",_xlfn.XLOOKUP(B1448,'Orders Ledger'!$A:$A,'Orders Ledger'!$F:$F,""))</f>
        <v/>
      </c>
      <c r="G1448" t="str">
        <f>IF(B1448="","",_xlfn.XLOOKUP(B1448,'Orders Ledger'!$A:$A,'Orders Ledger'!$N:$N,0))</f>
        <v/>
      </c>
    </row>
    <row r="1449" spans="2:7" x14ac:dyDescent="0.3">
      <c r="B1449" t="str">
        <f t="array" ref="B1449">IFERROR(INDEX('Orders Ledger'!$A$2:$A$1501, SMALL(IF(('Orders Ledger'!$J$2:$J$1501="disputed")+('Orders Ledger'!$J$2:$J$1501="PENDING_REVIEW"), ROW('Orders Ledger'!$A$2:$A$1501)-ROW('Orders Ledger'!$A$2)+1), ROW(1391:1391))), "")</f>
        <v/>
      </c>
      <c r="C1449" s="11" t="str">
        <f>IF(B1449="","",_xlfn.XLOOKUP(B1449,'Orders Ledger'!$A:$A,'Orders Ledger'!$B:$B,""))</f>
        <v/>
      </c>
      <c r="D1449" t="str">
        <f>IF(B1449="","",_xlfn.XLOOKUP(B1449,'Orders Ledger'!$A:$A,'Orders Ledger'!$G:$G,""))</f>
        <v/>
      </c>
      <c r="E1449" t="str">
        <f>IF(B1449="","",_xlfn.XLOOKUP(B1449,'Orders Ledger'!$A:$A,'Orders Ledger'!$H:$H,""))</f>
        <v/>
      </c>
      <c r="F1449" t="str">
        <f>IF(B1449="","",_xlfn.XLOOKUP(B1449,'Orders Ledger'!$A:$A,'Orders Ledger'!$F:$F,""))</f>
        <v/>
      </c>
      <c r="G1449" t="str">
        <f>IF(B1449="","",_xlfn.XLOOKUP(B1449,'Orders Ledger'!$A:$A,'Orders Ledger'!$N:$N,0))</f>
        <v/>
      </c>
    </row>
    <row r="1450" spans="2:7" x14ac:dyDescent="0.3">
      <c r="B1450" t="str">
        <f t="array" ref="B1450">IFERROR(INDEX('Orders Ledger'!$A$2:$A$1501, SMALL(IF(('Orders Ledger'!$J$2:$J$1501="disputed")+('Orders Ledger'!$J$2:$J$1501="PENDING_REVIEW"), ROW('Orders Ledger'!$A$2:$A$1501)-ROW('Orders Ledger'!$A$2)+1), ROW(1392:1392))), "")</f>
        <v/>
      </c>
      <c r="C1450" s="11" t="str">
        <f>IF(B1450="","",_xlfn.XLOOKUP(B1450,'Orders Ledger'!$A:$A,'Orders Ledger'!$B:$B,""))</f>
        <v/>
      </c>
      <c r="D1450" t="str">
        <f>IF(B1450="","",_xlfn.XLOOKUP(B1450,'Orders Ledger'!$A:$A,'Orders Ledger'!$G:$G,""))</f>
        <v/>
      </c>
      <c r="E1450" t="str">
        <f>IF(B1450="","",_xlfn.XLOOKUP(B1450,'Orders Ledger'!$A:$A,'Orders Ledger'!$H:$H,""))</f>
        <v/>
      </c>
      <c r="F1450" t="str">
        <f>IF(B1450="","",_xlfn.XLOOKUP(B1450,'Orders Ledger'!$A:$A,'Orders Ledger'!$F:$F,""))</f>
        <v/>
      </c>
      <c r="G1450" t="str">
        <f>IF(B1450="","",_xlfn.XLOOKUP(B1450,'Orders Ledger'!$A:$A,'Orders Ledger'!$N:$N,0))</f>
        <v/>
      </c>
    </row>
    <row r="1451" spans="2:7" x14ac:dyDescent="0.3">
      <c r="B1451" t="str">
        <f t="array" ref="B1451">IFERROR(INDEX('Orders Ledger'!$A$2:$A$1501, SMALL(IF(('Orders Ledger'!$J$2:$J$1501="disputed")+('Orders Ledger'!$J$2:$J$1501="PENDING_REVIEW"), ROW('Orders Ledger'!$A$2:$A$1501)-ROW('Orders Ledger'!$A$2)+1), ROW(1393:1393))), "")</f>
        <v/>
      </c>
      <c r="C1451" s="11" t="str">
        <f>IF(B1451="","",_xlfn.XLOOKUP(B1451,'Orders Ledger'!$A:$A,'Orders Ledger'!$B:$B,""))</f>
        <v/>
      </c>
      <c r="D1451" t="str">
        <f>IF(B1451="","",_xlfn.XLOOKUP(B1451,'Orders Ledger'!$A:$A,'Orders Ledger'!$G:$G,""))</f>
        <v/>
      </c>
      <c r="E1451" t="str">
        <f>IF(B1451="","",_xlfn.XLOOKUP(B1451,'Orders Ledger'!$A:$A,'Orders Ledger'!$H:$H,""))</f>
        <v/>
      </c>
      <c r="F1451" t="str">
        <f>IF(B1451="","",_xlfn.XLOOKUP(B1451,'Orders Ledger'!$A:$A,'Orders Ledger'!$F:$F,""))</f>
        <v/>
      </c>
      <c r="G1451" t="str">
        <f>IF(B1451="","",_xlfn.XLOOKUP(B1451,'Orders Ledger'!$A:$A,'Orders Ledger'!$N:$N,0))</f>
        <v/>
      </c>
    </row>
    <row r="1452" spans="2:7" x14ac:dyDescent="0.3">
      <c r="B1452" t="str">
        <f t="array" ref="B1452">IFERROR(INDEX('Orders Ledger'!$A$2:$A$1501, SMALL(IF(('Orders Ledger'!$J$2:$J$1501="disputed")+('Orders Ledger'!$J$2:$J$1501="PENDING_REVIEW"), ROW('Orders Ledger'!$A$2:$A$1501)-ROW('Orders Ledger'!$A$2)+1), ROW(1394:1394))), "")</f>
        <v/>
      </c>
      <c r="C1452" s="11" t="str">
        <f>IF(B1452="","",_xlfn.XLOOKUP(B1452,'Orders Ledger'!$A:$A,'Orders Ledger'!$B:$B,""))</f>
        <v/>
      </c>
      <c r="D1452" t="str">
        <f>IF(B1452="","",_xlfn.XLOOKUP(B1452,'Orders Ledger'!$A:$A,'Orders Ledger'!$G:$G,""))</f>
        <v/>
      </c>
      <c r="E1452" t="str">
        <f>IF(B1452="","",_xlfn.XLOOKUP(B1452,'Orders Ledger'!$A:$A,'Orders Ledger'!$H:$H,""))</f>
        <v/>
      </c>
      <c r="F1452" t="str">
        <f>IF(B1452="","",_xlfn.XLOOKUP(B1452,'Orders Ledger'!$A:$A,'Orders Ledger'!$F:$F,""))</f>
        <v/>
      </c>
      <c r="G1452" t="str">
        <f>IF(B1452="","",_xlfn.XLOOKUP(B1452,'Orders Ledger'!$A:$A,'Orders Ledger'!$N:$N,0))</f>
        <v/>
      </c>
    </row>
    <row r="1453" spans="2:7" x14ac:dyDescent="0.3">
      <c r="B1453" t="str">
        <f t="array" ref="B1453">IFERROR(INDEX('Orders Ledger'!$A$2:$A$1501, SMALL(IF(('Orders Ledger'!$J$2:$J$1501="disputed")+('Orders Ledger'!$J$2:$J$1501="PENDING_REVIEW"), ROW('Orders Ledger'!$A$2:$A$1501)-ROW('Orders Ledger'!$A$2)+1), ROW(1395:1395))), "")</f>
        <v/>
      </c>
      <c r="C1453" s="11" t="str">
        <f>IF(B1453="","",_xlfn.XLOOKUP(B1453,'Orders Ledger'!$A:$A,'Orders Ledger'!$B:$B,""))</f>
        <v/>
      </c>
      <c r="D1453" t="str">
        <f>IF(B1453="","",_xlfn.XLOOKUP(B1453,'Orders Ledger'!$A:$A,'Orders Ledger'!$G:$G,""))</f>
        <v/>
      </c>
      <c r="E1453" t="str">
        <f>IF(B1453="","",_xlfn.XLOOKUP(B1453,'Orders Ledger'!$A:$A,'Orders Ledger'!$H:$H,""))</f>
        <v/>
      </c>
      <c r="F1453" t="str">
        <f>IF(B1453="","",_xlfn.XLOOKUP(B1453,'Orders Ledger'!$A:$A,'Orders Ledger'!$F:$F,""))</f>
        <v/>
      </c>
      <c r="G1453" t="str">
        <f>IF(B1453="","",_xlfn.XLOOKUP(B1453,'Orders Ledger'!$A:$A,'Orders Ledger'!$N:$N,0))</f>
        <v/>
      </c>
    </row>
    <row r="1454" spans="2:7" x14ac:dyDescent="0.3">
      <c r="B1454" t="str">
        <f t="array" ref="B1454">IFERROR(INDEX('Orders Ledger'!$A$2:$A$1501, SMALL(IF(('Orders Ledger'!$J$2:$J$1501="disputed")+('Orders Ledger'!$J$2:$J$1501="PENDING_REVIEW"), ROW('Orders Ledger'!$A$2:$A$1501)-ROW('Orders Ledger'!$A$2)+1), ROW(1396:1396))), "")</f>
        <v/>
      </c>
      <c r="C1454" s="11" t="str">
        <f>IF(B1454="","",_xlfn.XLOOKUP(B1454,'Orders Ledger'!$A:$A,'Orders Ledger'!$B:$B,""))</f>
        <v/>
      </c>
      <c r="D1454" t="str">
        <f>IF(B1454="","",_xlfn.XLOOKUP(B1454,'Orders Ledger'!$A:$A,'Orders Ledger'!$G:$G,""))</f>
        <v/>
      </c>
      <c r="E1454" t="str">
        <f>IF(B1454="","",_xlfn.XLOOKUP(B1454,'Orders Ledger'!$A:$A,'Orders Ledger'!$H:$H,""))</f>
        <v/>
      </c>
      <c r="F1454" t="str">
        <f>IF(B1454="","",_xlfn.XLOOKUP(B1454,'Orders Ledger'!$A:$A,'Orders Ledger'!$F:$F,""))</f>
        <v/>
      </c>
      <c r="G1454" t="str">
        <f>IF(B1454="","",_xlfn.XLOOKUP(B1454,'Orders Ledger'!$A:$A,'Orders Ledger'!$N:$N,0))</f>
        <v/>
      </c>
    </row>
    <row r="1455" spans="2:7" x14ac:dyDescent="0.3">
      <c r="B1455" t="str">
        <f t="array" ref="B1455">IFERROR(INDEX('Orders Ledger'!$A$2:$A$1501, SMALL(IF(('Orders Ledger'!$J$2:$J$1501="disputed")+('Orders Ledger'!$J$2:$J$1501="PENDING_REVIEW"), ROW('Orders Ledger'!$A$2:$A$1501)-ROW('Orders Ledger'!$A$2)+1), ROW(1397:1397))), "")</f>
        <v/>
      </c>
      <c r="C1455" s="11" t="str">
        <f>IF(B1455="","",_xlfn.XLOOKUP(B1455,'Orders Ledger'!$A:$A,'Orders Ledger'!$B:$B,""))</f>
        <v/>
      </c>
      <c r="D1455" t="str">
        <f>IF(B1455="","",_xlfn.XLOOKUP(B1455,'Orders Ledger'!$A:$A,'Orders Ledger'!$G:$G,""))</f>
        <v/>
      </c>
      <c r="E1455" t="str">
        <f>IF(B1455="","",_xlfn.XLOOKUP(B1455,'Orders Ledger'!$A:$A,'Orders Ledger'!$H:$H,""))</f>
        <v/>
      </c>
      <c r="F1455" t="str">
        <f>IF(B1455="","",_xlfn.XLOOKUP(B1455,'Orders Ledger'!$A:$A,'Orders Ledger'!$F:$F,""))</f>
        <v/>
      </c>
      <c r="G1455" t="str">
        <f>IF(B1455="","",_xlfn.XLOOKUP(B1455,'Orders Ledger'!$A:$A,'Orders Ledger'!$N:$N,0))</f>
        <v/>
      </c>
    </row>
    <row r="1456" spans="2:7" x14ac:dyDescent="0.3">
      <c r="B1456" t="str">
        <f t="array" ref="B1456">IFERROR(INDEX('Orders Ledger'!$A$2:$A$1501, SMALL(IF(('Orders Ledger'!$J$2:$J$1501="disputed")+('Orders Ledger'!$J$2:$J$1501="PENDING_REVIEW"), ROW('Orders Ledger'!$A$2:$A$1501)-ROW('Orders Ledger'!$A$2)+1), ROW(1398:1398))), "")</f>
        <v/>
      </c>
      <c r="C1456" s="11" t="str">
        <f>IF(B1456="","",_xlfn.XLOOKUP(B1456,'Orders Ledger'!$A:$A,'Orders Ledger'!$B:$B,""))</f>
        <v/>
      </c>
      <c r="D1456" t="str">
        <f>IF(B1456="","",_xlfn.XLOOKUP(B1456,'Orders Ledger'!$A:$A,'Orders Ledger'!$G:$G,""))</f>
        <v/>
      </c>
      <c r="E1456" t="str">
        <f>IF(B1456="","",_xlfn.XLOOKUP(B1456,'Orders Ledger'!$A:$A,'Orders Ledger'!$H:$H,""))</f>
        <v/>
      </c>
      <c r="F1456" t="str">
        <f>IF(B1456="","",_xlfn.XLOOKUP(B1456,'Orders Ledger'!$A:$A,'Orders Ledger'!$F:$F,""))</f>
        <v/>
      </c>
      <c r="G1456" t="str">
        <f>IF(B1456="","",_xlfn.XLOOKUP(B1456,'Orders Ledger'!$A:$A,'Orders Ledger'!$N:$N,0))</f>
        <v/>
      </c>
    </row>
    <row r="1457" spans="2:7" x14ac:dyDescent="0.3">
      <c r="B1457" t="str">
        <f t="array" ref="B1457">IFERROR(INDEX('Orders Ledger'!$A$2:$A$1501, SMALL(IF(('Orders Ledger'!$J$2:$J$1501="disputed")+('Orders Ledger'!$J$2:$J$1501="PENDING_REVIEW"), ROW('Orders Ledger'!$A$2:$A$1501)-ROW('Orders Ledger'!$A$2)+1), ROW(1399:1399))), "")</f>
        <v/>
      </c>
      <c r="C1457" s="11" t="str">
        <f>IF(B1457="","",_xlfn.XLOOKUP(B1457,'Orders Ledger'!$A:$A,'Orders Ledger'!$B:$B,""))</f>
        <v/>
      </c>
      <c r="D1457" t="str">
        <f>IF(B1457="","",_xlfn.XLOOKUP(B1457,'Orders Ledger'!$A:$A,'Orders Ledger'!$G:$G,""))</f>
        <v/>
      </c>
      <c r="E1457" t="str">
        <f>IF(B1457="","",_xlfn.XLOOKUP(B1457,'Orders Ledger'!$A:$A,'Orders Ledger'!$H:$H,""))</f>
        <v/>
      </c>
      <c r="F1457" t="str">
        <f>IF(B1457="","",_xlfn.XLOOKUP(B1457,'Orders Ledger'!$A:$A,'Orders Ledger'!$F:$F,""))</f>
        <v/>
      </c>
      <c r="G1457" t="str">
        <f>IF(B1457="","",_xlfn.XLOOKUP(B1457,'Orders Ledger'!$A:$A,'Orders Ledger'!$N:$N,0))</f>
        <v/>
      </c>
    </row>
    <row r="1458" spans="2:7" x14ac:dyDescent="0.3">
      <c r="B1458" t="str">
        <f t="array" ref="B1458">IFERROR(INDEX('Orders Ledger'!$A$2:$A$1501, SMALL(IF(('Orders Ledger'!$J$2:$J$1501="disputed")+('Orders Ledger'!$J$2:$J$1501="PENDING_REVIEW"), ROW('Orders Ledger'!$A$2:$A$1501)-ROW('Orders Ledger'!$A$2)+1), ROW(1400:1400))), "")</f>
        <v/>
      </c>
      <c r="C1458" s="11" t="str">
        <f>IF(B1458="","",_xlfn.XLOOKUP(B1458,'Orders Ledger'!$A:$A,'Orders Ledger'!$B:$B,""))</f>
        <v/>
      </c>
      <c r="D1458" t="str">
        <f>IF(B1458="","",_xlfn.XLOOKUP(B1458,'Orders Ledger'!$A:$A,'Orders Ledger'!$G:$G,""))</f>
        <v/>
      </c>
      <c r="E1458" t="str">
        <f>IF(B1458="","",_xlfn.XLOOKUP(B1458,'Orders Ledger'!$A:$A,'Orders Ledger'!$H:$H,""))</f>
        <v/>
      </c>
      <c r="F1458" t="str">
        <f>IF(B1458="","",_xlfn.XLOOKUP(B1458,'Orders Ledger'!$A:$A,'Orders Ledger'!$F:$F,""))</f>
        <v/>
      </c>
      <c r="G1458" t="str">
        <f>IF(B1458="","",_xlfn.XLOOKUP(B1458,'Orders Ledger'!$A:$A,'Orders Ledger'!$N:$N,0))</f>
        <v/>
      </c>
    </row>
    <row r="1459" spans="2:7" x14ac:dyDescent="0.3">
      <c r="B1459" t="str">
        <f t="array" ref="B1459">IFERROR(INDEX('Orders Ledger'!$A$2:$A$1501, SMALL(IF(('Orders Ledger'!$J$2:$J$1501="disputed")+('Orders Ledger'!$J$2:$J$1501="PENDING_REVIEW"), ROW('Orders Ledger'!$A$2:$A$1501)-ROW('Orders Ledger'!$A$2)+1), ROW(1401:1401))), "")</f>
        <v/>
      </c>
      <c r="C1459" s="11" t="str">
        <f>IF(B1459="","",_xlfn.XLOOKUP(B1459,'Orders Ledger'!$A:$A,'Orders Ledger'!$B:$B,""))</f>
        <v/>
      </c>
      <c r="D1459" t="str">
        <f>IF(B1459="","",_xlfn.XLOOKUP(B1459,'Orders Ledger'!$A:$A,'Orders Ledger'!$G:$G,""))</f>
        <v/>
      </c>
      <c r="E1459" t="str">
        <f>IF(B1459="","",_xlfn.XLOOKUP(B1459,'Orders Ledger'!$A:$A,'Orders Ledger'!$H:$H,""))</f>
        <v/>
      </c>
      <c r="F1459" t="str">
        <f>IF(B1459="","",_xlfn.XLOOKUP(B1459,'Orders Ledger'!$A:$A,'Orders Ledger'!$F:$F,""))</f>
        <v/>
      </c>
      <c r="G1459" t="str">
        <f>IF(B1459="","",_xlfn.XLOOKUP(B1459,'Orders Ledger'!$A:$A,'Orders Ledger'!$N:$N,0))</f>
        <v/>
      </c>
    </row>
    <row r="1460" spans="2:7" x14ac:dyDescent="0.3">
      <c r="B1460" t="str">
        <f t="array" ref="B1460">IFERROR(INDEX('Orders Ledger'!$A$2:$A$1501, SMALL(IF(('Orders Ledger'!$J$2:$J$1501="disputed")+('Orders Ledger'!$J$2:$J$1501="PENDING_REVIEW"), ROW('Orders Ledger'!$A$2:$A$1501)-ROW('Orders Ledger'!$A$2)+1), ROW(1402:1402))), "")</f>
        <v/>
      </c>
      <c r="C1460" s="11" t="str">
        <f>IF(B1460="","",_xlfn.XLOOKUP(B1460,'Orders Ledger'!$A:$A,'Orders Ledger'!$B:$B,""))</f>
        <v/>
      </c>
      <c r="D1460" t="str">
        <f>IF(B1460="","",_xlfn.XLOOKUP(B1460,'Orders Ledger'!$A:$A,'Orders Ledger'!$G:$G,""))</f>
        <v/>
      </c>
      <c r="E1460" t="str">
        <f>IF(B1460="","",_xlfn.XLOOKUP(B1460,'Orders Ledger'!$A:$A,'Orders Ledger'!$H:$H,""))</f>
        <v/>
      </c>
      <c r="F1460" t="str">
        <f>IF(B1460="","",_xlfn.XLOOKUP(B1460,'Orders Ledger'!$A:$A,'Orders Ledger'!$F:$F,""))</f>
        <v/>
      </c>
      <c r="G1460" t="str">
        <f>IF(B1460="","",_xlfn.XLOOKUP(B1460,'Orders Ledger'!$A:$A,'Orders Ledger'!$N:$N,0))</f>
        <v/>
      </c>
    </row>
    <row r="1461" spans="2:7" x14ac:dyDescent="0.3">
      <c r="B1461" t="str">
        <f t="array" ref="B1461">IFERROR(INDEX('Orders Ledger'!$A$2:$A$1501, SMALL(IF(('Orders Ledger'!$J$2:$J$1501="disputed")+('Orders Ledger'!$J$2:$J$1501="PENDING_REVIEW"), ROW('Orders Ledger'!$A$2:$A$1501)-ROW('Orders Ledger'!$A$2)+1), ROW(1403:1403))), "")</f>
        <v/>
      </c>
      <c r="C1461" s="11" t="str">
        <f>IF(B1461="","",_xlfn.XLOOKUP(B1461,'Orders Ledger'!$A:$A,'Orders Ledger'!$B:$B,""))</f>
        <v/>
      </c>
      <c r="D1461" t="str">
        <f>IF(B1461="","",_xlfn.XLOOKUP(B1461,'Orders Ledger'!$A:$A,'Orders Ledger'!$G:$G,""))</f>
        <v/>
      </c>
      <c r="E1461" t="str">
        <f>IF(B1461="","",_xlfn.XLOOKUP(B1461,'Orders Ledger'!$A:$A,'Orders Ledger'!$H:$H,""))</f>
        <v/>
      </c>
      <c r="F1461" t="str">
        <f>IF(B1461="","",_xlfn.XLOOKUP(B1461,'Orders Ledger'!$A:$A,'Orders Ledger'!$F:$F,""))</f>
        <v/>
      </c>
      <c r="G1461" t="str">
        <f>IF(B1461="","",_xlfn.XLOOKUP(B1461,'Orders Ledger'!$A:$A,'Orders Ledger'!$N:$N,0))</f>
        <v/>
      </c>
    </row>
    <row r="1462" spans="2:7" x14ac:dyDescent="0.3">
      <c r="B1462" t="str">
        <f t="array" ref="B1462">IFERROR(INDEX('Orders Ledger'!$A$2:$A$1501, SMALL(IF(('Orders Ledger'!$J$2:$J$1501="disputed")+('Orders Ledger'!$J$2:$J$1501="PENDING_REVIEW"), ROW('Orders Ledger'!$A$2:$A$1501)-ROW('Orders Ledger'!$A$2)+1), ROW(1404:1404))), "")</f>
        <v/>
      </c>
      <c r="C1462" s="11" t="str">
        <f>IF(B1462="","",_xlfn.XLOOKUP(B1462,'Orders Ledger'!$A:$A,'Orders Ledger'!$B:$B,""))</f>
        <v/>
      </c>
      <c r="D1462" t="str">
        <f>IF(B1462="","",_xlfn.XLOOKUP(B1462,'Orders Ledger'!$A:$A,'Orders Ledger'!$G:$G,""))</f>
        <v/>
      </c>
      <c r="E1462" t="str">
        <f>IF(B1462="","",_xlfn.XLOOKUP(B1462,'Orders Ledger'!$A:$A,'Orders Ledger'!$H:$H,""))</f>
        <v/>
      </c>
      <c r="F1462" t="str">
        <f>IF(B1462="","",_xlfn.XLOOKUP(B1462,'Orders Ledger'!$A:$A,'Orders Ledger'!$F:$F,""))</f>
        <v/>
      </c>
      <c r="G1462" t="str">
        <f>IF(B1462="","",_xlfn.XLOOKUP(B1462,'Orders Ledger'!$A:$A,'Orders Ledger'!$N:$N,0))</f>
        <v/>
      </c>
    </row>
    <row r="1463" spans="2:7" x14ac:dyDescent="0.3">
      <c r="B1463" t="str">
        <f t="array" ref="B1463">IFERROR(INDEX('Orders Ledger'!$A$2:$A$1501, SMALL(IF(('Orders Ledger'!$J$2:$J$1501="disputed")+('Orders Ledger'!$J$2:$J$1501="PENDING_REVIEW"), ROW('Orders Ledger'!$A$2:$A$1501)-ROW('Orders Ledger'!$A$2)+1), ROW(1405:1405))), "")</f>
        <v/>
      </c>
      <c r="C1463" s="11" t="str">
        <f>IF(B1463="","",_xlfn.XLOOKUP(B1463,'Orders Ledger'!$A:$A,'Orders Ledger'!$B:$B,""))</f>
        <v/>
      </c>
      <c r="D1463" t="str">
        <f>IF(B1463="","",_xlfn.XLOOKUP(B1463,'Orders Ledger'!$A:$A,'Orders Ledger'!$G:$G,""))</f>
        <v/>
      </c>
      <c r="E1463" t="str">
        <f>IF(B1463="","",_xlfn.XLOOKUP(B1463,'Orders Ledger'!$A:$A,'Orders Ledger'!$H:$H,""))</f>
        <v/>
      </c>
      <c r="F1463" t="str">
        <f>IF(B1463="","",_xlfn.XLOOKUP(B1463,'Orders Ledger'!$A:$A,'Orders Ledger'!$F:$F,""))</f>
        <v/>
      </c>
      <c r="G1463" t="str">
        <f>IF(B1463="","",_xlfn.XLOOKUP(B1463,'Orders Ledger'!$A:$A,'Orders Ledger'!$N:$N,0))</f>
        <v/>
      </c>
    </row>
    <row r="1464" spans="2:7" x14ac:dyDescent="0.3">
      <c r="B1464" t="str">
        <f t="array" ref="B1464">IFERROR(INDEX('Orders Ledger'!$A$2:$A$1501, SMALL(IF(('Orders Ledger'!$J$2:$J$1501="disputed")+('Orders Ledger'!$J$2:$J$1501="PENDING_REVIEW"), ROW('Orders Ledger'!$A$2:$A$1501)-ROW('Orders Ledger'!$A$2)+1), ROW(1406:1406))), "")</f>
        <v/>
      </c>
      <c r="C1464" s="11" t="str">
        <f>IF(B1464="","",_xlfn.XLOOKUP(B1464,'Orders Ledger'!$A:$A,'Orders Ledger'!$B:$B,""))</f>
        <v/>
      </c>
      <c r="D1464" t="str">
        <f>IF(B1464="","",_xlfn.XLOOKUP(B1464,'Orders Ledger'!$A:$A,'Orders Ledger'!$G:$G,""))</f>
        <v/>
      </c>
      <c r="E1464" t="str">
        <f>IF(B1464="","",_xlfn.XLOOKUP(B1464,'Orders Ledger'!$A:$A,'Orders Ledger'!$H:$H,""))</f>
        <v/>
      </c>
      <c r="F1464" t="str">
        <f>IF(B1464="","",_xlfn.XLOOKUP(B1464,'Orders Ledger'!$A:$A,'Orders Ledger'!$F:$F,""))</f>
        <v/>
      </c>
      <c r="G1464" t="str">
        <f>IF(B1464="","",_xlfn.XLOOKUP(B1464,'Orders Ledger'!$A:$A,'Orders Ledger'!$N:$N,0))</f>
        <v/>
      </c>
    </row>
    <row r="1465" spans="2:7" x14ac:dyDescent="0.3">
      <c r="B1465" t="str">
        <f t="array" ref="B1465">IFERROR(INDEX('Orders Ledger'!$A$2:$A$1501, SMALL(IF(('Orders Ledger'!$J$2:$J$1501="disputed")+('Orders Ledger'!$J$2:$J$1501="PENDING_REVIEW"), ROW('Orders Ledger'!$A$2:$A$1501)-ROW('Orders Ledger'!$A$2)+1), ROW(1407:1407))), "")</f>
        <v/>
      </c>
      <c r="C1465" s="11" t="str">
        <f>IF(B1465="","",_xlfn.XLOOKUP(B1465,'Orders Ledger'!$A:$A,'Orders Ledger'!$B:$B,""))</f>
        <v/>
      </c>
      <c r="D1465" t="str">
        <f>IF(B1465="","",_xlfn.XLOOKUP(B1465,'Orders Ledger'!$A:$A,'Orders Ledger'!$G:$G,""))</f>
        <v/>
      </c>
      <c r="E1465" t="str">
        <f>IF(B1465="","",_xlfn.XLOOKUP(B1465,'Orders Ledger'!$A:$A,'Orders Ledger'!$H:$H,""))</f>
        <v/>
      </c>
      <c r="F1465" t="str">
        <f>IF(B1465="","",_xlfn.XLOOKUP(B1465,'Orders Ledger'!$A:$A,'Orders Ledger'!$F:$F,""))</f>
        <v/>
      </c>
      <c r="G1465" t="str">
        <f>IF(B1465="","",_xlfn.XLOOKUP(B1465,'Orders Ledger'!$A:$A,'Orders Ledger'!$N:$N,0))</f>
        <v/>
      </c>
    </row>
    <row r="1466" spans="2:7" x14ac:dyDescent="0.3">
      <c r="B1466" t="str">
        <f t="array" ref="B1466">IFERROR(INDEX('Orders Ledger'!$A$2:$A$1501, SMALL(IF(('Orders Ledger'!$J$2:$J$1501="disputed")+('Orders Ledger'!$J$2:$J$1501="PENDING_REVIEW"), ROW('Orders Ledger'!$A$2:$A$1501)-ROW('Orders Ledger'!$A$2)+1), ROW(1408:1408))), "")</f>
        <v/>
      </c>
      <c r="C1466" s="11" t="str">
        <f>IF(B1466="","",_xlfn.XLOOKUP(B1466,'Orders Ledger'!$A:$A,'Orders Ledger'!$B:$B,""))</f>
        <v/>
      </c>
      <c r="D1466" t="str">
        <f>IF(B1466="","",_xlfn.XLOOKUP(B1466,'Orders Ledger'!$A:$A,'Orders Ledger'!$G:$G,""))</f>
        <v/>
      </c>
      <c r="E1466" t="str">
        <f>IF(B1466="","",_xlfn.XLOOKUP(B1466,'Orders Ledger'!$A:$A,'Orders Ledger'!$H:$H,""))</f>
        <v/>
      </c>
      <c r="F1466" t="str">
        <f>IF(B1466="","",_xlfn.XLOOKUP(B1466,'Orders Ledger'!$A:$A,'Orders Ledger'!$F:$F,""))</f>
        <v/>
      </c>
      <c r="G1466" t="str">
        <f>IF(B1466="","",_xlfn.XLOOKUP(B1466,'Orders Ledger'!$A:$A,'Orders Ledger'!$N:$N,0))</f>
        <v/>
      </c>
    </row>
    <row r="1467" spans="2:7" x14ac:dyDescent="0.3">
      <c r="B1467" t="str">
        <f t="array" ref="B1467">IFERROR(INDEX('Orders Ledger'!$A$2:$A$1501, SMALL(IF(('Orders Ledger'!$J$2:$J$1501="disputed")+('Orders Ledger'!$J$2:$J$1501="PENDING_REVIEW"), ROW('Orders Ledger'!$A$2:$A$1501)-ROW('Orders Ledger'!$A$2)+1), ROW(1409:1409))), "")</f>
        <v/>
      </c>
      <c r="C1467" s="11" t="str">
        <f>IF(B1467="","",_xlfn.XLOOKUP(B1467,'Orders Ledger'!$A:$A,'Orders Ledger'!$B:$B,""))</f>
        <v/>
      </c>
      <c r="D1467" t="str">
        <f>IF(B1467="","",_xlfn.XLOOKUP(B1467,'Orders Ledger'!$A:$A,'Orders Ledger'!$G:$G,""))</f>
        <v/>
      </c>
      <c r="E1467" t="str">
        <f>IF(B1467="","",_xlfn.XLOOKUP(B1467,'Orders Ledger'!$A:$A,'Orders Ledger'!$H:$H,""))</f>
        <v/>
      </c>
      <c r="F1467" t="str">
        <f>IF(B1467="","",_xlfn.XLOOKUP(B1467,'Orders Ledger'!$A:$A,'Orders Ledger'!$F:$F,""))</f>
        <v/>
      </c>
      <c r="G1467" t="str">
        <f>IF(B1467="","",_xlfn.XLOOKUP(B1467,'Orders Ledger'!$A:$A,'Orders Ledger'!$N:$N,0))</f>
        <v/>
      </c>
    </row>
    <row r="1468" spans="2:7" x14ac:dyDescent="0.3">
      <c r="B1468" t="str">
        <f t="array" ref="B1468">IFERROR(INDEX('Orders Ledger'!$A$2:$A$1501, SMALL(IF(('Orders Ledger'!$J$2:$J$1501="disputed")+('Orders Ledger'!$J$2:$J$1501="PENDING_REVIEW"), ROW('Orders Ledger'!$A$2:$A$1501)-ROW('Orders Ledger'!$A$2)+1), ROW(1410:1410))), "")</f>
        <v/>
      </c>
      <c r="C1468" s="11" t="str">
        <f>IF(B1468="","",_xlfn.XLOOKUP(B1468,'Orders Ledger'!$A:$A,'Orders Ledger'!$B:$B,""))</f>
        <v/>
      </c>
      <c r="D1468" t="str">
        <f>IF(B1468="","",_xlfn.XLOOKUP(B1468,'Orders Ledger'!$A:$A,'Orders Ledger'!$G:$G,""))</f>
        <v/>
      </c>
      <c r="E1468" t="str">
        <f>IF(B1468="","",_xlfn.XLOOKUP(B1468,'Orders Ledger'!$A:$A,'Orders Ledger'!$H:$H,""))</f>
        <v/>
      </c>
      <c r="F1468" t="str">
        <f>IF(B1468="","",_xlfn.XLOOKUP(B1468,'Orders Ledger'!$A:$A,'Orders Ledger'!$F:$F,""))</f>
        <v/>
      </c>
      <c r="G1468" t="str">
        <f>IF(B1468="","",_xlfn.XLOOKUP(B1468,'Orders Ledger'!$A:$A,'Orders Ledger'!$N:$N,0))</f>
        <v/>
      </c>
    </row>
    <row r="1469" spans="2:7" x14ac:dyDescent="0.3">
      <c r="B1469" t="str">
        <f t="array" ref="B1469">IFERROR(INDEX('Orders Ledger'!$A$2:$A$1501, SMALL(IF(('Orders Ledger'!$J$2:$J$1501="disputed")+('Orders Ledger'!$J$2:$J$1501="PENDING_REVIEW"), ROW('Orders Ledger'!$A$2:$A$1501)-ROW('Orders Ledger'!$A$2)+1), ROW(1411:1411))), "")</f>
        <v/>
      </c>
      <c r="C1469" s="11" t="str">
        <f>IF(B1469="","",_xlfn.XLOOKUP(B1469,'Orders Ledger'!$A:$A,'Orders Ledger'!$B:$B,""))</f>
        <v/>
      </c>
      <c r="D1469" t="str">
        <f>IF(B1469="","",_xlfn.XLOOKUP(B1469,'Orders Ledger'!$A:$A,'Orders Ledger'!$G:$G,""))</f>
        <v/>
      </c>
      <c r="E1469" t="str">
        <f>IF(B1469="","",_xlfn.XLOOKUP(B1469,'Orders Ledger'!$A:$A,'Orders Ledger'!$H:$H,""))</f>
        <v/>
      </c>
      <c r="F1469" t="str">
        <f>IF(B1469="","",_xlfn.XLOOKUP(B1469,'Orders Ledger'!$A:$A,'Orders Ledger'!$F:$F,""))</f>
        <v/>
      </c>
      <c r="G1469" t="str">
        <f>IF(B1469="","",_xlfn.XLOOKUP(B1469,'Orders Ledger'!$A:$A,'Orders Ledger'!$N:$N,0))</f>
        <v/>
      </c>
    </row>
    <row r="1470" spans="2:7" x14ac:dyDescent="0.3">
      <c r="B1470" t="str">
        <f t="array" ref="B1470">IFERROR(INDEX('Orders Ledger'!$A$2:$A$1501, SMALL(IF(('Orders Ledger'!$J$2:$J$1501="disputed")+('Orders Ledger'!$J$2:$J$1501="PENDING_REVIEW"), ROW('Orders Ledger'!$A$2:$A$1501)-ROW('Orders Ledger'!$A$2)+1), ROW(1412:1412))), "")</f>
        <v/>
      </c>
      <c r="C1470" s="11" t="str">
        <f>IF(B1470="","",_xlfn.XLOOKUP(B1470,'Orders Ledger'!$A:$A,'Orders Ledger'!$B:$B,""))</f>
        <v/>
      </c>
      <c r="D1470" t="str">
        <f>IF(B1470="","",_xlfn.XLOOKUP(B1470,'Orders Ledger'!$A:$A,'Orders Ledger'!$G:$G,""))</f>
        <v/>
      </c>
      <c r="E1470" t="str">
        <f>IF(B1470="","",_xlfn.XLOOKUP(B1470,'Orders Ledger'!$A:$A,'Orders Ledger'!$H:$H,""))</f>
        <v/>
      </c>
      <c r="F1470" t="str">
        <f>IF(B1470="","",_xlfn.XLOOKUP(B1470,'Orders Ledger'!$A:$A,'Orders Ledger'!$F:$F,""))</f>
        <v/>
      </c>
      <c r="G1470" t="str">
        <f>IF(B1470="","",_xlfn.XLOOKUP(B1470,'Orders Ledger'!$A:$A,'Orders Ledger'!$N:$N,0))</f>
        <v/>
      </c>
    </row>
    <row r="1471" spans="2:7" x14ac:dyDescent="0.3">
      <c r="B1471" t="str">
        <f t="array" ref="B1471">IFERROR(INDEX('Orders Ledger'!$A$2:$A$1501, SMALL(IF(('Orders Ledger'!$J$2:$J$1501="disputed")+('Orders Ledger'!$J$2:$J$1501="PENDING_REVIEW"), ROW('Orders Ledger'!$A$2:$A$1501)-ROW('Orders Ledger'!$A$2)+1), ROW(1413:1413))), "")</f>
        <v/>
      </c>
      <c r="C1471" s="11" t="str">
        <f>IF(B1471="","",_xlfn.XLOOKUP(B1471,'Orders Ledger'!$A:$A,'Orders Ledger'!$B:$B,""))</f>
        <v/>
      </c>
      <c r="D1471" t="str">
        <f>IF(B1471="","",_xlfn.XLOOKUP(B1471,'Orders Ledger'!$A:$A,'Orders Ledger'!$G:$G,""))</f>
        <v/>
      </c>
      <c r="E1471" t="str">
        <f>IF(B1471="","",_xlfn.XLOOKUP(B1471,'Orders Ledger'!$A:$A,'Orders Ledger'!$H:$H,""))</f>
        <v/>
      </c>
      <c r="F1471" t="str">
        <f>IF(B1471="","",_xlfn.XLOOKUP(B1471,'Orders Ledger'!$A:$A,'Orders Ledger'!$F:$F,""))</f>
        <v/>
      </c>
      <c r="G1471" t="str">
        <f>IF(B1471="","",_xlfn.XLOOKUP(B1471,'Orders Ledger'!$A:$A,'Orders Ledger'!$N:$N,0))</f>
        <v/>
      </c>
    </row>
    <row r="1472" spans="2:7" x14ac:dyDescent="0.3">
      <c r="B1472" t="str">
        <f t="array" ref="B1472">IFERROR(INDEX('Orders Ledger'!$A$2:$A$1501, SMALL(IF(('Orders Ledger'!$J$2:$J$1501="disputed")+('Orders Ledger'!$J$2:$J$1501="PENDING_REVIEW"), ROW('Orders Ledger'!$A$2:$A$1501)-ROW('Orders Ledger'!$A$2)+1), ROW(1414:1414))), "")</f>
        <v/>
      </c>
      <c r="C1472" s="11" t="str">
        <f>IF(B1472="","",_xlfn.XLOOKUP(B1472,'Orders Ledger'!$A:$A,'Orders Ledger'!$B:$B,""))</f>
        <v/>
      </c>
      <c r="D1472" t="str">
        <f>IF(B1472="","",_xlfn.XLOOKUP(B1472,'Orders Ledger'!$A:$A,'Orders Ledger'!$G:$G,""))</f>
        <v/>
      </c>
      <c r="E1472" t="str">
        <f>IF(B1472="","",_xlfn.XLOOKUP(B1472,'Orders Ledger'!$A:$A,'Orders Ledger'!$H:$H,""))</f>
        <v/>
      </c>
      <c r="F1472" t="str">
        <f>IF(B1472="","",_xlfn.XLOOKUP(B1472,'Orders Ledger'!$A:$A,'Orders Ledger'!$F:$F,""))</f>
        <v/>
      </c>
      <c r="G1472" t="str">
        <f>IF(B1472="","",_xlfn.XLOOKUP(B1472,'Orders Ledger'!$A:$A,'Orders Ledger'!$N:$N,0))</f>
        <v/>
      </c>
    </row>
    <row r="1473" spans="2:7" x14ac:dyDescent="0.3">
      <c r="B1473" t="str">
        <f t="array" ref="B1473">IFERROR(INDEX('Orders Ledger'!$A$2:$A$1501, SMALL(IF(('Orders Ledger'!$J$2:$J$1501="disputed")+('Orders Ledger'!$J$2:$J$1501="PENDING_REVIEW"), ROW('Orders Ledger'!$A$2:$A$1501)-ROW('Orders Ledger'!$A$2)+1), ROW(1415:1415))), "")</f>
        <v/>
      </c>
      <c r="C1473" s="11" t="str">
        <f>IF(B1473="","",_xlfn.XLOOKUP(B1473,'Orders Ledger'!$A:$A,'Orders Ledger'!$B:$B,""))</f>
        <v/>
      </c>
      <c r="D1473" t="str">
        <f>IF(B1473="","",_xlfn.XLOOKUP(B1473,'Orders Ledger'!$A:$A,'Orders Ledger'!$G:$G,""))</f>
        <v/>
      </c>
      <c r="E1473" t="str">
        <f>IF(B1473="","",_xlfn.XLOOKUP(B1473,'Orders Ledger'!$A:$A,'Orders Ledger'!$H:$H,""))</f>
        <v/>
      </c>
      <c r="F1473" t="str">
        <f>IF(B1473="","",_xlfn.XLOOKUP(B1473,'Orders Ledger'!$A:$A,'Orders Ledger'!$F:$F,""))</f>
        <v/>
      </c>
      <c r="G1473" t="str">
        <f>IF(B1473="","",_xlfn.XLOOKUP(B1473,'Orders Ledger'!$A:$A,'Orders Ledger'!$N:$N,0))</f>
        <v/>
      </c>
    </row>
    <row r="1474" spans="2:7" x14ac:dyDescent="0.3">
      <c r="B1474" t="str">
        <f t="array" ref="B1474">IFERROR(INDEX('Orders Ledger'!$A$2:$A$1501, SMALL(IF(('Orders Ledger'!$J$2:$J$1501="disputed")+('Orders Ledger'!$J$2:$J$1501="PENDING_REVIEW"), ROW('Orders Ledger'!$A$2:$A$1501)-ROW('Orders Ledger'!$A$2)+1), ROW(1416:1416))), "")</f>
        <v/>
      </c>
      <c r="C1474" s="11" t="str">
        <f>IF(B1474="","",_xlfn.XLOOKUP(B1474,'Orders Ledger'!$A:$A,'Orders Ledger'!$B:$B,""))</f>
        <v/>
      </c>
      <c r="D1474" t="str">
        <f>IF(B1474="","",_xlfn.XLOOKUP(B1474,'Orders Ledger'!$A:$A,'Orders Ledger'!$G:$G,""))</f>
        <v/>
      </c>
      <c r="E1474" t="str">
        <f>IF(B1474="","",_xlfn.XLOOKUP(B1474,'Orders Ledger'!$A:$A,'Orders Ledger'!$H:$H,""))</f>
        <v/>
      </c>
      <c r="F1474" t="str">
        <f>IF(B1474="","",_xlfn.XLOOKUP(B1474,'Orders Ledger'!$A:$A,'Orders Ledger'!$F:$F,""))</f>
        <v/>
      </c>
      <c r="G1474" t="str">
        <f>IF(B1474="","",_xlfn.XLOOKUP(B1474,'Orders Ledger'!$A:$A,'Orders Ledger'!$N:$N,0))</f>
        <v/>
      </c>
    </row>
    <row r="1475" spans="2:7" x14ac:dyDescent="0.3">
      <c r="B1475" t="str">
        <f t="array" ref="B1475">IFERROR(INDEX('Orders Ledger'!$A$2:$A$1501, SMALL(IF(('Orders Ledger'!$J$2:$J$1501="disputed")+('Orders Ledger'!$J$2:$J$1501="PENDING_REVIEW"), ROW('Orders Ledger'!$A$2:$A$1501)-ROW('Orders Ledger'!$A$2)+1), ROW(1417:1417))), "")</f>
        <v/>
      </c>
      <c r="C1475" s="11" t="str">
        <f>IF(B1475="","",_xlfn.XLOOKUP(B1475,'Orders Ledger'!$A:$A,'Orders Ledger'!$B:$B,""))</f>
        <v/>
      </c>
      <c r="D1475" t="str">
        <f>IF(B1475="","",_xlfn.XLOOKUP(B1475,'Orders Ledger'!$A:$A,'Orders Ledger'!$G:$G,""))</f>
        <v/>
      </c>
      <c r="E1475" t="str">
        <f>IF(B1475="","",_xlfn.XLOOKUP(B1475,'Orders Ledger'!$A:$A,'Orders Ledger'!$H:$H,""))</f>
        <v/>
      </c>
      <c r="F1475" t="str">
        <f>IF(B1475="","",_xlfn.XLOOKUP(B1475,'Orders Ledger'!$A:$A,'Orders Ledger'!$F:$F,""))</f>
        <v/>
      </c>
      <c r="G1475" t="str">
        <f>IF(B1475="","",_xlfn.XLOOKUP(B1475,'Orders Ledger'!$A:$A,'Orders Ledger'!$N:$N,0))</f>
        <v/>
      </c>
    </row>
    <row r="1476" spans="2:7" x14ac:dyDescent="0.3">
      <c r="B1476" t="str">
        <f t="array" ref="B1476">IFERROR(INDEX('Orders Ledger'!$A$2:$A$1501, SMALL(IF(('Orders Ledger'!$J$2:$J$1501="disputed")+('Orders Ledger'!$J$2:$J$1501="PENDING_REVIEW"), ROW('Orders Ledger'!$A$2:$A$1501)-ROW('Orders Ledger'!$A$2)+1), ROW(1418:1418))), "")</f>
        <v/>
      </c>
      <c r="C1476" s="11" t="str">
        <f>IF(B1476="","",_xlfn.XLOOKUP(B1476,'Orders Ledger'!$A:$A,'Orders Ledger'!$B:$B,""))</f>
        <v/>
      </c>
      <c r="D1476" t="str">
        <f>IF(B1476="","",_xlfn.XLOOKUP(B1476,'Orders Ledger'!$A:$A,'Orders Ledger'!$G:$G,""))</f>
        <v/>
      </c>
      <c r="E1476" t="str">
        <f>IF(B1476="","",_xlfn.XLOOKUP(B1476,'Orders Ledger'!$A:$A,'Orders Ledger'!$H:$H,""))</f>
        <v/>
      </c>
      <c r="F1476" t="str">
        <f>IF(B1476="","",_xlfn.XLOOKUP(B1476,'Orders Ledger'!$A:$A,'Orders Ledger'!$F:$F,""))</f>
        <v/>
      </c>
      <c r="G1476" t="str">
        <f>IF(B1476="","",_xlfn.XLOOKUP(B1476,'Orders Ledger'!$A:$A,'Orders Ledger'!$N:$N,0))</f>
        <v/>
      </c>
    </row>
    <row r="1477" spans="2:7" x14ac:dyDescent="0.3">
      <c r="B1477" t="str">
        <f t="array" ref="B1477">IFERROR(INDEX('Orders Ledger'!$A$2:$A$1501, SMALL(IF(('Orders Ledger'!$J$2:$J$1501="disputed")+('Orders Ledger'!$J$2:$J$1501="PENDING_REVIEW"), ROW('Orders Ledger'!$A$2:$A$1501)-ROW('Orders Ledger'!$A$2)+1), ROW(1419:1419))), "")</f>
        <v/>
      </c>
      <c r="C1477" s="11" t="str">
        <f>IF(B1477="","",_xlfn.XLOOKUP(B1477,'Orders Ledger'!$A:$A,'Orders Ledger'!$B:$B,""))</f>
        <v/>
      </c>
      <c r="D1477" t="str">
        <f>IF(B1477="","",_xlfn.XLOOKUP(B1477,'Orders Ledger'!$A:$A,'Orders Ledger'!$G:$G,""))</f>
        <v/>
      </c>
      <c r="E1477" t="str">
        <f>IF(B1477="","",_xlfn.XLOOKUP(B1477,'Orders Ledger'!$A:$A,'Orders Ledger'!$H:$H,""))</f>
        <v/>
      </c>
      <c r="F1477" t="str">
        <f>IF(B1477="","",_xlfn.XLOOKUP(B1477,'Orders Ledger'!$A:$A,'Orders Ledger'!$F:$F,""))</f>
        <v/>
      </c>
      <c r="G1477" t="str">
        <f>IF(B1477="","",_xlfn.XLOOKUP(B1477,'Orders Ledger'!$A:$A,'Orders Ledger'!$N:$N,0))</f>
        <v/>
      </c>
    </row>
    <row r="1478" spans="2:7" x14ac:dyDescent="0.3">
      <c r="B1478" t="str">
        <f t="array" ref="B1478">IFERROR(INDEX('Orders Ledger'!$A$2:$A$1501, SMALL(IF(('Orders Ledger'!$J$2:$J$1501="disputed")+('Orders Ledger'!$J$2:$J$1501="PENDING_REVIEW"), ROW('Orders Ledger'!$A$2:$A$1501)-ROW('Orders Ledger'!$A$2)+1), ROW(1420:1420))), "")</f>
        <v/>
      </c>
      <c r="C1478" s="11" t="str">
        <f>IF(B1478="","",_xlfn.XLOOKUP(B1478,'Orders Ledger'!$A:$A,'Orders Ledger'!$B:$B,""))</f>
        <v/>
      </c>
      <c r="D1478" t="str">
        <f>IF(B1478="","",_xlfn.XLOOKUP(B1478,'Orders Ledger'!$A:$A,'Orders Ledger'!$G:$G,""))</f>
        <v/>
      </c>
      <c r="E1478" t="str">
        <f>IF(B1478="","",_xlfn.XLOOKUP(B1478,'Orders Ledger'!$A:$A,'Orders Ledger'!$H:$H,""))</f>
        <v/>
      </c>
      <c r="F1478" t="str">
        <f>IF(B1478="","",_xlfn.XLOOKUP(B1478,'Orders Ledger'!$A:$A,'Orders Ledger'!$F:$F,""))</f>
        <v/>
      </c>
      <c r="G1478" t="str">
        <f>IF(B1478="","",_xlfn.XLOOKUP(B1478,'Orders Ledger'!$A:$A,'Orders Ledger'!$N:$N,0))</f>
        <v/>
      </c>
    </row>
    <row r="1479" spans="2:7" x14ac:dyDescent="0.3">
      <c r="B1479" t="str">
        <f t="array" ref="B1479">IFERROR(INDEX('Orders Ledger'!$A$2:$A$1501, SMALL(IF(('Orders Ledger'!$J$2:$J$1501="disputed")+('Orders Ledger'!$J$2:$J$1501="PENDING_REVIEW"), ROW('Orders Ledger'!$A$2:$A$1501)-ROW('Orders Ledger'!$A$2)+1), ROW(1421:1421))), "")</f>
        <v/>
      </c>
      <c r="C1479" s="11" t="str">
        <f>IF(B1479="","",_xlfn.XLOOKUP(B1479,'Orders Ledger'!$A:$A,'Orders Ledger'!$B:$B,""))</f>
        <v/>
      </c>
      <c r="D1479" t="str">
        <f>IF(B1479="","",_xlfn.XLOOKUP(B1479,'Orders Ledger'!$A:$A,'Orders Ledger'!$G:$G,""))</f>
        <v/>
      </c>
      <c r="E1479" t="str">
        <f>IF(B1479="","",_xlfn.XLOOKUP(B1479,'Orders Ledger'!$A:$A,'Orders Ledger'!$H:$H,""))</f>
        <v/>
      </c>
      <c r="F1479" t="str">
        <f>IF(B1479="","",_xlfn.XLOOKUP(B1479,'Orders Ledger'!$A:$A,'Orders Ledger'!$F:$F,""))</f>
        <v/>
      </c>
      <c r="G1479" t="str">
        <f>IF(B1479="","",_xlfn.XLOOKUP(B1479,'Orders Ledger'!$A:$A,'Orders Ledger'!$N:$N,0))</f>
        <v/>
      </c>
    </row>
    <row r="1480" spans="2:7" x14ac:dyDescent="0.3">
      <c r="B1480" t="str">
        <f t="array" ref="B1480">IFERROR(INDEX('Orders Ledger'!$A$2:$A$1501, SMALL(IF(('Orders Ledger'!$J$2:$J$1501="disputed")+('Orders Ledger'!$J$2:$J$1501="PENDING_REVIEW"), ROW('Orders Ledger'!$A$2:$A$1501)-ROW('Orders Ledger'!$A$2)+1), ROW(1422:1422))), "")</f>
        <v/>
      </c>
      <c r="C1480" s="11" t="str">
        <f>IF(B1480="","",_xlfn.XLOOKUP(B1480,'Orders Ledger'!$A:$A,'Orders Ledger'!$B:$B,""))</f>
        <v/>
      </c>
      <c r="D1480" t="str">
        <f>IF(B1480="","",_xlfn.XLOOKUP(B1480,'Orders Ledger'!$A:$A,'Orders Ledger'!$G:$G,""))</f>
        <v/>
      </c>
      <c r="E1480" t="str">
        <f>IF(B1480="","",_xlfn.XLOOKUP(B1480,'Orders Ledger'!$A:$A,'Orders Ledger'!$H:$H,""))</f>
        <v/>
      </c>
      <c r="F1480" t="str">
        <f>IF(B1480="","",_xlfn.XLOOKUP(B1480,'Orders Ledger'!$A:$A,'Orders Ledger'!$F:$F,""))</f>
        <v/>
      </c>
      <c r="G1480" t="str">
        <f>IF(B1480="","",_xlfn.XLOOKUP(B1480,'Orders Ledger'!$A:$A,'Orders Ledger'!$N:$N,0))</f>
        <v/>
      </c>
    </row>
    <row r="1481" spans="2:7" x14ac:dyDescent="0.3">
      <c r="B1481" t="str">
        <f t="array" ref="B1481">IFERROR(INDEX('Orders Ledger'!$A$2:$A$1501, SMALL(IF(('Orders Ledger'!$J$2:$J$1501="disputed")+('Orders Ledger'!$J$2:$J$1501="PENDING_REVIEW"), ROW('Orders Ledger'!$A$2:$A$1501)-ROW('Orders Ledger'!$A$2)+1), ROW(1423:1423))), "")</f>
        <v/>
      </c>
      <c r="C1481" s="11" t="str">
        <f>IF(B1481="","",_xlfn.XLOOKUP(B1481,'Orders Ledger'!$A:$A,'Orders Ledger'!$B:$B,""))</f>
        <v/>
      </c>
      <c r="D1481" t="str">
        <f>IF(B1481="","",_xlfn.XLOOKUP(B1481,'Orders Ledger'!$A:$A,'Orders Ledger'!$G:$G,""))</f>
        <v/>
      </c>
      <c r="E1481" t="str">
        <f>IF(B1481="","",_xlfn.XLOOKUP(B1481,'Orders Ledger'!$A:$A,'Orders Ledger'!$H:$H,""))</f>
        <v/>
      </c>
      <c r="F1481" t="str">
        <f>IF(B1481="","",_xlfn.XLOOKUP(B1481,'Orders Ledger'!$A:$A,'Orders Ledger'!$F:$F,""))</f>
        <v/>
      </c>
      <c r="G1481" t="str">
        <f>IF(B1481="","",_xlfn.XLOOKUP(B1481,'Orders Ledger'!$A:$A,'Orders Ledger'!$N:$N,0))</f>
        <v/>
      </c>
    </row>
    <row r="1482" spans="2:7" x14ac:dyDescent="0.3">
      <c r="B1482" t="str">
        <f t="array" ref="B1482">IFERROR(INDEX('Orders Ledger'!$A$2:$A$1501, SMALL(IF(('Orders Ledger'!$J$2:$J$1501="disputed")+('Orders Ledger'!$J$2:$J$1501="PENDING_REVIEW"), ROW('Orders Ledger'!$A$2:$A$1501)-ROW('Orders Ledger'!$A$2)+1), ROW(1424:1424))), "")</f>
        <v/>
      </c>
      <c r="C1482" s="11" t="str">
        <f>IF(B1482="","",_xlfn.XLOOKUP(B1482,'Orders Ledger'!$A:$A,'Orders Ledger'!$B:$B,""))</f>
        <v/>
      </c>
      <c r="D1482" t="str">
        <f>IF(B1482="","",_xlfn.XLOOKUP(B1482,'Orders Ledger'!$A:$A,'Orders Ledger'!$G:$G,""))</f>
        <v/>
      </c>
      <c r="E1482" t="str">
        <f>IF(B1482="","",_xlfn.XLOOKUP(B1482,'Orders Ledger'!$A:$A,'Orders Ledger'!$H:$H,""))</f>
        <v/>
      </c>
      <c r="F1482" t="str">
        <f>IF(B1482="","",_xlfn.XLOOKUP(B1482,'Orders Ledger'!$A:$A,'Orders Ledger'!$F:$F,""))</f>
        <v/>
      </c>
      <c r="G1482" t="str">
        <f>IF(B1482="","",_xlfn.XLOOKUP(B1482,'Orders Ledger'!$A:$A,'Orders Ledger'!$N:$N,0))</f>
        <v/>
      </c>
    </row>
    <row r="1483" spans="2:7" x14ac:dyDescent="0.3">
      <c r="B1483" t="str">
        <f t="array" ref="B1483">IFERROR(INDEX('Orders Ledger'!$A$2:$A$1501, SMALL(IF(('Orders Ledger'!$J$2:$J$1501="disputed")+('Orders Ledger'!$J$2:$J$1501="PENDING_REVIEW"), ROW('Orders Ledger'!$A$2:$A$1501)-ROW('Orders Ledger'!$A$2)+1), ROW(1425:1425))), "")</f>
        <v/>
      </c>
      <c r="C1483" s="11" t="str">
        <f>IF(B1483="","",_xlfn.XLOOKUP(B1483,'Orders Ledger'!$A:$A,'Orders Ledger'!$B:$B,""))</f>
        <v/>
      </c>
      <c r="D1483" t="str">
        <f>IF(B1483="","",_xlfn.XLOOKUP(B1483,'Orders Ledger'!$A:$A,'Orders Ledger'!$G:$G,""))</f>
        <v/>
      </c>
      <c r="E1483" t="str">
        <f>IF(B1483="","",_xlfn.XLOOKUP(B1483,'Orders Ledger'!$A:$A,'Orders Ledger'!$H:$H,""))</f>
        <v/>
      </c>
      <c r="F1483" t="str">
        <f>IF(B1483="","",_xlfn.XLOOKUP(B1483,'Orders Ledger'!$A:$A,'Orders Ledger'!$F:$F,""))</f>
        <v/>
      </c>
      <c r="G1483" t="str">
        <f>IF(B1483="","",_xlfn.XLOOKUP(B1483,'Orders Ledger'!$A:$A,'Orders Ledger'!$N:$N,0))</f>
        <v/>
      </c>
    </row>
    <row r="1484" spans="2:7" x14ac:dyDescent="0.3">
      <c r="B1484" t="str">
        <f t="array" ref="B1484">IFERROR(INDEX('Orders Ledger'!$A$2:$A$1501, SMALL(IF(('Orders Ledger'!$J$2:$J$1501="disputed")+('Orders Ledger'!$J$2:$J$1501="PENDING_REVIEW"), ROW('Orders Ledger'!$A$2:$A$1501)-ROW('Orders Ledger'!$A$2)+1), ROW(1426:1426))), "")</f>
        <v/>
      </c>
      <c r="C1484" s="11" t="str">
        <f>IF(B1484="","",_xlfn.XLOOKUP(B1484,'Orders Ledger'!$A:$A,'Orders Ledger'!$B:$B,""))</f>
        <v/>
      </c>
      <c r="D1484" t="str">
        <f>IF(B1484="","",_xlfn.XLOOKUP(B1484,'Orders Ledger'!$A:$A,'Orders Ledger'!$G:$G,""))</f>
        <v/>
      </c>
      <c r="E1484" t="str">
        <f>IF(B1484="","",_xlfn.XLOOKUP(B1484,'Orders Ledger'!$A:$A,'Orders Ledger'!$H:$H,""))</f>
        <v/>
      </c>
      <c r="F1484" t="str">
        <f>IF(B1484="","",_xlfn.XLOOKUP(B1484,'Orders Ledger'!$A:$A,'Orders Ledger'!$F:$F,""))</f>
        <v/>
      </c>
      <c r="G1484" t="str">
        <f>IF(B1484="","",_xlfn.XLOOKUP(B1484,'Orders Ledger'!$A:$A,'Orders Ledger'!$N:$N,0))</f>
        <v/>
      </c>
    </row>
    <row r="1485" spans="2:7" x14ac:dyDescent="0.3">
      <c r="B1485" t="str">
        <f t="array" ref="B1485">IFERROR(INDEX('Orders Ledger'!$A$2:$A$1501, SMALL(IF(('Orders Ledger'!$J$2:$J$1501="disputed")+('Orders Ledger'!$J$2:$J$1501="PENDING_REVIEW"), ROW('Orders Ledger'!$A$2:$A$1501)-ROW('Orders Ledger'!$A$2)+1), ROW(1427:1427))), "")</f>
        <v/>
      </c>
      <c r="C1485" s="11" t="str">
        <f>IF(B1485="","",_xlfn.XLOOKUP(B1485,'Orders Ledger'!$A:$A,'Orders Ledger'!$B:$B,""))</f>
        <v/>
      </c>
      <c r="D1485" t="str">
        <f>IF(B1485="","",_xlfn.XLOOKUP(B1485,'Orders Ledger'!$A:$A,'Orders Ledger'!$G:$G,""))</f>
        <v/>
      </c>
      <c r="E1485" t="str">
        <f>IF(B1485="","",_xlfn.XLOOKUP(B1485,'Orders Ledger'!$A:$A,'Orders Ledger'!$H:$H,""))</f>
        <v/>
      </c>
      <c r="F1485" t="str">
        <f>IF(B1485="","",_xlfn.XLOOKUP(B1485,'Orders Ledger'!$A:$A,'Orders Ledger'!$F:$F,""))</f>
        <v/>
      </c>
      <c r="G1485" t="str">
        <f>IF(B1485="","",_xlfn.XLOOKUP(B1485,'Orders Ledger'!$A:$A,'Orders Ledger'!$N:$N,0))</f>
        <v/>
      </c>
    </row>
    <row r="1486" spans="2:7" x14ac:dyDescent="0.3">
      <c r="B1486" t="str">
        <f t="array" ref="B1486">IFERROR(INDEX('Orders Ledger'!$A$2:$A$1501, SMALL(IF(('Orders Ledger'!$J$2:$J$1501="disputed")+('Orders Ledger'!$J$2:$J$1501="PENDING_REVIEW"), ROW('Orders Ledger'!$A$2:$A$1501)-ROW('Orders Ledger'!$A$2)+1), ROW(1428:1428))), "")</f>
        <v/>
      </c>
      <c r="C1486" s="11" t="str">
        <f>IF(B1486="","",_xlfn.XLOOKUP(B1486,'Orders Ledger'!$A:$A,'Orders Ledger'!$B:$B,""))</f>
        <v/>
      </c>
      <c r="D1486" t="str">
        <f>IF(B1486="","",_xlfn.XLOOKUP(B1486,'Orders Ledger'!$A:$A,'Orders Ledger'!$G:$G,""))</f>
        <v/>
      </c>
      <c r="E1486" t="str">
        <f>IF(B1486="","",_xlfn.XLOOKUP(B1486,'Orders Ledger'!$A:$A,'Orders Ledger'!$H:$H,""))</f>
        <v/>
      </c>
      <c r="F1486" t="str">
        <f>IF(B1486="","",_xlfn.XLOOKUP(B1486,'Orders Ledger'!$A:$A,'Orders Ledger'!$F:$F,""))</f>
        <v/>
      </c>
      <c r="G1486" t="str">
        <f>IF(B1486="","",_xlfn.XLOOKUP(B1486,'Orders Ledger'!$A:$A,'Orders Ledger'!$N:$N,0))</f>
        <v/>
      </c>
    </row>
    <row r="1487" spans="2:7" x14ac:dyDescent="0.3">
      <c r="B1487" t="str">
        <f t="array" ref="B1487">IFERROR(INDEX('Orders Ledger'!$A$2:$A$1501, SMALL(IF(('Orders Ledger'!$J$2:$J$1501="disputed")+('Orders Ledger'!$J$2:$J$1501="PENDING_REVIEW"), ROW('Orders Ledger'!$A$2:$A$1501)-ROW('Orders Ledger'!$A$2)+1), ROW(1429:1429))), "")</f>
        <v/>
      </c>
      <c r="C1487" s="11" t="str">
        <f>IF(B1487="","",_xlfn.XLOOKUP(B1487,'Orders Ledger'!$A:$A,'Orders Ledger'!$B:$B,""))</f>
        <v/>
      </c>
      <c r="D1487" t="str">
        <f>IF(B1487="","",_xlfn.XLOOKUP(B1487,'Orders Ledger'!$A:$A,'Orders Ledger'!$G:$G,""))</f>
        <v/>
      </c>
      <c r="E1487" t="str">
        <f>IF(B1487="","",_xlfn.XLOOKUP(B1487,'Orders Ledger'!$A:$A,'Orders Ledger'!$H:$H,""))</f>
        <v/>
      </c>
      <c r="F1487" t="str">
        <f>IF(B1487="","",_xlfn.XLOOKUP(B1487,'Orders Ledger'!$A:$A,'Orders Ledger'!$F:$F,""))</f>
        <v/>
      </c>
      <c r="G1487" t="str">
        <f>IF(B1487="","",_xlfn.XLOOKUP(B1487,'Orders Ledger'!$A:$A,'Orders Ledger'!$N:$N,0))</f>
        <v/>
      </c>
    </row>
    <row r="1488" spans="2:7" x14ac:dyDescent="0.3">
      <c r="B1488" t="str">
        <f t="array" ref="B1488">IFERROR(INDEX('Orders Ledger'!$A$2:$A$1501, SMALL(IF(('Orders Ledger'!$J$2:$J$1501="disputed")+('Orders Ledger'!$J$2:$J$1501="PENDING_REVIEW"), ROW('Orders Ledger'!$A$2:$A$1501)-ROW('Orders Ledger'!$A$2)+1), ROW(1430:1430))), "")</f>
        <v/>
      </c>
      <c r="C1488" s="11" t="str">
        <f>IF(B1488="","",_xlfn.XLOOKUP(B1488,'Orders Ledger'!$A:$A,'Orders Ledger'!$B:$B,""))</f>
        <v/>
      </c>
      <c r="D1488" t="str">
        <f>IF(B1488="","",_xlfn.XLOOKUP(B1488,'Orders Ledger'!$A:$A,'Orders Ledger'!$G:$G,""))</f>
        <v/>
      </c>
      <c r="E1488" t="str">
        <f>IF(B1488="","",_xlfn.XLOOKUP(B1488,'Orders Ledger'!$A:$A,'Orders Ledger'!$H:$H,""))</f>
        <v/>
      </c>
      <c r="F1488" t="str">
        <f>IF(B1488="","",_xlfn.XLOOKUP(B1488,'Orders Ledger'!$A:$A,'Orders Ledger'!$F:$F,""))</f>
        <v/>
      </c>
      <c r="G1488" t="str">
        <f>IF(B1488="","",_xlfn.XLOOKUP(B1488,'Orders Ledger'!$A:$A,'Orders Ledger'!$N:$N,0))</f>
        <v/>
      </c>
    </row>
    <row r="1489" spans="2:7" x14ac:dyDescent="0.3">
      <c r="B1489" t="str">
        <f t="array" ref="B1489">IFERROR(INDEX('Orders Ledger'!$A$2:$A$1501, SMALL(IF(('Orders Ledger'!$J$2:$J$1501="disputed")+('Orders Ledger'!$J$2:$J$1501="PENDING_REVIEW"), ROW('Orders Ledger'!$A$2:$A$1501)-ROW('Orders Ledger'!$A$2)+1), ROW(1431:1431))), "")</f>
        <v/>
      </c>
      <c r="C1489" s="11" t="str">
        <f>IF(B1489="","",_xlfn.XLOOKUP(B1489,'Orders Ledger'!$A:$A,'Orders Ledger'!$B:$B,""))</f>
        <v/>
      </c>
      <c r="D1489" t="str">
        <f>IF(B1489="","",_xlfn.XLOOKUP(B1489,'Orders Ledger'!$A:$A,'Orders Ledger'!$G:$G,""))</f>
        <v/>
      </c>
      <c r="E1489" t="str">
        <f>IF(B1489="","",_xlfn.XLOOKUP(B1489,'Orders Ledger'!$A:$A,'Orders Ledger'!$H:$H,""))</f>
        <v/>
      </c>
      <c r="F1489" t="str">
        <f>IF(B1489="","",_xlfn.XLOOKUP(B1489,'Orders Ledger'!$A:$A,'Orders Ledger'!$F:$F,""))</f>
        <v/>
      </c>
      <c r="G1489" t="str">
        <f>IF(B1489="","",_xlfn.XLOOKUP(B1489,'Orders Ledger'!$A:$A,'Orders Ledger'!$N:$N,0))</f>
        <v/>
      </c>
    </row>
    <row r="1490" spans="2:7" x14ac:dyDescent="0.3">
      <c r="B1490" t="str">
        <f t="array" ref="B1490">IFERROR(INDEX('Orders Ledger'!$A$2:$A$1501, SMALL(IF(('Orders Ledger'!$J$2:$J$1501="disputed")+('Orders Ledger'!$J$2:$J$1501="PENDING_REVIEW"), ROW('Orders Ledger'!$A$2:$A$1501)-ROW('Orders Ledger'!$A$2)+1), ROW(1432:1432))), "")</f>
        <v/>
      </c>
      <c r="C1490" s="11" t="str">
        <f>IF(B1490="","",_xlfn.XLOOKUP(B1490,'Orders Ledger'!$A:$A,'Orders Ledger'!$B:$B,""))</f>
        <v/>
      </c>
      <c r="D1490" t="str">
        <f>IF(B1490="","",_xlfn.XLOOKUP(B1490,'Orders Ledger'!$A:$A,'Orders Ledger'!$G:$G,""))</f>
        <v/>
      </c>
      <c r="E1490" t="str">
        <f>IF(B1490="","",_xlfn.XLOOKUP(B1490,'Orders Ledger'!$A:$A,'Orders Ledger'!$H:$H,""))</f>
        <v/>
      </c>
      <c r="F1490" t="str">
        <f>IF(B1490="","",_xlfn.XLOOKUP(B1490,'Orders Ledger'!$A:$A,'Orders Ledger'!$F:$F,""))</f>
        <v/>
      </c>
      <c r="G1490" t="str">
        <f>IF(B1490="","",_xlfn.XLOOKUP(B1490,'Orders Ledger'!$A:$A,'Orders Ledger'!$N:$N,0))</f>
        <v/>
      </c>
    </row>
    <row r="1491" spans="2:7" x14ac:dyDescent="0.3">
      <c r="B1491" t="str">
        <f t="array" ref="B1491">IFERROR(INDEX('Orders Ledger'!$A$2:$A$1501, SMALL(IF(('Orders Ledger'!$J$2:$J$1501="disputed")+('Orders Ledger'!$J$2:$J$1501="PENDING_REVIEW"), ROW('Orders Ledger'!$A$2:$A$1501)-ROW('Orders Ledger'!$A$2)+1), ROW(1433:1433))), "")</f>
        <v/>
      </c>
      <c r="C1491" s="11" t="str">
        <f>IF(B1491="","",_xlfn.XLOOKUP(B1491,'Orders Ledger'!$A:$A,'Orders Ledger'!$B:$B,""))</f>
        <v/>
      </c>
      <c r="D1491" t="str">
        <f>IF(B1491="","",_xlfn.XLOOKUP(B1491,'Orders Ledger'!$A:$A,'Orders Ledger'!$G:$G,""))</f>
        <v/>
      </c>
      <c r="E1491" t="str">
        <f>IF(B1491="","",_xlfn.XLOOKUP(B1491,'Orders Ledger'!$A:$A,'Orders Ledger'!$H:$H,""))</f>
        <v/>
      </c>
      <c r="F1491" t="str">
        <f>IF(B1491="","",_xlfn.XLOOKUP(B1491,'Orders Ledger'!$A:$A,'Orders Ledger'!$F:$F,""))</f>
        <v/>
      </c>
      <c r="G1491" t="str">
        <f>IF(B1491="","",_xlfn.XLOOKUP(B1491,'Orders Ledger'!$A:$A,'Orders Ledger'!$N:$N,0))</f>
        <v/>
      </c>
    </row>
    <row r="1492" spans="2:7" x14ac:dyDescent="0.3">
      <c r="B1492" t="str">
        <f t="array" ref="B1492">IFERROR(INDEX('Orders Ledger'!$A$2:$A$1501, SMALL(IF(('Orders Ledger'!$J$2:$J$1501="disputed")+('Orders Ledger'!$J$2:$J$1501="PENDING_REVIEW"), ROW('Orders Ledger'!$A$2:$A$1501)-ROW('Orders Ledger'!$A$2)+1), ROW(1434:1434))), "")</f>
        <v/>
      </c>
      <c r="C1492" s="11" t="str">
        <f>IF(B1492="","",_xlfn.XLOOKUP(B1492,'Orders Ledger'!$A:$A,'Orders Ledger'!$B:$B,""))</f>
        <v/>
      </c>
      <c r="D1492" t="str">
        <f>IF(B1492="","",_xlfn.XLOOKUP(B1492,'Orders Ledger'!$A:$A,'Orders Ledger'!$G:$G,""))</f>
        <v/>
      </c>
      <c r="E1492" t="str">
        <f>IF(B1492="","",_xlfn.XLOOKUP(B1492,'Orders Ledger'!$A:$A,'Orders Ledger'!$H:$H,""))</f>
        <v/>
      </c>
      <c r="F1492" t="str">
        <f>IF(B1492="","",_xlfn.XLOOKUP(B1492,'Orders Ledger'!$A:$A,'Orders Ledger'!$F:$F,""))</f>
        <v/>
      </c>
      <c r="G1492" t="str">
        <f>IF(B1492="","",_xlfn.XLOOKUP(B1492,'Orders Ledger'!$A:$A,'Orders Ledger'!$N:$N,0))</f>
        <v/>
      </c>
    </row>
    <row r="1493" spans="2:7" x14ac:dyDescent="0.3">
      <c r="B1493" t="str">
        <f t="array" ref="B1493">IFERROR(INDEX('Orders Ledger'!$A$2:$A$1501, SMALL(IF(('Orders Ledger'!$J$2:$J$1501="disputed")+('Orders Ledger'!$J$2:$J$1501="PENDING_REVIEW"), ROW('Orders Ledger'!$A$2:$A$1501)-ROW('Orders Ledger'!$A$2)+1), ROW(1435:1435))), "")</f>
        <v/>
      </c>
      <c r="C1493" s="11" t="str">
        <f>IF(B1493="","",_xlfn.XLOOKUP(B1493,'Orders Ledger'!$A:$A,'Orders Ledger'!$B:$B,""))</f>
        <v/>
      </c>
      <c r="D1493" t="str">
        <f>IF(B1493="","",_xlfn.XLOOKUP(B1493,'Orders Ledger'!$A:$A,'Orders Ledger'!$G:$G,""))</f>
        <v/>
      </c>
      <c r="E1493" t="str">
        <f>IF(B1493="","",_xlfn.XLOOKUP(B1493,'Orders Ledger'!$A:$A,'Orders Ledger'!$H:$H,""))</f>
        <v/>
      </c>
      <c r="F1493" t="str">
        <f>IF(B1493="","",_xlfn.XLOOKUP(B1493,'Orders Ledger'!$A:$A,'Orders Ledger'!$F:$F,""))</f>
        <v/>
      </c>
      <c r="G1493" t="str">
        <f>IF(B1493="","",_xlfn.XLOOKUP(B1493,'Orders Ledger'!$A:$A,'Orders Ledger'!$N:$N,0))</f>
        <v/>
      </c>
    </row>
    <row r="1494" spans="2:7" x14ac:dyDescent="0.3">
      <c r="B1494" t="str">
        <f t="array" ref="B1494">IFERROR(INDEX('Orders Ledger'!$A$2:$A$1501, SMALL(IF(('Orders Ledger'!$J$2:$J$1501="disputed")+('Orders Ledger'!$J$2:$J$1501="PENDING_REVIEW"), ROW('Orders Ledger'!$A$2:$A$1501)-ROW('Orders Ledger'!$A$2)+1), ROW(1436:1436))), "")</f>
        <v/>
      </c>
      <c r="C1494" s="11" t="str">
        <f>IF(B1494="","",_xlfn.XLOOKUP(B1494,'Orders Ledger'!$A:$A,'Orders Ledger'!$B:$B,""))</f>
        <v/>
      </c>
      <c r="D1494" t="str">
        <f>IF(B1494="","",_xlfn.XLOOKUP(B1494,'Orders Ledger'!$A:$A,'Orders Ledger'!$G:$G,""))</f>
        <v/>
      </c>
      <c r="E1494" t="str">
        <f>IF(B1494="","",_xlfn.XLOOKUP(B1494,'Orders Ledger'!$A:$A,'Orders Ledger'!$H:$H,""))</f>
        <v/>
      </c>
      <c r="F1494" t="str">
        <f>IF(B1494="","",_xlfn.XLOOKUP(B1494,'Orders Ledger'!$A:$A,'Orders Ledger'!$F:$F,""))</f>
        <v/>
      </c>
      <c r="G1494" t="str">
        <f>IF(B1494="","",_xlfn.XLOOKUP(B1494,'Orders Ledger'!$A:$A,'Orders Ledger'!$N:$N,0))</f>
        <v/>
      </c>
    </row>
    <row r="1495" spans="2:7" x14ac:dyDescent="0.3">
      <c r="B1495" t="str">
        <f t="array" ref="B1495">IFERROR(INDEX('Orders Ledger'!$A$2:$A$1501, SMALL(IF(('Orders Ledger'!$J$2:$J$1501="disputed")+('Orders Ledger'!$J$2:$J$1501="PENDING_REVIEW"), ROW('Orders Ledger'!$A$2:$A$1501)-ROW('Orders Ledger'!$A$2)+1), ROW(1437:1437))), "")</f>
        <v/>
      </c>
      <c r="C1495" s="11" t="str">
        <f>IF(B1495="","",_xlfn.XLOOKUP(B1495,'Orders Ledger'!$A:$A,'Orders Ledger'!$B:$B,""))</f>
        <v/>
      </c>
      <c r="D1495" t="str">
        <f>IF(B1495="","",_xlfn.XLOOKUP(B1495,'Orders Ledger'!$A:$A,'Orders Ledger'!$G:$G,""))</f>
        <v/>
      </c>
      <c r="E1495" t="str">
        <f>IF(B1495="","",_xlfn.XLOOKUP(B1495,'Orders Ledger'!$A:$A,'Orders Ledger'!$H:$H,""))</f>
        <v/>
      </c>
      <c r="F1495" t="str">
        <f>IF(B1495="","",_xlfn.XLOOKUP(B1495,'Orders Ledger'!$A:$A,'Orders Ledger'!$F:$F,""))</f>
        <v/>
      </c>
      <c r="G1495" t="str">
        <f>IF(B1495="","",_xlfn.XLOOKUP(B1495,'Orders Ledger'!$A:$A,'Orders Ledger'!$N:$N,0))</f>
        <v/>
      </c>
    </row>
    <row r="1496" spans="2:7" x14ac:dyDescent="0.3">
      <c r="B1496" t="str">
        <f t="array" ref="B1496">IFERROR(INDEX('Orders Ledger'!$A$2:$A$1501, SMALL(IF(('Orders Ledger'!$J$2:$J$1501="disputed")+('Orders Ledger'!$J$2:$J$1501="PENDING_REVIEW"), ROW('Orders Ledger'!$A$2:$A$1501)-ROW('Orders Ledger'!$A$2)+1), ROW(1438:1438))), "")</f>
        <v/>
      </c>
      <c r="C1496" s="11" t="str">
        <f>IF(B1496="","",_xlfn.XLOOKUP(B1496,'Orders Ledger'!$A:$A,'Orders Ledger'!$B:$B,""))</f>
        <v/>
      </c>
      <c r="D1496" t="str">
        <f>IF(B1496="","",_xlfn.XLOOKUP(B1496,'Orders Ledger'!$A:$A,'Orders Ledger'!$G:$G,""))</f>
        <v/>
      </c>
      <c r="E1496" t="str">
        <f>IF(B1496="","",_xlfn.XLOOKUP(B1496,'Orders Ledger'!$A:$A,'Orders Ledger'!$H:$H,""))</f>
        <v/>
      </c>
      <c r="F1496" t="str">
        <f>IF(B1496="","",_xlfn.XLOOKUP(B1496,'Orders Ledger'!$A:$A,'Orders Ledger'!$F:$F,""))</f>
        <v/>
      </c>
      <c r="G1496" t="str">
        <f>IF(B1496="","",_xlfn.XLOOKUP(B1496,'Orders Ledger'!$A:$A,'Orders Ledger'!$N:$N,0))</f>
        <v/>
      </c>
    </row>
    <row r="1497" spans="2:7" x14ac:dyDescent="0.3">
      <c r="B1497" t="str">
        <f t="array" ref="B1497">IFERROR(INDEX('Orders Ledger'!$A$2:$A$1501, SMALL(IF(('Orders Ledger'!$J$2:$J$1501="disputed")+('Orders Ledger'!$J$2:$J$1501="PENDING_REVIEW"), ROW('Orders Ledger'!$A$2:$A$1501)-ROW('Orders Ledger'!$A$2)+1), ROW(1439:1439))), "")</f>
        <v/>
      </c>
      <c r="C1497" s="11" t="str">
        <f>IF(B1497="","",_xlfn.XLOOKUP(B1497,'Orders Ledger'!$A:$A,'Orders Ledger'!$B:$B,""))</f>
        <v/>
      </c>
      <c r="D1497" t="str">
        <f>IF(B1497="","",_xlfn.XLOOKUP(B1497,'Orders Ledger'!$A:$A,'Orders Ledger'!$G:$G,""))</f>
        <v/>
      </c>
      <c r="E1497" t="str">
        <f>IF(B1497="","",_xlfn.XLOOKUP(B1497,'Orders Ledger'!$A:$A,'Orders Ledger'!$H:$H,""))</f>
        <v/>
      </c>
      <c r="F1497" t="str">
        <f>IF(B1497="","",_xlfn.XLOOKUP(B1497,'Orders Ledger'!$A:$A,'Orders Ledger'!$F:$F,""))</f>
        <v/>
      </c>
      <c r="G1497" t="str">
        <f>IF(B1497="","",_xlfn.XLOOKUP(B1497,'Orders Ledger'!$A:$A,'Orders Ledger'!$N:$N,0))</f>
        <v/>
      </c>
    </row>
    <row r="1498" spans="2:7" x14ac:dyDescent="0.3">
      <c r="B1498" t="str">
        <f t="array" ref="B1498">IFERROR(INDEX('Orders Ledger'!$A$2:$A$1501, SMALL(IF(('Orders Ledger'!$J$2:$J$1501="disputed")+('Orders Ledger'!$J$2:$J$1501="PENDING_REVIEW"), ROW('Orders Ledger'!$A$2:$A$1501)-ROW('Orders Ledger'!$A$2)+1), ROW(1440:1440))), "")</f>
        <v/>
      </c>
      <c r="C1498" s="11" t="str">
        <f>IF(B1498="","",_xlfn.XLOOKUP(B1498,'Orders Ledger'!$A:$A,'Orders Ledger'!$B:$B,""))</f>
        <v/>
      </c>
      <c r="D1498" t="str">
        <f>IF(B1498="","",_xlfn.XLOOKUP(B1498,'Orders Ledger'!$A:$A,'Orders Ledger'!$G:$G,""))</f>
        <v/>
      </c>
      <c r="E1498" t="str">
        <f>IF(B1498="","",_xlfn.XLOOKUP(B1498,'Orders Ledger'!$A:$A,'Orders Ledger'!$H:$H,""))</f>
        <v/>
      </c>
      <c r="F1498" t="str">
        <f>IF(B1498="","",_xlfn.XLOOKUP(B1498,'Orders Ledger'!$A:$A,'Orders Ledger'!$F:$F,""))</f>
        <v/>
      </c>
      <c r="G1498" t="str">
        <f>IF(B1498="","",_xlfn.XLOOKUP(B1498,'Orders Ledger'!$A:$A,'Orders Ledger'!$N:$N,0))</f>
        <v/>
      </c>
    </row>
    <row r="1499" spans="2:7" x14ac:dyDescent="0.3">
      <c r="B1499" t="str">
        <f t="array" ref="B1499">IFERROR(INDEX('Orders Ledger'!$A$2:$A$1501, SMALL(IF(('Orders Ledger'!$J$2:$J$1501="disputed")+('Orders Ledger'!$J$2:$J$1501="PENDING_REVIEW"), ROW('Orders Ledger'!$A$2:$A$1501)-ROW('Orders Ledger'!$A$2)+1), ROW(1441:1441))), "")</f>
        <v/>
      </c>
      <c r="C1499" s="11" t="str">
        <f>IF(B1499="","",_xlfn.XLOOKUP(B1499,'Orders Ledger'!$A:$A,'Orders Ledger'!$B:$B,""))</f>
        <v/>
      </c>
      <c r="D1499" t="str">
        <f>IF(B1499="","",_xlfn.XLOOKUP(B1499,'Orders Ledger'!$A:$A,'Orders Ledger'!$G:$G,""))</f>
        <v/>
      </c>
      <c r="E1499" t="str">
        <f>IF(B1499="","",_xlfn.XLOOKUP(B1499,'Orders Ledger'!$A:$A,'Orders Ledger'!$H:$H,""))</f>
        <v/>
      </c>
      <c r="F1499" t="str">
        <f>IF(B1499="","",_xlfn.XLOOKUP(B1499,'Orders Ledger'!$A:$A,'Orders Ledger'!$F:$F,""))</f>
        <v/>
      </c>
      <c r="G1499" t="str">
        <f>IF(B1499="","",_xlfn.XLOOKUP(B1499,'Orders Ledger'!$A:$A,'Orders Ledger'!$N:$N,0))</f>
        <v/>
      </c>
    </row>
    <row r="1500" spans="2:7" x14ac:dyDescent="0.3">
      <c r="B1500" t="str">
        <f t="array" ref="B1500">IFERROR(INDEX('Orders Ledger'!$A$2:$A$1501, SMALL(IF(('Orders Ledger'!$J$2:$J$1501="disputed")+('Orders Ledger'!$J$2:$J$1501="PENDING_REVIEW"), ROW('Orders Ledger'!$A$2:$A$1501)-ROW('Orders Ledger'!$A$2)+1), ROW(1442:1442))), "")</f>
        <v/>
      </c>
      <c r="C1500" s="11" t="str">
        <f>IF(B1500="","",_xlfn.XLOOKUP(B1500,'Orders Ledger'!$A:$A,'Orders Ledger'!$B:$B,""))</f>
        <v/>
      </c>
      <c r="D1500" t="str">
        <f>IF(B1500="","",_xlfn.XLOOKUP(B1500,'Orders Ledger'!$A:$A,'Orders Ledger'!$G:$G,""))</f>
        <v/>
      </c>
      <c r="E1500" t="str">
        <f>IF(B1500="","",_xlfn.XLOOKUP(B1500,'Orders Ledger'!$A:$A,'Orders Ledger'!$H:$H,""))</f>
        <v/>
      </c>
      <c r="F1500" t="str">
        <f>IF(B1500="","",_xlfn.XLOOKUP(B1500,'Orders Ledger'!$A:$A,'Orders Ledger'!$F:$F,""))</f>
        <v/>
      </c>
      <c r="G1500" t="str">
        <f>IF(B1500="","",_xlfn.XLOOKUP(B1500,'Orders Ledger'!$A:$A,'Orders Ledger'!$N:$N,0))</f>
        <v/>
      </c>
    </row>
    <row r="1501" spans="2:7" x14ac:dyDescent="0.3">
      <c r="B1501" t="str">
        <f t="array" ref="B1501">IFERROR(INDEX('Orders Ledger'!$A$2:$A$1501, SMALL(IF(('Orders Ledger'!$J$2:$J$1501="disputed")+('Orders Ledger'!$J$2:$J$1501="PENDING_REVIEW"), ROW('Orders Ledger'!$A$2:$A$1501)-ROW('Orders Ledger'!$A$2)+1), ROW(1443:1443))), "")</f>
        <v/>
      </c>
      <c r="C1501" s="11" t="str">
        <f>IF(B1501="","",_xlfn.XLOOKUP(B1501,'Orders Ledger'!$A:$A,'Orders Ledger'!$B:$B,""))</f>
        <v/>
      </c>
      <c r="D1501" t="str">
        <f>IF(B1501="","",_xlfn.XLOOKUP(B1501,'Orders Ledger'!$A:$A,'Orders Ledger'!$G:$G,""))</f>
        <v/>
      </c>
      <c r="E1501" t="str">
        <f>IF(B1501="","",_xlfn.XLOOKUP(B1501,'Orders Ledger'!$A:$A,'Orders Ledger'!$H:$H,""))</f>
        <v/>
      </c>
      <c r="F1501" t="str">
        <f>IF(B1501="","",_xlfn.XLOOKUP(B1501,'Orders Ledger'!$A:$A,'Orders Ledger'!$F:$F,""))</f>
        <v/>
      </c>
      <c r="G1501" t="str">
        <f>IF(B1501="","",_xlfn.XLOOKUP(B1501,'Orders Ledger'!$A:$A,'Orders Ledger'!$N:$N,0))</f>
        <v/>
      </c>
    </row>
    <row r="1502" spans="2:7" x14ac:dyDescent="0.3">
      <c r="B1502" t="str">
        <f t="array" ref="B1502">IFERROR(INDEX('Orders Ledger'!$A$2:$A$1501, SMALL(IF(('Orders Ledger'!$J$2:$J$1501="disputed")+('Orders Ledger'!$J$2:$J$1501="PENDING_REVIEW"), ROW('Orders Ledger'!$A$2:$A$1501)-ROW('Orders Ledger'!$A$2)+1), ROW(1444:1444))), "")</f>
        <v/>
      </c>
      <c r="C1502" s="11" t="str">
        <f>IF(B1502="","",_xlfn.XLOOKUP(B1502,'Orders Ledger'!$A:$A,'Orders Ledger'!$B:$B,""))</f>
        <v/>
      </c>
      <c r="D1502" t="str">
        <f>IF(B1502="","",_xlfn.XLOOKUP(B1502,'Orders Ledger'!$A:$A,'Orders Ledger'!$G:$G,""))</f>
        <v/>
      </c>
      <c r="E1502" t="str">
        <f>IF(B1502="","",_xlfn.XLOOKUP(B1502,'Orders Ledger'!$A:$A,'Orders Ledger'!$H:$H,""))</f>
        <v/>
      </c>
      <c r="F1502" t="str">
        <f>IF(B1502="","",_xlfn.XLOOKUP(B1502,'Orders Ledger'!$A:$A,'Orders Ledger'!$F:$F,""))</f>
        <v/>
      </c>
      <c r="G1502" t="str">
        <f>IF(B1502="","",_xlfn.XLOOKUP(B1502,'Orders Ledger'!$A:$A,'Orders Ledger'!$N:$N,0))</f>
        <v/>
      </c>
    </row>
    <row r="1503" spans="2:7" x14ac:dyDescent="0.3">
      <c r="B1503" t="str">
        <f t="array" ref="B1503">IFERROR(INDEX('Orders Ledger'!$A$2:$A$1501, SMALL(IF(('Orders Ledger'!$J$2:$J$1501="disputed")+('Orders Ledger'!$J$2:$J$1501="PENDING_REVIEW"), ROW('Orders Ledger'!$A$2:$A$1501)-ROW('Orders Ledger'!$A$2)+1), ROW(1445:1445))), "")</f>
        <v/>
      </c>
      <c r="C1503" s="11" t="str">
        <f>IF(B1503="","",_xlfn.XLOOKUP(B1503,'Orders Ledger'!$A:$A,'Orders Ledger'!$B:$B,""))</f>
        <v/>
      </c>
      <c r="D1503" t="str">
        <f>IF(B1503="","",_xlfn.XLOOKUP(B1503,'Orders Ledger'!$A:$A,'Orders Ledger'!$G:$G,""))</f>
        <v/>
      </c>
      <c r="E1503" t="str">
        <f>IF(B1503="","",_xlfn.XLOOKUP(B1503,'Orders Ledger'!$A:$A,'Orders Ledger'!$H:$H,""))</f>
        <v/>
      </c>
      <c r="F1503" t="str">
        <f>IF(B1503="","",_xlfn.XLOOKUP(B1503,'Orders Ledger'!$A:$A,'Orders Ledger'!$F:$F,""))</f>
        <v/>
      </c>
      <c r="G1503" t="str">
        <f>IF(B1503="","",_xlfn.XLOOKUP(B1503,'Orders Ledger'!$A:$A,'Orders Ledger'!$N:$N,0))</f>
        <v/>
      </c>
    </row>
    <row r="1504" spans="2:7" x14ac:dyDescent="0.3">
      <c r="B1504" t="str">
        <f t="array" ref="B1504">IFERROR(INDEX('Orders Ledger'!$A$2:$A$1501, SMALL(IF(('Orders Ledger'!$J$2:$J$1501="disputed")+('Orders Ledger'!$J$2:$J$1501="PENDING_REVIEW"), ROW('Orders Ledger'!$A$2:$A$1501)-ROW('Orders Ledger'!$A$2)+1), ROW(1446:1446))), "")</f>
        <v/>
      </c>
      <c r="C1504" s="11" t="str">
        <f>IF(B1504="","",_xlfn.XLOOKUP(B1504,'Orders Ledger'!$A:$A,'Orders Ledger'!$B:$B,""))</f>
        <v/>
      </c>
      <c r="D1504" t="str">
        <f>IF(B1504="","",_xlfn.XLOOKUP(B1504,'Orders Ledger'!$A:$A,'Orders Ledger'!$G:$G,""))</f>
        <v/>
      </c>
      <c r="E1504" t="str">
        <f>IF(B1504="","",_xlfn.XLOOKUP(B1504,'Orders Ledger'!$A:$A,'Orders Ledger'!$H:$H,""))</f>
        <v/>
      </c>
      <c r="F1504" t="str">
        <f>IF(B1504="","",_xlfn.XLOOKUP(B1504,'Orders Ledger'!$A:$A,'Orders Ledger'!$F:$F,""))</f>
        <v/>
      </c>
      <c r="G1504" t="str">
        <f>IF(B1504="","",_xlfn.XLOOKUP(B1504,'Orders Ledger'!$A:$A,'Orders Ledger'!$N:$N,0))</f>
        <v/>
      </c>
    </row>
    <row r="1505" spans="2:7" x14ac:dyDescent="0.3">
      <c r="B1505" t="str">
        <f t="array" ref="B1505">IFERROR(INDEX('Orders Ledger'!$A$2:$A$1501, SMALL(IF(('Orders Ledger'!$J$2:$J$1501="disputed")+('Orders Ledger'!$J$2:$J$1501="PENDING_REVIEW"), ROW('Orders Ledger'!$A$2:$A$1501)-ROW('Orders Ledger'!$A$2)+1), ROW(1447:1447))), "")</f>
        <v/>
      </c>
      <c r="C1505" s="11" t="str">
        <f>IF(B1505="","",_xlfn.XLOOKUP(B1505,'Orders Ledger'!$A:$A,'Orders Ledger'!$B:$B,""))</f>
        <v/>
      </c>
      <c r="D1505" t="str">
        <f>IF(B1505="","",_xlfn.XLOOKUP(B1505,'Orders Ledger'!$A:$A,'Orders Ledger'!$G:$G,""))</f>
        <v/>
      </c>
      <c r="E1505" t="str">
        <f>IF(B1505="","",_xlfn.XLOOKUP(B1505,'Orders Ledger'!$A:$A,'Orders Ledger'!$H:$H,""))</f>
        <v/>
      </c>
      <c r="F1505" t="str">
        <f>IF(B1505="","",_xlfn.XLOOKUP(B1505,'Orders Ledger'!$A:$A,'Orders Ledger'!$F:$F,""))</f>
        <v/>
      </c>
      <c r="G1505" t="str">
        <f>IF(B1505="","",_xlfn.XLOOKUP(B1505,'Orders Ledger'!$A:$A,'Orders Ledger'!$N:$N,0))</f>
        <v/>
      </c>
    </row>
    <row r="1506" spans="2:7" x14ac:dyDescent="0.3">
      <c r="B1506" t="str">
        <f t="array" ref="B1506">IFERROR(INDEX('Orders Ledger'!$A$2:$A$1501, SMALL(IF(('Orders Ledger'!$J$2:$J$1501="disputed")+('Orders Ledger'!$J$2:$J$1501="PENDING_REVIEW"), ROW('Orders Ledger'!$A$2:$A$1501)-ROW('Orders Ledger'!$A$2)+1), ROW(1448:1448))), "")</f>
        <v/>
      </c>
      <c r="C1506" s="11" t="str">
        <f>IF(B1506="","",_xlfn.XLOOKUP(B1506,'Orders Ledger'!$A:$A,'Orders Ledger'!$B:$B,""))</f>
        <v/>
      </c>
      <c r="D1506" t="str">
        <f>IF(B1506="","",_xlfn.XLOOKUP(B1506,'Orders Ledger'!$A:$A,'Orders Ledger'!$G:$G,""))</f>
        <v/>
      </c>
      <c r="E1506" t="str">
        <f>IF(B1506="","",_xlfn.XLOOKUP(B1506,'Orders Ledger'!$A:$A,'Orders Ledger'!$H:$H,""))</f>
        <v/>
      </c>
      <c r="F1506" t="str">
        <f>IF(B1506="","",_xlfn.XLOOKUP(B1506,'Orders Ledger'!$A:$A,'Orders Ledger'!$F:$F,""))</f>
        <v/>
      </c>
      <c r="G1506" t="str">
        <f>IF(B1506="","",_xlfn.XLOOKUP(B1506,'Orders Ledger'!$A:$A,'Orders Ledger'!$N:$N,0))</f>
        <v/>
      </c>
    </row>
    <row r="1507" spans="2:7" x14ac:dyDescent="0.3">
      <c r="B1507" t="str">
        <f t="array" ref="B1507">IFERROR(INDEX('Orders Ledger'!$A$2:$A$1501, SMALL(IF(('Orders Ledger'!$J$2:$J$1501="disputed")+('Orders Ledger'!$J$2:$J$1501="PENDING_REVIEW"), ROW('Orders Ledger'!$A$2:$A$1501)-ROW('Orders Ledger'!$A$2)+1), ROW(1449:1449))), "")</f>
        <v/>
      </c>
      <c r="C1507" s="11" t="str">
        <f>IF(B1507="","",_xlfn.XLOOKUP(B1507,'Orders Ledger'!$A:$A,'Orders Ledger'!$B:$B,""))</f>
        <v/>
      </c>
      <c r="D1507" t="str">
        <f>IF(B1507="","",_xlfn.XLOOKUP(B1507,'Orders Ledger'!$A:$A,'Orders Ledger'!$G:$G,""))</f>
        <v/>
      </c>
      <c r="E1507" t="str">
        <f>IF(B1507="","",_xlfn.XLOOKUP(B1507,'Orders Ledger'!$A:$A,'Orders Ledger'!$H:$H,""))</f>
        <v/>
      </c>
      <c r="F1507" t="str">
        <f>IF(B1507="","",_xlfn.XLOOKUP(B1507,'Orders Ledger'!$A:$A,'Orders Ledger'!$F:$F,""))</f>
        <v/>
      </c>
      <c r="G1507" t="str">
        <f>IF(B1507="","",_xlfn.XLOOKUP(B1507,'Orders Ledger'!$A:$A,'Orders Ledger'!$N:$N,0))</f>
        <v/>
      </c>
    </row>
    <row r="1508" spans="2:7" x14ac:dyDescent="0.3">
      <c r="B1508" t="str">
        <f t="array" ref="B1508">IFERROR(INDEX('Orders Ledger'!$A$2:$A$1501, SMALL(IF(('Orders Ledger'!$J$2:$J$1501="disputed")+('Orders Ledger'!$J$2:$J$1501="PENDING_REVIEW"), ROW('Orders Ledger'!$A$2:$A$1501)-ROW('Orders Ledger'!$A$2)+1), ROW(1450:1450))), "")</f>
        <v/>
      </c>
      <c r="C1508" s="11" t="str">
        <f>IF(B1508="","",_xlfn.XLOOKUP(B1508,'Orders Ledger'!$A:$A,'Orders Ledger'!$B:$B,""))</f>
        <v/>
      </c>
      <c r="D1508" t="str">
        <f>IF(B1508="","",_xlfn.XLOOKUP(B1508,'Orders Ledger'!$A:$A,'Orders Ledger'!$G:$G,""))</f>
        <v/>
      </c>
      <c r="E1508" t="str">
        <f>IF(B1508="","",_xlfn.XLOOKUP(B1508,'Orders Ledger'!$A:$A,'Orders Ledger'!$H:$H,""))</f>
        <v/>
      </c>
      <c r="F1508" t="str">
        <f>IF(B1508="","",_xlfn.XLOOKUP(B1508,'Orders Ledger'!$A:$A,'Orders Ledger'!$F:$F,""))</f>
        <v/>
      </c>
      <c r="G1508" t="str">
        <f>IF(B1508="","",_xlfn.XLOOKUP(B1508,'Orders Ledger'!$A:$A,'Orders Ledger'!$N:$N,0))</f>
        <v/>
      </c>
    </row>
    <row r="1509" spans="2:7" x14ac:dyDescent="0.3">
      <c r="B1509" t="str">
        <f t="array" ref="B1509">IFERROR(INDEX('Orders Ledger'!$A$2:$A$1501, SMALL(IF(('Orders Ledger'!$J$2:$J$1501="disputed")+('Orders Ledger'!$J$2:$J$1501="PENDING_REVIEW"), ROW('Orders Ledger'!$A$2:$A$1501)-ROW('Orders Ledger'!$A$2)+1), ROW(1451:1451))), "")</f>
        <v/>
      </c>
      <c r="C1509" s="11" t="str">
        <f>IF(B1509="","",_xlfn.XLOOKUP(B1509,'Orders Ledger'!$A:$A,'Orders Ledger'!$B:$B,""))</f>
        <v/>
      </c>
      <c r="D1509" t="str">
        <f>IF(B1509="","",_xlfn.XLOOKUP(B1509,'Orders Ledger'!$A:$A,'Orders Ledger'!$G:$G,""))</f>
        <v/>
      </c>
      <c r="E1509" t="str">
        <f>IF(B1509="","",_xlfn.XLOOKUP(B1509,'Orders Ledger'!$A:$A,'Orders Ledger'!$H:$H,""))</f>
        <v/>
      </c>
      <c r="F1509" t="str">
        <f>IF(B1509="","",_xlfn.XLOOKUP(B1509,'Orders Ledger'!$A:$A,'Orders Ledger'!$F:$F,""))</f>
        <v/>
      </c>
      <c r="G1509" t="str">
        <f>IF(B1509="","",_xlfn.XLOOKUP(B1509,'Orders Ledger'!$A:$A,'Orders Ledger'!$N:$N,0))</f>
        <v/>
      </c>
    </row>
    <row r="1510" spans="2:7" x14ac:dyDescent="0.3">
      <c r="B1510" t="str">
        <f t="array" ref="B1510">IFERROR(INDEX('Orders Ledger'!$A$2:$A$1501, SMALL(IF(('Orders Ledger'!$J$2:$J$1501="disputed")+('Orders Ledger'!$J$2:$J$1501="PENDING_REVIEW"), ROW('Orders Ledger'!$A$2:$A$1501)-ROW('Orders Ledger'!$A$2)+1), ROW(1452:1452))), "")</f>
        <v/>
      </c>
      <c r="C1510" s="11" t="str">
        <f>IF(B1510="","",_xlfn.XLOOKUP(B1510,'Orders Ledger'!$A:$A,'Orders Ledger'!$B:$B,""))</f>
        <v/>
      </c>
      <c r="D1510" t="str">
        <f>IF(B1510="","",_xlfn.XLOOKUP(B1510,'Orders Ledger'!$A:$A,'Orders Ledger'!$G:$G,""))</f>
        <v/>
      </c>
      <c r="E1510" t="str">
        <f>IF(B1510="","",_xlfn.XLOOKUP(B1510,'Orders Ledger'!$A:$A,'Orders Ledger'!$H:$H,""))</f>
        <v/>
      </c>
      <c r="F1510" t="str">
        <f>IF(B1510="","",_xlfn.XLOOKUP(B1510,'Orders Ledger'!$A:$A,'Orders Ledger'!$F:$F,""))</f>
        <v/>
      </c>
      <c r="G1510" t="str">
        <f>IF(B1510="","",_xlfn.XLOOKUP(B1510,'Orders Ledger'!$A:$A,'Orders Ledger'!$N:$N,0))</f>
        <v/>
      </c>
    </row>
    <row r="1511" spans="2:7" x14ac:dyDescent="0.3">
      <c r="B1511" t="str">
        <f t="array" ref="B1511">IFERROR(INDEX('Orders Ledger'!$A$2:$A$1501, SMALL(IF(('Orders Ledger'!$J$2:$J$1501="disputed")+('Orders Ledger'!$J$2:$J$1501="PENDING_REVIEW"), ROW('Orders Ledger'!$A$2:$A$1501)-ROW('Orders Ledger'!$A$2)+1), ROW(1453:1453))), "")</f>
        <v/>
      </c>
      <c r="C1511" s="11" t="str">
        <f>IF(B1511="","",_xlfn.XLOOKUP(B1511,'Orders Ledger'!$A:$A,'Orders Ledger'!$B:$B,""))</f>
        <v/>
      </c>
      <c r="D1511" t="str">
        <f>IF(B1511="","",_xlfn.XLOOKUP(B1511,'Orders Ledger'!$A:$A,'Orders Ledger'!$G:$G,""))</f>
        <v/>
      </c>
      <c r="E1511" t="str">
        <f>IF(B1511="","",_xlfn.XLOOKUP(B1511,'Orders Ledger'!$A:$A,'Orders Ledger'!$H:$H,""))</f>
        <v/>
      </c>
      <c r="F1511" t="str">
        <f>IF(B1511="","",_xlfn.XLOOKUP(B1511,'Orders Ledger'!$A:$A,'Orders Ledger'!$F:$F,""))</f>
        <v/>
      </c>
      <c r="G1511" t="str">
        <f>IF(B1511="","",_xlfn.XLOOKUP(B1511,'Orders Ledger'!$A:$A,'Orders Ledger'!$N:$N,0))</f>
        <v/>
      </c>
    </row>
    <row r="1512" spans="2:7" x14ac:dyDescent="0.3">
      <c r="B1512" t="str">
        <f t="array" ref="B1512">IFERROR(INDEX('Orders Ledger'!$A$2:$A$1501, SMALL(IF(('Orders Ledger'!$J$2:$J$1501="disputed")+('Orders Ledger'!$J$2:$J$1501="PENDING_REVIEW"), ROW('Orders Ledger'!$A$2:$A$1501)-ROW('Orders Ledger'!$A$2)+1), ROW(1454:1454))), "")</f>
        <v/>
      </c>
      <c r="C1512" s="11" t="str">
        <f>IF(B1512="","",_xlfn.XLOOKUP(B1512,'Orders Ledger'!$A:$A,'Orders Ledger'!$B:$B,""))</f>
        <v/>
      </c>
      <c r="D1512" t="str">
        <f>IF(B1512="","",_xlfn.XLOOKUP(B1512,'Orders Ledger'!$A:$A,'Orders Ledger'!$G:$G,""))</f>
        <v/>
      </c>
      <c r="E1512" t="str">
        <f>IF(B1512="","",_xlfn.XLOOKUP(B1512,'Orders Ledger'!$A:$A,'Orders Ledger'!$H:$H,""))</f>
        <v/>
      </c>
      <c r="F1512" t="str">
        <f>IF(B1512="","",_xlfn.XLOOKUP(B1512,'Orders Ledger'!$A:$A,'Orders Ledger'!$F:$F,""))</f>
        <v/>
      </c>
      <c r="G1512" t="str">
        <f>IF(B1512="","",_xlfn.XLOOKUP(B1512,'Orders Ledger'!$A:$A,'Orders Ledger'!$N:$N,0))</f>
        <v/>
      </c>
    </row>
    <row r="1513" spans="2:7" x14ac:dyDescent="0.3">
      <c r="B1513" t="str">
        <f t="array" ref="B1513">IFERROR(INDEX('Orders Ledger'!$A$2:$A$1501, SMALL(IF(('Orders Ledger'!$J$2:$J$1501="disputed")+('Orders Ledger'!$J$2:$J$1501="PENDING_REVIEW"), ROW('Orders Ledger'!$A$2:$A$1501)-ROW('Orders Ledger'!$A$2)+1), ROW(1455:1455))), "")</f>
        <v/>
      </c>
      <c r="C1513" s="11" t="str">
        <f>IF(B1513="","",_xlfn.XLOOKUP(B1513,'Orders Ledger'!$A:$A,'Orders Ledger'!$B:$B,""))</f>
        <v/>
      </c>
      <c r="D1513" t="str">
        <f>IF(B1513="","",_xlfn.XLOOKUP(B1513,'Orders Ledger'!$A:$A,'Orders Ledger'!$G:$G,""))</f>
        <v/>
      </c>
      <c r="E1513" t="str">
        <f>IF(B1513="","",_xlfn.XLOOKUP(B1513,'Orders Ledger'!$A:$A,'Orders Ledger'!$H:$H,""))</f>
        <v/>
      </c>
      <c r="F1513" t="str">
        <f>IF(B1513="","",_xlfn.XLOOKUP(B1513,'Orders Ledger'!$A:$A,'Orders Ledger'!$F:$F,""))</f>
        <v/>
      </c>
      <c r="G1513" t="str">
        <f>IF(B1513="","",_xlfn.XLOOKUP(B1513,'Orders Ledger'!$A:$A,'Orders Ledger'!$N:$N,0))</f>
        <v/>
      </c>
    </row>
    <row r="1514" spans="2:7" x14ac:dyDescent="0.3">
      <c r="B1514" t="str">
        <f t="array" ref="B1514">IFERROR(INDEX('Orders Ledger'!$A$2:$A$1501, SMALL(IF(('Orders Ledger'!$J$2:$J$1501="disputed")+('Orders Ledger'!$J$2:$J$1501="PENDING_REVIEW"), ROW('Orders Ledger'!$A$2:$A$1501)-ROW('Orders Ledger'!$A$2)+1), ROW(1456:1456))), "")</f>
        <v/>
      </c>
      <c r="C1514" s="11" t="str">
        <f>IF(B1514="","",_xlfn.XLOOKUP(B1514,'Orders Ledger'!$A:$A,'Orders Ledger'!$B:$B,""))</f>
        <v/>
      </c>
      <c r="D1514" t="str">
        <f>IF(B1514="","",_xlfn.XLOOKUP(B1514,'Orders Ledger'!$A:$A,'Orders Ledger'!$G:$G,""))</f>
        <v/>
      </c>
      <c r="E1514" t="str">
        <f>IF(B1514="","",_xlfn.XLOOKUP(B1514,'Orders Ledger'!$A:$A,'Orders Ledger'!$H:$H,""))</f>
        <v/>
      </c>
      <c r="F1514" t="str">
        <f>IF(B1514="","",_xlfn.XLOOKUP(B1514,'Orders Ledger'!$A:$A,'Orders Ledger'!$F:$F,""))</f>
        <v/>
      </c>
      <c r="G1514" t="str">
        <f>IF(B1514="","",_xlfn.XLOOKUP(B1514,'Orders Ledger'!$A:$A,'Orders Ledger'!$N:$N,0))</f>
        <v/>
      </c>
    </row>
    <row r="1515" spans="2:7" x14ac:dyDescent="0.3">
      <c r="B1515" t="str">
        <f t="array" ref="B1515">IFERROR(INDEX('Orders Ledger'!$A$2:$A$1501, SMALL(IF(('Orders Ledger'!$J$2:$J$1501="disputed")+('Orders Ledger'!$J$2:$J$1501="PENDING_REVIEW"), ROW('Orders Ledger'!$A$2:$A$1501)-ROW('Orders Ledger'!$A$2)+1), ROW(1457:1457))), "")</f>
        <v/>
      </c>
      <c r="C1515" s="11" t="str">
        <f>IF(B1515="","",_xlfn.XLOOKUP(B1515,'Orders Ledger'!$A:$A,'Orders Ledger'!$B:$B,""))</f>
        <v/>
      </c>
      <c r="D1515" t="str">
        <f>IF(B1515="","",_xlfn.XLOOKUP(B1515,'Orders Ledger'!$A:$A,'Orders Ledger'!$G:$G,""))</f>
        <v/>
      </c>
      <c r="E1515" t="str">
        <f>IF(B1515="","",_xlfn.XLOOKUP(B1515,'Orders Ledger'!$A:$A,'Orders Ledger'!$H:$H,""))</f>
        <v/>
      </c>
      <c r="F1515" t="str">
        <f>IF(B1515="","",_xlfn.XLOOKUP(B1515,'Orders Ledger'!$A:$A,'Orders Ledger'!$F:$F,""))</f>
        <v/>
      </c>
      <c r="G1515" t="str">
        <f>IF(B1515="","",_xlfn.XLOOKUP(B1515,'Orders Ledger'!$A:$A,'Orders Ledger'!$N:$N,0))</f>
        <v/>
      </c>
    </row>
    <row r="1516" spans="2:7" x14ac:dyDescent="0.3">
      <c r="B1516" t="str">
        <f t="array" ref="B1516">IFERROR(INDEX('Orders Ledger'!$A$2:$A$1501, SMALL(IF(('Orders Ledger'!$J$2:$J$1501="disputed")+('Orders Ledger'!$J$2:$J$1501="PENDING_REVIEW"), ROW('Orders Ledger'!$A$2:$A$1501)-ROW('Orders Ledger'!$A$2)+1), ROW(1458:1458))), "")</f>
        <v/>
      </c>
      <c r="C1516" s="11" t="str">
        <f>IF(B1516="","",_xlfn.XLOOKUP(B1516,'Orders Ledger'!$A:$A,'Orders Ledger'!$B:$B,""))</f>
        <v/>
      </c>
      <c r="D1516" t="str">
        <f>IF(B1516="","",_xlfn.XLOOKUP(B1516,'Orders Ledger'!$A:$A,'Orders Ledger'!$G:$G,""))</f>
        <v/>
      </c>
      <c r="E1516" t="str">
        <f>IF(B1516="","",_xlfn.XLOOKUP(B1516,'Orders Ledger'!$A:$A,'Orders Ledger'!$H:$H,""))</f>
        <v/>
      </c>
      <c r="F1516" t="str">
        <f>IF(B1516="","",_xlfn.XLOOKUP(B1516,'Orders Ledger'!$A:$A,'Orders Ledger'!$F:$F,""))</f>
        <v/>
      </c>
      <c r="G1516" t="str">
        <f>IF(B1516="","",_xlfn.XLOOKUP(B1516,'Orders Ledger'!$A:$A,'Orders Ledger'!$N:$N,0))</f>
        <v/>
      </c>
    </row>
    <row r="1517" spans="2:7" x14ac:dyDescent="0.3">
      <c r="B1517" t="str">
        <f t="array" ref="B1517">IFERROR(INDEX('Orders Ledger'!$A$2:$A$1501, SMALL(IF(('Orders Ledger'!$J$2:$J$1501="disputed")+('Orders Ledger'!$J$2:$J$1501="PENDING_REVIEW"), ROW('Orders Ledger'!$A$2:$A$1501)-ROW('Orders Ledger'!$A$2)+1), ROW(1459:1459))), "")</f>
        <v/>
      </c>
      <c r="C1517" s="11" t="str">
        <f>IF(B1517="","",_xlfn.XLOOKUP(B1517,'Orders Ledger'!$A:$A,'Orders Ledger'!$B:$B,""))</f>
        <v/>
      </c>
      <c r="D1517" t="str">
        <f>IF(B1517="","",_xlfn.XLOOKUP(B1517,'Orders Ledger'!$A:$A,'Orders Ledger'!$G:$G,""))</f>
        <v/>
      </c>
      <c r="E1517" t="str">
        <f>IF(B1517="","",_xlfn.XLOOKUP(B1517,'Orders Ledger'!$A:$A,'Orders Ledger'!$H:$H,""))</f>
        <v/>
      </c>
      <c r="F1517" t="str">
        <f>IF(B1517="","",_xlfn.XLOOKUP(B1517,'Orders Ledger'!$A:$A,'Orders Ledger'!$F:$F,""))</f>
        <v/>
      </c>
      <c r="G1517" t="str">
        <f>IF(B1517="","",_xlfn.XLOOKUP(B1517,'Orders Ledger'!$A:$A,'Orders Ledger'!$N:$N,0))</f>
        <v/>
      </c>
    </row>
    <row r="1518" spans="2:7" x14ac:dyDescent="0.3">
      <c r="B1518" t="str">
        <f t="array" ref="B1518">IFERROR(INDEX('Orders Ledger'!$A$2:$A$1501, SMALL(IF(('Orders Ledger'!$J$2:$J$1501="disputed")+('Orders Ledger'!$J$2:$J$1501="PENDING_REVIEW"), ROW('Orders Ledger'!$A$2:$A$1501)-ROW('Orders Ledger'!$A$2)+1), ROW(1460:1460))), "")</f>
        <v/>
      </c>
      <c r="C1518" s="11" t="str">
        <f>IF(B1518="","",_xlfn.XLOOKUP(B1518,'Orders Ledger'!$A:$A,'Orders Ledger'!$B:$B,""))</f>
        <v/>
      </c>
      <c r="D1518" t="str">
        <f>IF(B1518="","",_xlfn.XLOOKUP(B1518,'Orders Ledger'!$A:$A,'Orders Ledger'!$G:$G,""))</f>
        <v/>
      </c>
      <c r="E1518" t="str">
        <f>IF(B1518="","",_xlfn.XLOOKUP(B1518,'Orders Ledger'!$A:$A,'Orders Ledger'!$H:$H,""))</f>
        <v/>
      </c>
      <c r="F1518" t="str">
        <f>IF(B1518="","",_xlfn.XLOOKUP(B1518,'Orders Ledger'!$A:$A,'Orders Ledger'!$F:$F,""))</f>
        <v/>
      </c>
      <c r="G1518" t="str">
        <f>IF(B1518="","",_xlfn.XLOOKUP(B1518,'Orders Ledger'!$A:$A,'Orders Ledger'!$N:$N,0))</f>
        <v/>
      </c>
    </row>
    <row r="1519" spans="2:7" x14ac:dyDescent="0.3">
      <c r="B1519" t="str">
        <f t="array" ref="B1519">IFERROR(INDEX('Orders Ledger'!$A$2:$A$1501, SMALL(IF(('Orders Ledger'!$J$2:$J$1501="disputed")+('Orders Ledger'!$J$2:$J$1501="PENDING_REVIEW"), ROW('Orders Ledger'!$A$2:$A$1501)-ROW('Orders Ledger'!$A$2)+1), ROW(1461:1461))), "")</f>
        <v/>
      </c>
      <c r="C1519" s="11" t="str">
        <f>IF(B1519="","",_xlfn.XLOOKUP(B1519,'Orders Ledger'!$A:$A,'Orders Ledger'!$B:$B,""))</f>
        <v/>
      </c>
      <c r="D1519" t="str">
        <f>IF(B1519="","",_xlfn.XLOOKUP(B1519,'Orders Ledger'!$A:$A,'Orders Ledger'!$G:$G,""))</f>
        <v/>
      </c>
      <c r="E1519" t="str">
        <f>IF(B1519="","",_xlfn.XLOOKUP(B1519,'Orders Ledger'!$A:$A,'Orders Ledger'!$H:$H,""))</f>
        <v/>
      </c>
      <c r="F1519" t="str">
        <f>IF(B1519="","",_xlfn.XLOOKUP(B1519,'Orders Ledger'!$A:$A,'Orders Ledger'!$F:$F,""))</f>
        <v/>
      </c>
      <c r="G1519" t="str">
        <f>IF(B1519="","",_xlfn.XLOOKUP(B1519,'Orders Ledger'!$A:$A,'Orders Ledger'!$N:$N,0))</f>
        <v/>
      </c>
    </row>
    <row r="1520" spans="2:7" x14ac:dyDescent="0.3">
      <c r="B1520" t="str">
        <f t="array" ref="B1520">IFERROR(INDEX('Orders Ledger'!$A$2:$A$1501, SMALL(IF(('Orders Ledger'!$J$2:$J$1501="disputed")+('Orders Ledger'!$J$2:$J$1501="PENDING_REVIEW"), ROW('Orders Ledger'!$A$2:$A$1501)-ROW('Orders Ledger'!$A$2)+1), ROW(1462:1462))), "")</f>
        <v/>
      </c>
      <c r="C1520" s="11" t="str">
        <f>IF(B1520="","",_xlfn.XLOOKUP(B1520,'Orders Ledger'!$A:$A,'Orders Ledger'!$B:$B,""))</f>
        <v/>
      </c>
      <c r="D1520" t="str">
        <f>IF(B1520="","",_xlfn.XLOOKUP(B1520,'Orders Ledger'!$A:$A,'Orders Ledger'!$G:$G,""))</f>
        <v/>
      </c>
      <c r="E1520" t="str">
        <f>IF(B1520="","",_xlfn.XLOOKUP(B1520,'Orders Ledger'!$A:$A,'Orders Ledger'!$H:$H,""))</f>
        <v/>
      </c>
      <c r="F1520" t="str">
        <f>IF(B1520="","",_xlfn.XLOOKUP(B1520,'Orders Ledger'!$A:$A,'Orders Ledger'!$F:$F,""))</f>
        <v/>
      </c>
      <c r="G1520" t="str">
        <f>IF(B1520="","",_xlfn.XLOOKUP(B1520,'Orders Ledger'!$A:$A,'Orders Ledger'!$N:$N,0))</f>
        <v/>
      </c>
    </row>
    <row r="1521" spans="2:7" x14ac:dyDescent="0.3">
      <c r="B1521" t="str">
        <f t="array" ref="B1521">IFERROR(INDEX('Orders Ledger'!$A$2:$A$1501, SMALL(IF(('Orders Ledger'!$J$2:$J$1501="disputed")+('Orders Ledger'!$J$2:$J$1501="PENDING_REVIEW"), ROW('Orders Ledger'!$A$2:$A$1501)-ROW('Orders Ledger'!$A$2)+1), ROW(1463:1463))), "")</f>
        <v/>
      </c>
      <c r="C1521" s="11" t="str">
        <f>IF(B1521="","",_xlfn.XLOOKUP(B1521,'Orders Ledger'!$A:$A,'Orders Ledger'!$B:$B,""))</f>
        <v/>
      </c>
      <c r="D1521" t="str">
        <f>IF(B1521="","",_xlfn.XLOOKUP(B1521,'Orders Ledger'!$A:$A,'Orders Ledger'!$G:$G,""))</f>
        <v/>
      </c>
      <c r="E1521" t="str">
        <f>IF(B1521="","",_xlfn.XLOOKUP(B1521,'Orders Ledger'!$A:$A,'Orders Ledger'!$H:$H,""))</f>
        <v/>
      </c>
      <c r="F1521" t="str">
        <f>IF(B1521="","",_xlfn.XLOOKUP(B1521,'Orders Ledger'!$A:$A,'Orders Ledger'!$F:$F,""))</f>
        <v/>
      </c>
      <c r="G1521" t="str">
        <f>IF(B1521="","",_xlfn.XLOOKUP(B1521,'Orders Ledger'!$A:$A,'Orders Ledger'!$N:$N,0))</f>
        <v/>
      </c>
    </row>
    <row r="1522" spans="2:7" x14ac:dyDescent="0.3">
      <c r="B1522" t="str">
        <f t="array" ref="B1522">IFERROR(INDEX('Orders Ledger'!$A$2:$A$1501, SMALL(IF(('Orders Ledger'!$J$2:$J$1501="disputed")+('Orders Ledger'!$J$2:$J$1501="PENDING_REVIEW"), ROW('Orders Ledger'!$A$2:$A$1501)-ROW('Orders Ledger'!$A$2)+1), ROW(1464:1464))), "")</f>
        <v/>
      </c>
      <c r="C1522" s="11" t="str">
        <f>IF(B1522="","",_xlfn.XLOOKUP(B1522,'Orders Ledger'!$A:$A,'Orders Ledger'!$B:$B,""))</f>
        <v/>
      </c>
      <c r="D1522" t="str">
        <f>IF(B1522="","",_xlfn.XLOOKUP(B1522,'Orders Ledger'!$A:$A,'Orders Ledger'!$G:$G,""))</f>
        <v/>
      </c>
      <c r="E1522" t="str">
        <f>IF(B1522="","",_xlfn.XLOOKUP(B1522,'Orders Ledger'!$A:$A,'Orders Ledger'!$H:$H,""))</f>
        <v/>
      </c>
      <c r="F1522" t="str">
        <f>IF(B1522="","",_xlfn.XLOOKUP(B1522,'Orders Ledger'!$A:$A,'Orders Ledger'!$F:$F,""))</f>
        <v/>
      </c>
      <c r="G1522" t="str">
        <f>IF(B1522="","",_xlfn.XLOOKUP(B1522,'Orders Ledger'!$A:$A,'Orders Ledger'!$N:$N,0))</f>
        <v/>
      </c>
    </row>
    <row r="1523" spans="2:7" x14ac:dyDescent="0.3">
      <c r="B1523" t="str">
        <f t="array" ref="B1523">IFERROR(INDEX('Orders Ledger'!$A$2:$A$1501, SMALL(IF(('Orders Ledger'!$J$2:$J$1501="disputed")+('Orders Ledger'!$J$2:$J$1501="PENDING_REVIEW"), ROW('Orders Ledger'!$A$2:$A$1501)-ROW('Orders Ledger'!$A$2)+1), ROW(1465:1465))), "")</f>
        <v/>
      </c>
      <c r="C1523" s="11" t="str">
        <f>IF(B1523="","",_xlfn.XLOOKUP(B1523,'Orders Ledger'!$A:$A,'Orders Ledger'!$B:$B,""))</f>
        <v/>
      </c>
      <c r="D1523" t="str">
        <f>IF(B1523="","",_xlfn.XLOOKUP(B1523,'Orders Ledger'!$A:$A,'Orders Ledger'!$G:$G,""))</f>
        <v/>
      </c>
      <c r="E1523" t="str">
        <f>IF(B1523="","",_xlfn.XLOOKUP(B1523,'Orders Ledger'!$A:$A,'Orders Ledger'!$H:$H,""))</f>
        <v/>
      </c>
      <c r="F1523" t="str">
        <f>IF(B1523="","",_xlfn.XLOOKUP(B1523,'Orders Ledger'!$A:$A,'Orders Ledger'!$F:$F,""))</f>
        <v/>
      </c>
      <c r="G1523" t="str">
        <f>IF(B1523="","",_xlfn.XLOOKUP(B1523,'Orders Ledger'!$A:$A,'Orders Ledger'!$N:$N,0))</f>
        <v/>
      </c>
    </row>
    <row r="1524" spans="2:7" x14ac:dyDescent="0.3">
      <c r="B1524" t="str">
        <f t="array" ref="B1524">IFERROR(INDEX('Orders Ledger'!$A$2:$A$1501, SMALL(IF(('Orders Ledger'!$J$2:$J$1501="disputed")+('Orders Ledger'!$J$2:$J$1501="PENDING_REVIEW"), ROW('Orders Ledger'!$A$2:$A$1501)-ROW('Orders Ledger'!$A$2)+1), ROW(1466:1466))), "")</f>
        <v/>
      </c>
      <c r="C1524" s="11" t="str">
        <f>IF(B1524="","",_xlfn.XLOOKUP(B1524,'Orders Ledger'!$A:$A,'Orders Ledger'!$B:$B,""))</f>
        <v/>
      </c>
      <c r="D1524" t="str">
        <f>IF(B1524="","",_xlfn.XLOOKUP(B1524,'Orders Ledger'!$A:$A,'Orders Ledger'!$G:$G,""))</f>
        <v/>
      </c>
      <c r="E1524" t="str">
        <f>IF(B1524="","",_xlfn.XLOOKUP(B1524,'Orders Ledger'!$A:$A,'Orders Ledger'!$H:$H,""))</f>
        <v/>
      </c>
      <c r="F1524" t="str">
        <f>IF(B1524="","",_xlfn.XLOOKUP(B1524,'Orders Ledger'!$A:$A,'Orders Ledger'!$F:$F,""))</f>
        <v/>
      </c>
      <c r="G1524" t="str">
        <f>IF(B1524="","",_xlfn.XLOOKUP(B1524,'Orders Ledger'!$A:$A,'Orders Ledger'!$N:$N,0))</f>
        <v/>
      </c>
    </row>
    <row r="1525" spans="2:7" x14ac:dyDescent="0.3">
      <c r="B1525" t="str">
        <f t="array" ref="B1525">IFERROR(INDEX('Orders Ledger'!$A$2:$A$1501, SMALL(IF(('Orders Ledger'!$J$2:$J$1501="disputed")+('Orders Ledger'!$J$2:$J$1501="PENDING_REVIEW"), ROW('Orders Ledger'!$A$2:$A$1501)-ROW('Orders Ledger'!$A$2)+1), ROW(1467:1467))), "")</f>
        <v/>
      </c>
      <c r="C1525" s="11" t="str">
        <f>IF(B1525="","",_xlfn.XLOOKUP(B1525,'Orders Ledger'!$A:$A,'Orders Ledger'!$B:$B,""))</f>
        <v/>
      </c>
      <c r="D1525" t="str">
        <f>IF(B1525="","",_xlfn.XLOOKUP(B1525,'Orders Ledger'!$A:$A,'Orders Ledger'!$G:$G,""))</f>
        <v/>
      </c>
      <c r="E1525" t="str">
        <f>IF(B1525="","",_xlfn.XLOOKUP(B1525,'Orders Ledger'!$A:$A,'Orders Ledger'!$H:$H,""))</f>
        <v/>
      </c>
      <c r="F1525" t="str">
        <f>IF(B1525="","",_xlfn.XLOOKUP(B1525,'Orders Ledger'!$A:$A,'Orders Ledger'!$F:$F,""))</f>
        <v/>
      </c>
      <c r="G1525" t="str">
        <f>IF(B1525="","",_xlfn.XLOOKUP(B1525,'Orders Ledger'!$A:$A,'Orders Ledger'!$N:$N,0))</f>
        <v/>
      </c>
    </row>
    <row r="1526" spans="2:7" x14ac:dyDescent="0.3">
      <c r="B1526" t="str">
        <f t="array" ref="B1526">IFERROR(INDEX('Orders Ledger'!$A$2:$A$1501, SMALL(IF(('Orders Ledger'!$J$2:$J$1501="disputed")+('Orders Ledger'!$J$2:$J$1501="PENDING_REVIEW"), ROW('Orders Ledger'!$A$2:$A$1501)-ROW('Orders Ledger'!$A$2)+1), ROW(1468:1468))), "")</f>
        <v/>
      </c>
      <c r="C1526" s="11" t="str">
        <f>IF(B1526="","",_xlfn.XLOOKUP(B1526,'Orders Ledger'!$A:$A,'Orders Ledger'!$B:$B,""))</f>
        <v/>
      </c>
      <c r="D1526" t="str">
        <f>IF(B1526="","",_xlfn.XLOOKUP(B1526,'Orders Ledger'!$A:$A,'Orders Ledger'!$G:$G,""))</f>
        <v/>
      </c>
      <c r="E1526" t="str">
        <f>IF(B1526="","",_xlfn.XLOOKUP(B1526,'Orders Ledger'!$A:$A,'Orders Ledger'!$H:$H,""))</f>
        <v/>
      </c>
      <c r="F1526" t="str">
        <f>IF(B1526="","",_xlfn.XLOOKUP(B1526,'Orders Ledger'!$A:$A,'Orders Ledger'!$F:$F,""))</f>
        <v/>
      </c>
      <c r="G1526" t="str">
        <f>IF(B1526="","",_xlfn.XLOOKUP(B1526,'Orders Ledger'!$A:$A,'Orders Ledger'!$N:$N,0))</f>
        <v/>
      </c>
    </row>
    <row r="1527" spans="2:7" x14ac:dyDescent="0.3">
      <c r="B1527" t="str">
        <f t="array" ref="B1527">IFERROR(INDEX('Orders Ledger'!$A$2:$A$1501, SMALL(IF(('Orders Ledger'!$J$2:$J$1501="disputed")+('Orders Ledger'!$J$2:$J$1501="PENDING_REVIEW"), ROW('Orders Ledger'!$A$2:$A$1501)-ROW('Orders Ledger'!$A$2)+1), ROW(1469:1469))), "")</f>
        <v/>
      </c>
      <c r="C1527" s="11" t="str">
        <f>IF(B1527="","",_xlfn.XLOOKUP(B1527,'Orders Ledger'!$A:$A,'Orders Ledger'!$B:$B,""))</f>
        <v/>
      </c>
      <c r="D1527" t="str">
        <f>IF(B1527="","",_xlfn.XLOOKUP(B1527,'Orders Ledger'!$A:$A,'Orders Ledger'!$G:$G,""))</f>
        <v/>
      </c>
      <c r="E1527" t="str">
        <f>IF(B1527="","",_xlfn.XLOOKUP(B1527,'Orders Ledger'!$A:$A,'Orders Ledger'!$H:$H,""))</f>
        <v/>
      </c>
      <c r="F1527" t="str">
        <f>IF(B1527="","",_xlfn.XLOOKUP(B1527,'Orders Ledger'!$A:$A,'Orders Ledger'!$F:$F,""))</f>
        <v/>
      </c>
      <c r="G1527" t="str">
        <f>IF(B1527="","",_xlfn.XLOOKUP(B1527,'Orders Ledger'!$A:$A,'Orders Ledger'!$N:$N,0))</f>
        <v/>
      </c>
    </row>
    <row r="1528" spans="2:7" x14ac:dyDescent="0.3">
      <c r="B1528" t="str">
        <f t="array" ref="B1528">IFERROR(INDEX('Orders Ledger'!$A$2:$A$1501, SMALL(IF(('Orders Ledger'!$J$2:$J$1501="disputed")+('Orders Ledger'!$J$2:$J$1501="PENDING_REVIEW"), ROW('Orders Ledger'!$A$2:$A$1501)-ROW('Orders Ledger'!$A$2)+1), ROW(1470:1470))), "")</f>
        <v/>
      </c>
      <c r="C1528" s="11" t="str">
        <f>IF(B1528="","",_xlfn.XLOOKUP(B1528,'Orders Ledger'!$A:$A,'Orders Ledger'!$B:$B,""))</f>
        <v/>
      </c>
      <c r="D1528" t="str">
        <f>IF(B1528="","",_xlfn.XLOOKUP(B1528,'Orders Ledger'!$A:$A,'Orders Ledger'!$G:$G,""))</f>
        <v/>
      </c>
      <c r="E1528" t="str">
        <f>IF(B1528="","",_xlfn.XLOOKUP(B1528,'Orders Ledger'!$A:$A,'Orders Ledger'!$H:$H,""))</f>
        <v/>
      </c>
      <c r="F1528" t="str">
        <f>IF(B1528="","",_xlfn.XLOOKUP(B1528,'Orders Ledger'!$A:$A,'Orders Ledger'!$F:$F,""))</f>
        <v/>
      </c>
      <c r="G1528" t="str">
        <f>IF(B1528="","",_xlfn.XLOOKUP(B1528,'Orders Ledger'!$A:$A,'Orders Ledger'!$N:$N,0))</f>
        <v/>
      </c>
    </row>
    <row r="1529" spans="2:7" x14ac:dyDescent="0.3">
      <c r="B1529" t="str">
        <f t="array" ref="B1529">IFERROR(INDEX('Orders Ledger'!$A$2:$A$1501, SMALL(IF(('Orders Ledger'!$J$2:$J$1501="disputed")+('Orders Ledger'!$J$2:$J$1501="PENDING_REVIEW"), ROW('Orders Ledger'!$A$2:$A$1501)-ROW('Orders Ledger'!$A$2)+1), ROW(1471:1471))), "")</f>
        <v/>
      </c>
      <c r="C1529" s="11" t="str">
        <f>IF(B1529="","",_xlfn.XLOOKUP(B1529,'Orders Ledger'!$A:$A,'Orders Ledger'!$B:$B,""))</f>
        <v/>
      </c>
      <c r="D1529" t="str">
        <f>IF(B1529="","",_xlfn.XLOOKUP(B1529,'Orders Ledger'!$A:$A,'Orders Ledger'!$G:$G,""))</f>
        <v/>
      </c>
      <c r="E1529" t="str">
        <f>IF(B1529="","",_xlfn.XLOOKUP(B1529,'Orders Ledger'!$A:$A,'Orders Ledger'!$H:$H,""))</f>
        <v/>
      </c>
      <c r="F1529" t="str">
        <f>IF(B1529="","",_xlfn.XLOOKUP(B1529,'Orders Ledger'!$A:$A,'Orders Ledger'!$F:$F,""))</f>
        <v/>
      </c>
      <c r="G1529" t="str">
        <f>IF(B1529="","",_xlfn.XLOOKUP(B1529,'Orders Ledger'!$A:$A,'Orders Ledger'!$N:$N,0))</f>
        <v/>
      </c>
    </row>
    <row r="1530" spans="2:7" x14ac:dyDescent="0.3">
      <c r="B1530" t="str">
        <f t="array" ref="B1530">IFERROR(INDEX('Orders Ledger'!$A$2:$A$1501, SMALL(IF(('Orders Ledger'!$J$2:$J$1501="disputed")+('Orders Ledger'!$J$2:$J$1501="PENDING_REVIEW"), ROW('Orders Ledger'!$A$2:$A$1501)-ROW('Orders Ledger'!$A$2)+1), ROW(1472:1472))), "")</f>
        <v/>
      </c>
      <c r="C1530" s="11" t="str">
        <f>IF(B1530="","",_xlfn.XLOOKUP(B1530,'Orders Ledger'!$A:$A,'Orders Ledger'!$B:$B,""))</f>
        <v/>
      </c>
      <c r="D1530" t="str">
        <f>IF(B1530="","",_xlfn.XLOOKUP(B1530,'Orders Ledger'!$A:$A,'Orders Ledger'!$G:$G,""))</f>
        <v/>
      </c>
      <c r="E1530" t="str">
        <f>IF(B1530="","",_xlfn.XLOOKUP(B1530,'Orders Ledger'!$A:$A,'Orders Ledger'!$H:$H,""))</f>
        <v/>
      </c>
      <c r="F1530" t="str">
        <f>IF(B1530="","",_xlfn.XLOOKUP(B1530,'Orders Ledger'!$A:$A,'Orders Ledger'!$F:$F,""))</f>
        <v/>
      </c>
      <c r="G1530" t="str">
        <f>IF(B1530="","",_xlfn.XLOOKUP(B1530,'Orders Ledger'!$A:$A,'Orders Ledger'!$N:$N,0))</f>
        <v/>
      </c>
    </row>
    <row r="1531" spans="2:7" x14ac:dyDescent="0.3">
      <c r="B1531" t="str">
        <f t="array" ref="B1531">IFERROR(INDEX('Orders Ledger'!$A$2:$A$1501, SMALL(IF(('Orders Ledger'!$J$2:$J$1501="disputed")+('Orders Ledger'!$J$2:$J$1501="PENDING_REVIEW"), ROW('Orders Ledger'!$A$2:$A$1501)-ROW('Orders Ledger'!$A$2)+1), ROW(1473:1473))), "")</f>
        <v/>
      </c>
      <c r="C1531" s="11" t="str">
        <f>IF(B1531="","",_xlfn.XLOOKUP(B1531,'Orders Ledger'!$A:$A,'Orders Ledger'!$B:$B,""))</f>
        <v/>
      </c>
      <c r="D1531" t="str">
        <f>IF(B1531="","",_xlfn.XLOOKUP(B1531,'Orders Ledger'!$A:$A,'Orders Ledger'!$G:$G,""))</f>
        <v/>
      </c>
      <c r="E1531" t="str">
        <f>IF(B1531="","",_xlfn.XLOOKUP(B1531,'Orders Ledger'!$A:$A,'Orders Ledger'!$H:$H,""))</f>
        <v/>
      </c>
      <c r="F1531" t="str">
        <f>IF(B1531="","",_xlfn.XLOOKUP(B1531,'Orders Ledger'!$A:$A,'Orders Ledger'!$F:$F,""))</f>
        <v/>
      </c>
      <c r="G1531" t="str">
        <f>IF(B1531="","",_xlfn.XLOOKUP(B1531,'Orders Ledger'!$A:$A,'Orders Ledger'!$N:$N,0))</f>
        <v/>
      </c>
    </row>
    <row r="1532" spans="2:7" x14ac:dyDescent="0.3">
      <c r="B1532" t="str">
        <f t="array" ref="B1532">IFERROR(INDEX('Orders Ledger'!$A$2:$A$1501, SMALL(IF(('Orders Ledger'!$J$2:$J$1501="disputed")+('Orders Ledger'!$J$2:$J$1501="PENDING_REVIEW"), ROW('Orders Ledger'!$A$2:$A$1501)-ROW('Orders Ledger'!$A$2)+1), ROW(1474:1474))), "")</f>
        <v/>
      </c>
      <c r="C1532" s="11" t="str">
        <f>IF(B1532="","",_xlfn.XLOOKUP(B1532,'Orders Ledger'!$A:$A,'Orders Ledger'!$B:$B,""))</f>
        <v/>
      </c>
      <c r="D1532" t="str">
        <f>IF(B1532="","",_xlfn.XLOOKUP(B1532,'Orders Ledger'!$A:$A,'Orders Ledger'!$G:$G,""))</f>
        <v/>
      </c>
      <c r="E1532" t="str">
        <f>IF(B1532="","",_xlfn.XLOOKUP(B1532,'Orders Ledger'!$A:$A,'Orders Ledger'!$H:$H,""))</f>
        <v/>
      </c>
      <c r="F1532" t="str">
        <f>IF(B1532="","",_xlfn.XLOOKUP(B1532,'Orders Ledger'!$A:$A,'Orders Ledger'!$F:$F,""))</f>
        <v/>
      </c>
      <c r="G1532" t="str">
        <f>IF(B1532="","",_xlfn.XLOOKUP(B1532,'Orders Ledger'!$A:$A,'Orders Ledger'!$N:$N,0))</f>
        <v/>
      </c>
    </row>
    <row r="1533" spans="2:7" x14ac:dyDescent="0.3">
      <c r="B1533" t="str">
        <f t="array" ref="B1533">IFERROR(INDEX('Orders Ledger'!$A$2:$A$1501, SMALL(IF(('Orders Ledger'!$J$2:$J$1501="disputed")+('Orders Ledger'!$J$2:$J$1501="PENDING_REVIEW"), ROW('Orders Ledger'!$A$2:$A$1501)-ROW('Orders Ledger'!$A$2)+1), ROW(1475:1475))), "")</f>
        <v/>
      </c>
      <c r="C1533" s="11" t="str">
        <f>IF(B1533="","",_xlfn.XLOOKUP(B1533,'Orders Ledger'!$A:$A,'Orders Ledger'!$B:$B,""))</f>
        <v/>
      </c>
      <c r="D1533" t="str">
        <f>IF(B1533="","",_xlfn.XLOOKUP(B1533,'Orders Ledger'!$A:$A,'Orders Ledger'!$G:$G,""))</f>
        <v/>
      </c>
      <c r="E1533" t="str">
        <f>IF(B1533="","",_xlfn.XLOOKUP(B1533,'Orders Ledger'!$A:$A,'Orders Ledger'!$H:$H,""))</f>
        <v/>
      </c>
      <c r="F1533" t="str">
        <f>IF(B1533="","",_xlfn.XLOOKUP(B1533,'Orders Ledger'!$A:$A,'Orders Ledger'!$F:$F,""))</f>
        <v/>
      </c>
      <c r="G1533" t="str">
        <f>IF(B1533="","",_xlfn.XLOOKUP(B1533,'Orders Ledger'!$A:$A,'Orders Ledger'!$N:$N,0))</f>
        <v/>
      </c>
    </row>
    <row r="1534" spans="2:7" x14ac:dyDescent="0.3">
      <c r="B1534" t="str">
        <f t="array" ref="B1534">IFERROR(INDEX('Orders Ledger'!$A$2:$A$1501, SMALL(IF(('Orders Ledger'!$J$2:$J$1501="disputed")+('Orders Ledger'!$J$2:$J$1501="PENDING_REVIEW"), ROW('Orders Ledger'!$A$2:$A$1501)-ROW('Orders Ledger'!$A$2)+1), ROW(1476:1476))), "")</f>
        <v/>
      </c>
      <c r="C1534" s="11" t="str">
        <f>IF(B1534="","",_xlfn.XLOOKUP(B1534,'Orders Ledger'!$A:$A,'Orders Ledger'!$B:$B,""))</f>
        <v/>
      </c>
      <c r="D1534" t="str">
        <f>IF(B1534="","",_xlfn.XLOOKUP(B1534,'Orders Ledger'!$A:$A,'Orders Ledger'!$G:$G,""))</f>
        <v/>
      </c>
      <c r="E1534" t="str">
        <f>IF(B1534="","",_xlfn.XLOOKUP(B1534,'Orders Ledger'!$A:$A,'Orders Ledger'!$H:$H,""))</f>
        <v/>
      </c>
      <c r="F1534" t="str">
        <f>IF(B1534="","",_xlfn.XLOOKUP(B1534,'Orders Ledger'!$A:$A,'Orders Ledger'!$F:$F,""))</f>
        <v/>
      </c>
      <c r="G1534" t="str">
        <f>IF(B1534="","",_xlfn.XLOOKUP(B1534,'Orders Ledger'!$A:$A,'Orders Ledger'!$N:$N,0))</f>
        <v/>
      </c>
    </row>
    <row r="1535" spans="2:7" x14ac:dyDescent="0.3">
      <c r="B1535" t="str">
        <f t="array" ref="B1535">IFERROR(INDEX('Orders Ledger'!$A$2:$A$1501, SMALL(IF(('Orders Ledger'!$J$2:$J$1501="disputed")+('Orders Ledger'!$J$2:$J$1501="PENDING_REVIEW"), ROW('Orders Ledger'!$A$2:$A$1501)-ROW('Orders Ledger'!$A$2)+1), ROW(1477:1477))), "")</f>
        <v/>
      </c>
      <c r="C1535" s="11" t="str">
        <f>IF(B1535="","",_xlfn.XLOOKUP(B1535,'Orders Ledger'!$A:$A,'Orders Ledger'!$B:$B,""))</f>
        <v/>
      </c>
      <c r="D1535" t="str">
        <f>IF(B1535="","",_xlfn.XLOOKUP(B1535,'Orders Ledger'!$A:$A,'Orders Ledger'!$G:$G,""))</f>
        <v/>
      </c>
      <c r="E1535" t="str">
        <f>IF(B1535="","",_xlfn.XLOOKUP(B1535,'Orders Ledger'!$A:$A,'Orders Ledger'!$H:$H,""))</f>
        <v/>
      </c>
      <c r="F1535" t="str">
        <f>IF(B1535="","",_xlfn.XLOOKUP(B1535,'Orders Ledger'!$A:$A,'Orders Ledger'!$F:$F,""))</f>
        <v/>
      </c>
      <c r="G1535" t="str">
        <f>IF(B1535="","",_xlfn.XLOOKUP(B1535,'Orders Ledger'!$A:$A,'Orders Ledger'!$N:$N,0))</f>
        <v/>
      </c>
    </row>
    <row r="1536" spans="2:7" x14ac:dyDescent="0.3">
      <c r="B1536" t="str">
        <f t="array" ref="B1536">IFERROR(INDEX('Orders Ledger'!$A$2:$A$1501, SMALL(IF(('Orders Ledger'!$J$2:$J$1501="disputed")+('Orders Ledger'!$J$2:$J$1501="PENDING_REVIEW"), ROW('Orders Ledger'!$A$2:$A$1501)-ROW('Orders Ledger'!$A$2)+1), ROW(1478:1478))), "")</f>
        <v/>
      </c>
      <c r="C1536" s="11" t="str">
        <f>IF(B1536="","",_xlfn.XLOOKUP(B1536,'Orders Ledger'!$A:$A,'Orders Ledger'!$B:$B,""))</f>
        <v/>
      </c>
      <c r="D1536" t="str">
        <f>IF(B1536="","",_xlfn.XLOOKUP(B1536,'Orders Ledger'!$A:$A,'Orders Ledger'!$G:$G,""))</f>
        <v/>
      </c>
      <c r="E1536" t="str">
        <f>IF(B1536="","",_xlfn.XLOOKUP(B1536,'Orders Ledger'!$A:$A,'Orders Ledger'!$H:$H,""))</f>
        <v/>
      </c>
      <c r="F1536" t="str">
        <f>IF(B1536="","",_xlfn.XLOOKUP(B1536,'Orders Ledger'!$A:$A,'Orders Ledger'!$F:$F,""))</f>
        <v/>
      </c>
      <c r="G1536" t="str">
        <f>IF(B1536="","",_xlfn.XLOOKUP(B1536,'Orders Ledger'!$A:$A,'Orders Ledger'!$N:$N,0))</f>
        <v/>
      </c>
    </row>
    <row r="1537" spans="2:7" x14ac:dyDescent="0.3">
      <c r="B1537" t="str">
        <f t="array" ref="B1537">IFERROR(INDEX('Orders Ledger'!$A$2:$A$1501, SMALL(IF(('Orders Ledger'!$J$2:$J$1501="disputed")+('Orders Ledger'!$J$2:$J$1501="PENDING_REVIEW"), ROW('Orders Ledger'!$A$2:$A$1501)-ROW('Orders Ledger'!$A$2)+1), ROW(1479:1479))), "")</f>
        <v/>
      </c>
      <c r="C1537" s="11" t="str">
        <f>IF(B1537="","",_xlfn.XLOOKUP(B1537,'Orders Ledger'!$A:$A,'Orders Ledger'!$B:$B,""))</f>
        <v/>
      </c>
      <c r="D1537" t="str">
        <f>IF(B1537="","",_xlfn.XLOOKUP(B1537,'Orders Ledger'!$A:$A,'Orders Ledger'!$G:$G,""))</f>
        <v/>
      </c>
      <c r="E1537" t="str">
        <f>IF(B1537="","",_xlfn.XLOOKUP(B1537,'Orders Ledger'!$A:$A,'Orders Ledger'!$H:$H,""))</f>
        <v/>
      </c>
      <c r="F1537" t="str">
        <f>IF(B1537="","",_xlfn.XLOOKUP(B1537,'Orders Ledger'!$A:$A,'Orders Ledger'!$F:$F,""))</f>
        <v/>
      </c>
      <c r="G1537" t="str">
        <f>IF(B1537="","",_xlfn.XLOOKUP(B1537,'Orders Ledger'!$A:$A,'Orders Ledger'!$N:$N,0))</f>
        <v/>
      </c>
    </row>
    <row r="1538" spans="2:7" x14ac:dyDescent="0.3">
      <c r="B1538" t="str">
        <f t="array" ref="B1538">IFERROR(INDEX('Orders Ledger'!$A$2:$A$1501, SMALL(IF(('Orders Ledger'!$J$2:$J$1501="disputed")+('Orders Ledger'!$J$2:$J$1501="PENDING_REVIEW"), ROW('Orders Ledger'!$A$2:$A$1501)-ROW('Orders Ledger'!$A$2)+1), ROW(1480:1480))), "")</f>
        <v/>
      </c>
      <c r="C1538" s="11" t="str">
        <f>IF(B1538="","",_xlfn.XLOOKUP(B1538,'Orders Ledger'!$A:$A,'Orders Ledger'!$B:$B,""))</f>
        <v/>
      </c>
      <c r="D1538" t="str">
        <f>IF(B1538="","",_xlfn.XLOOKUP(B1538,'Orders Ledger'!$A:$A,'Orders Ledger'!$G:$G,""))</f>
        <v/>
      </c>
      <c r="E1538" t="str">
        <f>IF(B1538="","",_xlfn.XLOOKUP(B1538,'Orders Ledger'!$A:$A,'Orders Ledger'!$H:$H,""))</f>
        <v/>
      </c>
      <c r="F1538" t="str">
        <f>IF(B1538="","",_xlfn.XLOOKUP(B1538,'Orders Ledger'!$A:$A,'Orders Ledger'!$F:$F,""))</f>
        <v/>
      </c>
      <c r="G1538" t="str">
        <f>IF(B1538="","",_xlfn.XLOOKUP(B1538,'Orders Ledger'!$A:$A,'Orders Ledger'!$N:$N,0))</f>
        <v/>
      </c>
    </row>
    <row r="1539" spans="2:7" x14ac:dyDescent="0.3">
      <c r="B1539" t="str">
        <f t="array" ref="B1539">IFERROR(INDEX('Orders Ledger'!$A$2:$A$1501, SMALL(IF(('Orders Ledger'!$J$2:$J$1501="disputed")+('Orders Ledger'!$J$2:$J$1501="PENDING_REVIEW"), ROW('Orders Ledger'!$A$2:$A$1501)-ROW('Orders Ledger'!$A$2)+1), ROW(1481:1481))), "")</f>
        <v/>
      </c>
      <c r="C1539" s="11" t="str">
        <f>IF(B1539="","",_xlfn.XLOOKUP(B1539,'Orders Ledger'!$A:$A,'Orders Ledger'!$B:$B,""))</f>
        <v/>
      </c>
      <c r="D1539" t="str">
        <f>IF(B1539="","",_xlfn.XLOOKUP(B1539,'Orders Ledger'!$A:$A,'Orders Ledger'!$G:$G,""))</f>
        <v/>
      </c>
      <c r="E1539" t="str">
        <f>IF(B1539="","",_xlfn.XLOOKUP(B1539,'Orders Ledger'!$A:$A,'Orders Ledger'!$H:$H,""))</f>
        <v/>
      </c>
      <c r="F1539" t="str">
        <f>IF(B1539="","",_xlfn.XLOOKUP(B1539,'Orders Ledger'!$A:$A,'Orders Ledger'!$F:$F,""))</f>
        <v/>
      </c>
      <c r="G1539" t="str">
        <f>IF(B1539="","",_xlfn.XLOOKUP(B1539,'Orders Ledger'!$A:$A,'Orders Ledger'!$N:$N,0))</f>
        <v/>
      </c>
    </row>
    <row r="1540" spans="2:7" x14ac:dyDescent="0.3">
      <c r="B1540" t="str">
        <f t="array" ref="B1540">IFERROR(INDEX('Orders Ledger'!$A$2:$A$1501, SMALL(IF(('Orders Ledger'!$J$2:$J$1501="disputed")+('Orders Ledger'!$J$2:$J$1501="PENDING_REVIEW"), ROW('Orders Ledger'!$A$2:$A$1501)-ROW('Orders Ledger'!$A$2)+1), ROW(1482:1482))), "")</f>
        <v/>
      </c>
      <c r="C1540" s="11" t="str">
        <f>IF(B1540="","",_xlfn.XLOOKUP(B1540,'Orders Ledger'!$A:$A,'Orders Ledger'!$B:$B,""))</f>
        <v/>
      </c>
      <c r="D1540" t="str">
        <f>IF(B1540="","",_xlfn.XLOOKUP(B1540,'Orders Ledger'!$A:$A,'Orders Ledger'!$G:$G,""))</f>
        <v/>
      </c>
      <c r="E1540" t="str">
        <f>IF(B1540="","",_xlfn.XLOOKUP(B1540,'Orders Ledger'!$A:$A,'Orders Ledger'!$H:$H,""))</f>
        <v/>
      </c>
      <c r="F1540" t="str">
        <f>IF(B1540="","",_xlfn.XLOOKUP(B1540,'Orders Ledger'!$A:$A,'Orders Ledger'!$F:$F,""))</f>
        <v/>
      </c>
      <c r="G1540" t="str">
        <f>IF(B1540="","",_xlfn.XLOOKUP(B1540,'Orders Ledger'!$A:$A,'Orders Ledger'!$N:$N,0))</f>
        <v/>
      </c>
    </row>
    <row r="1541" spans="2:7" x14ac:dyDescent="0.3">
      <c r="B1541" t="str">
        <f t="array" ref="B1541">IFERROR(INDEX('Orders Ledger'!$A$2:$A$1501, SMALL(IF(('Orders Ledger'!$J$2:$J$1501="disputed")+('Orders Ledger'!$J$2:$J$1501="PENDING_REVIEW"), ROW('Orders Ledger'!$A$2:$A$1501)-ROW('Orders Ledger'!$A$2)+1), ROW(1483:1483))), "")</f>
        <v/>
      </c>
      <c r="C1541" s="11" t="str">
        <f>IF(B1541="","",_xlfn.XLOOKUP(B1541,'Orders Ledger'!$A:$A,'Orders Ledger'!$B:$B,""))</f>
        <v/>
      </c>
      <c r="D1541" t="str">
        <f>IF(B1541="","",_xlfn.XLOOKUP(B1541,'Orders Ledger'!$A:$A,'Orders Ledger'!$G:$G,""))</f>
        <v/>
      </c>
      <c r="E1541" t="str">
        <f>IF(B1541="","",_xlfn.XLOOKUP(B1541,'Orders Ledger'!$A:$A,'Orders Ledger'!$H:$H,""))</f>
        <v/>
      </c>
      <c r="F1541" t="str">
        <f>IF(B1541="","",_xlfn.XLOOKUP(B1541,'Orders Ledger'!$A:$A,'Orders Ledger'!$F:$F,""))</f>
        <v/>
      </c>
      <c r="G1541" t="str">
        <f>IF(B1541="","",_xlfn.XLOOKUP(B1541,'Orders Ledger'!$A:$A,'Orders Ledger'!$N:$N,0))</f>
        <v/>
      </c>
    </row>
    <row r="1542" spans="2:7" x14ac:dyDescent="0.3">
      <c r="B1542" t="str">
        <f t="array" ref="B1542">IFERROR(INDEX('Orders Ledger'!$A$2:$A$1501, SMALL(IF(('Orders Ledger'!$J$2:$J$1501="disputed")+('Orders Ledger'!$J$2:$J$1501="PENDING_REVIEW"), ROW('Orders Ledger'!$A$2:$A$1501)-ROW('Orders Ledger'!$A$2)+1), ROW(1484:1484))), "")</f>
        <v/>
      </c>
      <c r="C1542" s="11" t="str">
        <f>IF(B1542="","",_xlfn.XLOOKUP(B1542,'Orders Ledger'!$A:$A,'Orders Ledger'!$B:$B,""))</f>
        <v/>
      </c>
      <c r="D1542" t="str">
        <f>IF(B1542="","",_xlfn.XLOOKUP(B1542,'Orders Ledger'!$A:$A,'Orders Ledger'!$G:$G,""))</f>
        <v/>
      </c>
      <c r="E1542" t="str">
        <f>IF(B1542="","",_xlfn.XLOOKUP(B1542,'Orders Ledger'!$A:$A,'Orders Ledger'!$H:$H,""))</f>
        <v/>
      </c>
      <c r="F1542" t="str">
        <f>IF(B1542="","",_xlfn.XLOOKUP(B1542,'Orders Ledger'!$A:$A,'Orders Ledger'!$F:$F,""))</f>
        <v/>
      </c>
      <c r="G1542" t="str">
        <f>IF(B1542="","",_xlfn.XLOOKUP(B1542,'Orders Ledger'!$A:$A,'Orders Ledger'!$N:$N,0))</f>
        <v/>
      </c>
    </row>
    <row r="1543" spans="2:7" x14ac:dyDescent="0.3">
      <c r="B1543" t="str">
        <f t="array" ref="B1543">IFERROR(INDEX('Orders Ledger'!$A$2:$A$1501, SMALL(IF(('Orders Ledger'!$J$2:$J$1501="disputed")+('Orders Ledger'!$J$2:$J$1501="PENDING_REVIEW"), ROW('Orders Ledger'!$A$2:$A$1501)-ROW('Orders Ledger'!$A$2)+1), ROW(1485:1485))), "")</f>
        <v/>
      </c>
      <c r="C1543" s="11" t="str">
        <f>IF(B1543="","",_xlfn.XLOOKUP(B1543,'Orders Ledger'!$A:$A,'Orders Ledger'!$B:$B,""))</f>
        <v/>
      </c>
      <c r="D1543" t="str">
        <f>IF(B1543="","",_xlfn.XLOOKUP(B1543,'Orders Ledger'!$A:$A,'Orders Ledger'!$G:$G,""))</f>
        <v/>
      </c>
      <c r="E1543" t="str">
        <f>IF(B1543="","",_xlfn.XLOOKUP(B1543,'Orders Ledger'!$A:$A,'Orders Ledger'!$H:$H,""))</f>
        <v/>
      </c>
      <c r="F1543" t="str">
        <f>IF(B1543="","",_xlfn.XLOOKUP(B1543,'Orders Ledger'!$A:$A,'Orders Ledger'!$F:$F,""))</f>
        <v/>
      </c>
      <c r="G1543" t="str">
        <f>IF(B1543="","",_xlfn.XLOOKUP(B1543,'Orders Ledger'!$A:$A,'Orders Ledger'!$N:$N,0))</f>
        <v/>
      </c>
    </row>
    <row r="1544" spans="2:7" x14ac:dyDescent="0.3">
      <c r="B1544" t="str">
        <f t="array" ref="B1544">IFERROR(INDEX('Orders Ledger'!$A$2:$A$1501, SMALL(IF(('Orders Ledger'!$J$2:$J$1501="disputed")+('Orders Ledger'!$J$2:$J$1501="PENDING_REVIEW"), ROW('Orders Ledger'!$A$2:$A$1501)-ROW('Orders Ledger'!$A$2)+1), ROW(1486:1486))), "")</f>
        <v/>
      </c>
      <c r="C1544" s="11" t="str">
        <f>IF(B1544="","",_xlfn.XLOOKUP(B1544,'Orders Ledger'!$A:$A,'Orders Ledger'!$B:$B,""))</f>
        <v/>
      </c>
      <c r="D1544" t="str">
        <f>IF(B1544="","",_xlfn.XLOOKUP(B1544,'Orders Ledger'!$A:$A,'Orders Ledger'!$G:$G,""))</f>
        <v/>
      </c>
      <c r="E1544" t="str">
        <f>IF(B1544="","",_xlfn.XLOOKUP(B1544,'Orders Ledger'!$A:$A,'Orders Ledger'!$H:$H,""))</f>
        <v/>
      </c>
      <c r="F1544" t="str">
        <f>IF(B1544="","",_xlfn.XLOOKUP(B1544,'Orders Ledger'!$A:$A,'Orders Ledger'!$F:$F,""))</f>
        <v/>
      </c>
      <c r="G1544" t="str">
        <f>IF(B1544="","",_xlfn.XLOOKUP(B1544,'Orders Ledger'!$A:$A,'Orders Ledger'!$N:$N,0))</f>
        <v/>
      </c>
    </row>
    <row r="1545" spans="2:7" x14ac:dyDescent="0.3">
      <c r="B1545" t="str">
        <f t="array" ref="B1545">IFERROR(INDEX('Orders Ledger'!$A$2:$A$1501, SMALL(IF(('Orders Ledger'!$J$2:$J$1501="disputed")+('Orders Ledger'!$J$2:$J$1501="PENDING_REVIEW"), ROW('Orders Ledger'!$A$2:$A$1501)-ROW('Orders Ledger'!$A$2)+1), ROW(1487:1487))), "")</f>
        <v/>
      </c>
      <c r="C1545" s="11" t="str">
        <f>IF(B1545="","",_xlfn.XLOOKUP(B1545,'Orders Ledger'!$A:$A,'Orders Ledger'!$B:$B,""))</f>
        <v/>
      </c>
      <c r="D1545" t="str">
        <f>IF(B1545="","",_xlfn.XLOOKUP(B1545,'Orders Ledger'!$A:$A,'Orders Ledger'!$G:$G,""))</f>
        <v/>
      </c>
      <c r="E1545" t="str">
        <f>IF(B1545="","",_xlfn.XLOOKUP(B1545,'Orders Ledger'!$A:$A,'Orders Ledger'!$H:$H,""))</f>
        <v/>
      </c>
      <c r="F1545" t="str">
        <f>IF(B1545="","",_xlfn.XLOOKUP(B1545,'Orders Ledger'!$A:$A,'Orders Ledger'!$F:$F,""))</f>
        <v/>
      </c>
      <c r="G1545" t="str">
        <f>IF(B1545="","",_xlfn.XLOOKUP(B1545,'Orders Ledger'!$A:$A,'Orders Ledger'!$N:$N,0))</f>
        <v/>
      </c>
    </row>
    <row r="1546" spans="2:7" x14ac:dyDescent="0.3">
      <c r="B1546" t="str">
        <f t="array" ref="B1546">IFERROR(INDEX('Orders Ledger'!$A$2:$A$1501, SMALL(IF(('Orders Ledger'!$J$2:$J$1501="disputed")+('Orders Ledger'!$J$2:$J$1501="PENDING_REVIEW"), ROW('Orders Ledger'!$A$2:$A$1501)-ROW('Orders Ledger'!$A$2)+1), ROW(1488:1488))), "")</f>
        <v/>
      </c>
      <c r="C1546" s="11" t="str">
        <f>IF(B1546="","",_xlfn.XLOOKUP(B1546,'Orders Ledger'!$A:$A,'Orders Ledger'!$B:$B,""))</f>
        <v/>
      </c>
      <c r="D1546" t="str">
        <f>IF(B1546="","",_xlfn.XLOOKUP(B1546,'Orders Ledger'!$A:$A,'Orders Ledger'!$G:$G,""))</f>
        <v/>
      </c>
      <c r="E1546" t="str">
        <f>IF(B1546="","",_xlfn.XLOOKUP(B1546,'Orders Ledger'!$A:$A,'Orders Ledger'!$H:$H,""))</f>
        <v/>
      </c>
      <c r="F1546" t="str">
        <f>IF(B1546="","",_xlfn.XLOOKUP(B1546,'Orders Ledger'!$A:$A,'Orders Ledger'!$F:$F,""))</f>
        <v/>
      </c>
      <c r="G1546" t="str">
        <f>IF(B1546="","",_xlfn.XLOOKUP(B1546,'Orders Ledger'!$A:$A,'Orders Ledger'!$N:$N,0))</f>
        <v/>
      </c>
    </row>
    <row r="1547" spans="2:7" x14ac:dyDescent="0.3">
      <c r="B1547" t="str">
        <f t="array" ref="B1547">IFERROR(INDEX('Orders Ledger'!$A$2:$A$1501, SMALL(IF(('Orders Ledger'!$J$2:$J$1501="disputed")+('Orders Ledger'!$J$2:$J$1501="PENDING_REVIEW"), ROW('Orders Ledger'!$A$2:$A$1501)-ROW('Orders Ledger'!$A$2)+1), ROW(1489:1489))), "")</f>
        <v/>
      </c>
      <c r="C1547" s="11" t="str">
        <f>IF(B1547="","",_xlfn.XLOOKUP(B1547,'Orders Ledger'!$A:$A,'Orders Ledger'!$B:$B,""))</f>
        <v/>
      </c>
      <c r="D1547" t="str">
        <f>IF(B1547="","",_xlfn.XLOOKUP(B1547,'Orders Ledger'!$A:$A,'Orders Ledger'!$G:$G,""))</f>
        <v/>
      </c>
      <c r="E1547" t="str">
        <f>IF(B1547="","",_xlfn.XLOOKUP(B1547,'Orders Ledger'!$A:$A,'Orders Ledger'!$H:$H,""))</f>
        <v/>
      </c>
      <c r="F1547" t="str">
        <f>IF(B1547="","",_xlfn.XLOOKUP(B1547,'Orders Ledger'!$A:$A,'Orders Ledger'!$F:$F,""))</f>
        <v/>
      </c>
      <c r="G1547" t="str">
        <f>IF(B1547="","",_xlfn.XLOOKUP(B1547,'Orders Ledger'!$A:$A,'Orders Ledger'!$N:$N,0))</f>
        <v/>
      </c>
    </row>
    <row r="1548" spans="2:7" x14ac:dyDescent="0.3">
      <c r="B1548" t="str">
        <f t="array" ref="B1548">IFERROR(INDEX('Orders Ledger'!$A$2:$A$1501, SMALL(IF(('Orders Ledger'!$J$2:$J$1501="disputed")+('Orders Ledger'!$J$2:$J$1501="PENDING_REVIEW"), ROW('Orders Ledger'!$A$2:$A$1501)-ROW('Orders Ledger'!$A$2)+1), ROW(1490:1490))), "")</f>
        <v/>
      </c>
      <c r="C1548" s="11" t="str">
        <f>IF(B1548="","",_xlfn.XLOOKUP(B1548,'Orders Ledger'!$A:$A,'Orders Ledger'!$B:$B,""))</f>
        <v/>
      </c>
      <c r="D1548" t="str">
        <f>IF(B1548="","",_xlfn.XLOOKUP(B1548,'Orders Ledger'!$A:$A,'Orders Ledger'!$G:$G,""))</f>
        <v/>
      </c>
      <c r="E1548" t="str">
        <f>IF(B1548="","",_xlfn.XLOOKUP(B1548,'Orders Ledger'!$A:$A,'Orders Ledger'!$H:$H,""))</f>
        <v/>
      </c>
      <c r="F1548" t="str">
        <f>IF(B1548="","",_xlfn.XLOOKUP(B1548,'Orders Ledger'!$A:$A,'Orders Ledger'!$F:$F,""))</f>
        <v/>
      </c>
      <c r="G1548" t="str">
        <f>IF(B1548="","",_xlfn.XLOOKUP(B1548,'Orders Ledger'!$A:$A,'Orders Ledger'!$N:$N,0))</f>
        <v/>
      </c>
    </row>
    <row r="1549" spans="2:7" x14ac:dyDescent="0.3">
      <c r="B1549" t="str">
        <f t="array" ref="B1549">IFERROR(INDEX('Orders Ledger'!$A$2:$A$1501, SMALL(IF(('Orders Ledger'!$J$2:$J$1501="disputed")+('Orders Ledger'!$J$2:$J$1501="PENDING_REVIEW"), ROW('Orders Ledger'!$A$2:$A$1501)-ROW('Orders Ledger'!$A$2)+1), ROW(1491:1491))), "")</f>
        <v/>
      </c>
      <c r="C1549" s="11" t="str">
        <f>IF(B1549="","",_xlfn.XLOOKUP(B1549,'Orders Ledger'!$A:$A,'Orders Ledger'!$B:$B,""))</f>
        <v/>
      </c>
      <c r="D1549" t="str">
        <f>IF(B1549="","",_xlfn.XLOOKUP(B1549,'Orders Ledger'!$A:$A,'Orders Ledger'!$G:$G,""))</f>
        <v/>
      </c>
      <c r="E1549" t="str">
        <f>IF(B1549="","",_xlfn.XLOOKUP(B1549,'Orders Ledger'!$A:$A,'Orders Ledger'!$H:$H,""))</f>
        <v/>
      </c>
      <c r="F1549" t="str">
        <f>IF(B1549="","",_xlfn.XLOOKUP(B1549,'Orders Ledger'!$A:$A,'Orders Ledger'!$F:$F,""))</f>
        <v/>
      </c>
      <c r="G1549" t="str">
        <f>IF(B1549="","",_xlfn.XLOOKUP(B1549,'Orders Ledger'!$A:$A,'Orders Ledger'!$N:$N,0))</f>
        <v/>
      </c>
    </row>
    <row r="1550" spans="2:7" x14ac:dyDescent="0.3">
      <c r="B1550" t="str">
        <f t="array" ref="B1550">IFERROR(INDEX('Orders Ledger'!$A$2:$A$1501, SMALL(IF(('Orders Ledger'!$J$2:$J$1501="disputed")+('Orders Ledger'!$J$2:$J$1501="PENDING_REVIEW"), ROW('Orders Ledger'!$A$2:$A$1501)-ROW('Orders Ledger'!$A$2)+1), ROW(1492:1492))), "")</f>
        <v/>
      </c>
      <c r="C1550" s="11" t="str">
        <f>IF(B1550="","",_xlfn.XLOOKUP(B1550,'Orders Ledger'!$A:$A,'Orders Ledger'!$B:$B,""))</f>
        <v/>
      </c>
      <c r="D1550" t="str">
        <f>IF(B1550="","",_xlfn.XLOOKUP(B1550,'Orders Ledger'!$A:$A,'Orders Ledger'!$G:$G,""))</f>
        <v/>
      </c>
      <c r="E1550" t="str">
        <f>IF(B1550="","",_xlfn.XLOOKUP(B1550,'Orders Ledger'!$A:$A,'Orders Ledger'!$H:$H,""))</f>
        <v/>
      </c>
      <c r="F1550" t="str">
        <f>IF(B1550="","",_xlfn.XLOOKUP(B1550,'Orders Ledger'!$A:$A,'Orders Ledger'!$F:$F,""))</f>
        <v/>
      </c>
      <c r="G1550" t="str">
        <f>IF(B1550="","",_xlfn.XLOOKUP(B1550,'Orders Ledger'!$A:$A,'Orders Ledger'!$N:$N,0))</f>
        <v/>
      </c>
    </row>
    <row r="1551" spans="2:7" x14ac:dyDescent="0.3">
      <c r="B1551" t="str">
        <f t="array" ref="B1551">IFERROR(INDEX('Orders Ledger'!$A$2:$A$1501, SMALL(IF(('Orders Ledger'!$J$2:$J$1501="disputed")+('Orders Ledger'!$J$2:$J$1501="PENDING_REVIEW"), ROW('Orders Ledger'!$A$2:$A$1501)-ROW('Orders Ledger'!$A$2)+1), ROW(1493:1493))), "")</f>
        <v/>
      </c>
      <c r="C1551" s="11" t="str">
        <f>IF(B1551="","",_xlfn.XLOOKUP(B1551,'Orders Ledger'!$A:$A,'Orders Ledger'!$B:$B,""))</f>
        <v/>
      </c>
      <c r="D1551" t="str">
        <f>IF(B1551="","",_xlfn.XLOOKUP(B1551,'Orders Ledger'!$A:$A,'Orders Ledger'!$G:$G,""))</f>
        <v/>
      </c>
      <c r="E1551" t="str">
        <f>IF(B1551="","",_xlfn.XLOOKUP(B1551,'Orders Ledger'!$A:$A,'Orders Ledger'!$H:$H,""))</f>
        <v/>
      </c>
      <c r="F1551" t="str">
        <f>IF(B1551="","",_xlfn.XLOOKUP(B1551,'Orders Ledger'!$A:$A,'Orders Ledger'!$F:$F,""))</f>
        <v/>
      </c>
      <c r="G1551" t="str">
        <f>IF(B1551="","",_xlfn.XLOOKUP(B1551,'Orders Ledger'!$A:$A,'Orders Ledger'!$N:$N,0))</f>
        <v/>
      </c>
    </row>
    <row r="1552" spans="2:7" x14ac:dyDescent="0.3">
      <c r="B1552" t="str">
        <f t="array" ref="B1552">IFERROR(INDEX('Orders Ledger'!$A$2:$A$1501, SMALL(IF(('Orders Ledger'!$J$2:$J$1501="disputed")+('Orders Ledger'!$J$2:$J$1501="PENDING_REVIEW"), ROW('Orders Ledger'!$A$2:$A$1501)-ROW('Orders Ledger'!$A$2)+1), ROW(1494:1494))), "")</f>
        <v/>
      </c>
      <c r="C1552" s="11" t="str">
        <f>IF(B1552="","",_xlfn.XLOOKUP(B1552,'Orders Ledger'!$A:$A,'Orders Ledger'!$B:$B,""))</f>
        <v/>
      </c>
      <c r="D1552" t="str">
        <f>IF(B1552="","",_xlfn.XLOOKUP(B1552,'Orders Ledger'!$A:$A,'Orders Ledger'!$G:$G,""))</f>
        <v/>
      </c>
      <c r="E1552" t="str">
        <f>IF(B1552="","",_xlfn.XLOOKUP(B1552,'Orders Ledger'!$A:$A,'Orders Ledger'!$H:$H,""))</f>
        <v/>
      </c>
      <c r="F1552" t="str">
        <f>IF(B1552="","",_xlfn.XLOOKUP(B1552,'Orders Ledger'!$A:$A,'Orders Ledger'!$F:$F,""))</f>
        <v/>
      </c>
      <c r="G1552" t="str">
        <f>IF(B1552="","",_xlfn.XLOOKUP(B1552,'Orders Ledger'!$A:$A,'Orders Ledger'!$N:$N,0))</f>
        <v/>
      </c>
    </row>
    <row r="1553" spans="2:7" x14ac:dyDescent="0.3">
      <c r="B1553" t="str">
        <f t="array" ref="B1553">IFERROR(INDEX('Orders Ledger'!$A$2:$A$1501, SMALL(IF(('Orders Ledger'!$J$2:$J$1501="disputed")+('Orders Ledger'!$J$2:$J$1501="PENDING_REVIEW"), ROW('Orders Ledger'!$A$2:$A$1501)-ROW('Orders Ledger'!$A$2)+1), ROW(1495:1495))), "")</f>
        <v/>
      </c>
      <c r="C1553" s="11" t="str">
        <f>IF(B1553="","",_xlfn.XLOOKUP(B1553,'Orders Ledger'!$A:$A,'Orders Ledger'!$B:$B,""))</f>
        <v/>
      </c>
      <c r="D1553" t="str">
        <f>IF(B1553="","",_xlfn.XLOOKUP(B1553,'Orders Ledger'!$A:$A,'Orders Ledger'!$G:$G,""))</f>
        <v/>
      </c>
      <c r="E1553" t="str">
        <f>IF(B1553="","",_xlfn.XLOOKUP(B1553,'Orders Ledger'!$A:$A,'Orders Ledger'!$H:$H,""))</f>
        <v/>
      </c>
      <c r="F1553" t="str">
        <f>IF(B1553="","",_xlfn.XLOOKUP(B1553,'Orders Ledger'!$A:$A,'Orders Ledger'!$F:$F,""))</f>
        <v/>
      </c>
      <c r="G1553" t="str">
        <f>IF(B1553="","",_xlfn.XLOOKUP(B1553,'Orders Ledger'!$A:$A,'Orders Ledger'!$N:$N,0))</f>
        <v/>
      </c>
    </row>
    <row r="1554" spans="2:7" x14ac:dyDescent="0.3">
      <c r="B1554" t="str">
        <f t="array" ref="B1554">IFERROR(INDEX('Orders Ledger'!$A$2:$A$1501, SMALL(IF(('Orders Ledger'!$J$2:$J$1501="disputed")+('Orders Ledger'!$J$2:$J$1501="PENDING_REVIEW"), ROW('Orders Ledger'!$A$2:$A$1501)-ROW('Orders Ledger'!$A$2)+1), ROW(1496:1496))), "")</f>
        <v/>
      </c>
      <c r="C1554" s="11" t="str">
        <f>IF(B1554="","",_xlfn.XLOOKUP(B1554,'Orders Ledger'!$A:$A,'Orders Ledger'!$B:$B,""))</f>
        <v/>
      </c>
      <c r="D1554" t="str">
        <f>IF(B1554="","",_xlfn.XLOOKUP(B1554,'Orders Ledger'!$A:$A,'Orders Ledger'!$G:$G,""))</f>
        <v/>
      </c>
      <c r="E1554" t="str">
        <f>IF(B1554="","",_xlfn.XLOOKUP(B1554,'Orders Ledger'!$A:$A,'Orders Ledger'!$H:$H,""))</f>
        <v/>
      </c>
      <c r="F1554" t="str">
        <f>IF(B1554="","",_xlfn.XLOOKUP(B1554,'Orders Ledger'!$A:$A,'Orders Ledger'!$F:$F,""))</f>
        <v/>
      </c>
      <c r="G1554" t="str">
        <f>IF(B1554="","",_xlfn.XLOOKUP(B1554,'Orders Ledger'!$A:$A,'Orders Ledger'!$N:$N,0))</f>
        <v/>
      </c>
    </row>
    <row r="1555" spans="2:7" x14ac:dyDescent="0.3">
      <c r="B1555" t="str">
        <f t="array" ref="B1555">IFERROR(INDEX('Orders Ledger'!$A$2:$A$1501, SMALL(IF(('Orders Ledger'!$J$2:$J$1501="disputed")+('Orders Ledger'!$J$2:$J$1501="PENDING_REVIEW"), ROW('Orders Ledger'!$A$2:$A$1501)-ROW('Orders Ledger'!$A$2)+1), ROW(1497:1497))), "")</f>
        <v/>
      </c>
      <c r="C1555" s="11" t="str">
        <f>IF(B1555="","",_xlfn.XLOOKUP(B1555,'Orders Ledger'!$A:$A,'Orders Ledger'!$B:$B,""))</f>
        <v/>
      </c>
      <c r="D1555" t="str">
        <f>IF(B1555="","",_xlfn.XLOOKUP(B1555,'Orders Ledger'!$A:$A,'Orders Ledger'!$G:$G,""))</f>
        <v/>
      </c>
      <c r="E1555" t="str">
        <f>IF(B1555="","",_xlfn.XLOOKUP(B1555,'Orders Ledger'!$A:$A,'Orders Ledger'!$H:$H,""))</f>
        <v/>
      </c>
      <c r="F1555" t="str">
        <f>IF(B1555="","",_xlfn.XLOOKUP(B1555,'Orders Ledger'!$A:$A,'Orders Ledger'!$F:$F,""))</f>
        <v/>
      </c>
      <c r="G1555" t="str">
        <f>IF(B1555="","",_xlfn.XLOOKUP(B1555,'Orders Ledger'!$A:$A,'Orders Ledger'!$N:$N,0))</f>
        <v/>
      </c>
    </row>
    <row r="1556" spans="2:7" x14ac:dyDescent="0.3">
      <c r="B1556" t="str">
        <f t="array" ref="B1556">IFERROR(INDEX('Orders Ledger'!$A$2:$A$1501, SMALL(IF(('Orders Ledger'!$J$2:$J$1501="disputed")+('Orders Ledger'!$J$2:$J$1501="PENDING_REVIEW"), ROW('Orders Ledger'!$A$2:$A$1501)-ROW('Orders Ledger'!$A$2)+1), ROW(1498:1498))), "")</f>
        <v/>
      </c>
      <c r="C1556" s="11" t="str">
        <f>IF(B1556="","",_xlfn.XLOOKUP(B1556,'Orders Ledger'!$A:$A,'Orders Ledger'!$B:$B,""))</f>
        <v/>
      </c>
      <c r="D1556" t="str">
        <f>IF(B1556="","",_xlfn.XLOOKUP(B1556,'Orders Ledger'!$A:$A,'Orders Ledger'!$G:$G,""))</f>
        <v/>
      </c>
      <c r="E1556" t="str">
        <f>IF(B1556="","",_xlfn.XLOOKUP(B1556,'Orders Ledger'!$A:$A,'Orders Ledger'!$H:$H,""))</f>
        <v/>
      </c>
      <c r="F1556" t="str">
        <f>IF(B1556="","",_xlfn.XLOOKUP(B1556,'Orders Ledger'!$A:$A,'Orders Ledger'!$F:$F,""))</f>
        <v/>
      </c>
      <c r="G1556" t="str">
        <f>IF(B1556="","",_xlfn.XLOOKUP(B1556,'Orders Ledger'!$A:$A,'Orders Ledger'!$N:$N,0))</f>
        <v/>
      </c>
    </row>
    <row r="1557" spans="2:7" x14ac:dyDescent="0.3">
      <c r="B1557" t="str">
        <f t="array" ref="B1557">IFERROR(INDEX('Orders Ledger'!$A$2:$A$1501, SMALL(IF(('Orders Ledger'!$J$2:$J$1501="disputed")+('Orders Ledger'!$J$2:$J$1501="PENDING_REVIEW"), ROW('Orders Ledger'!$A$2:$A$1501)-ROW('Orders Ledger'!$A$2)+1), ROW(1499:1499))), "")</f>
        <v/>
      </c>
      <c r="C1557" s="11" t="str">
        <f>IF(B1557="","",_xlfn.XLOOKUP(B1557,'Orders Ledger'!$A:$A,'Orders Ledger'!$B:$B,""))</f>
        <v/>
      </c>
      <c r="D1557" t="str">
        <f>IF(B1557="","",_xlfn.XLOOKUP(B1557,'Orders Ledger'!$A:$A,'Orders Ledger'!$G:$G,""))</f>
        <v/>
      </c>
      <c r="E1557" t="str">
        <f>IF(B1557="","",_xlfn.XLOOKUP(B1557,'Orders Ledger'!$A:$A,'Orders Ledger'!$H:$H,""))</f>
        <v/>
      </c>
      <c r="F1557" t="str">
        <f>IF(B1557="","",_xlfn.XLOOKUP(B1557,'Orders Ledger'!$A:$A,'Orders Ledger'!$F:$F,""))</f>
        <v/>
      </c>
      <c r="G1557" t="str">
        <f>IF(B1557="","",_xlfn.XLOOKUP(B1557,'Orders Ledger'!$A:$A,'Orders Ledger'!$N:$N,0))</f>
        <v/>
      </c>
    </row>
    <row r="1558" spans="2:7" x14ac:dyDescent="0.3">
      <c r="B1558" t="str">
        <f t="array" ref="B1558">IFERROR(INDEX('Orders Ledger'!$A$2:$A$1501, SMALL(IF(('Orders Ledger'!$J$2:$J$1501="disputed")+('Orders Ledger'!$J$2:$J$1501="PENDING_REVIEW"), ROW('Orders Ledger'!$A$2:$A$1501)-ROW('Orders Ledger'!$A$2)+1), ROW(1500:1500))), "")</f>
        <v/>
      </c>
      <c r="C1558" s="11" t="str">
        <f>IF(B1558="","",_xlfn.XLOOKUP(B1558,'Orders Ledger'!$A:$A,'Orders Ledger'!$B:$B,""))</f>
        <v/>
      </c>
      <c r="D1558" t="str">
        <f>IF(B1558="","",_xlfn.XLOOKUP(B1558,'Orders Ledger'!$A:$A,'Orders Ledger'!$G:$G,""))</f>
        <v/>
      </c>
      <c r="E1558" t="str">
        <f>IF(B1558="","",_xlfn.XLOOKUP(B1558,'Orders Ledger'!$A:$A,'Orders Ledger'!$H:$H,""))</f>
        <v/>
      </c>
      <c r="F1558" t="str">
        <f>IF(B1558="","",_xlfn.XLOOKUP(B1558,'Orders Ledger'!$A:$A,'Orders Ledger'!$F:$F,""))</f>
        <v/>
      </c>
      <c r="G1558" t="str">
        <f>IF(B1558="","",_xlfn.XLOOKUP(B1558,'Orders Ledger'!$A:$A,'Orders Ledger'!$N:$N,0))</f>
        <v/>
      </c>
    </row>
    <row r="1559" spans="2:7" x14ac:dyDescent="0.3">
      <c r="B1559" t="str">
        <f t="array" ref="B1559">IFERROR(INDEX('Orders Ledger'!$A$2:$A$1501, SMALL(IF(('Orders Ledger'!$J$2:$J$1501="disputed")+('Orders Ledger'!$J$2:$J$1501="PENDING_REVIEW"), ROW('Orders Ledger'!$A$2:$A$1501)-ROW('Orders Ledger'!$A$2)+1), ROW(1501:1501))), "")</f>
        <v/>
      </c>
      <c r="C1559" s="11" t="str">
        <f>IF(B1559="","",_xlfn.XLOOKUP(B1559,'Orders Ledger'!$A:$A,'Orders Ledger'!$B:$B,""))</f>
        <v/>
      </c>
      <c r="D1559" t="str">
        <f>IF(B1559="","",_xlfn.XLOOKUP(B1559,'Orders Ledger'!$A:$A,'Orders Ledger'!$G:$G,""))</f>
        <v/>
      </c>
      <c r="E1559" t="str">
        <f>IF(B1559="","",_xlfn.XLOOKUP(B1559,'Orders Ledger'!$A:$A,'Orders Ledger'!$H:$H,""))</f>
        <v/>
      </c>
      <c r="F1559" t="str">
        <f>IF(B1559="","",_xlfn.XLOOKUP(B1559,'Orders Ledger'!$A:$A,'Orders Ledger'!$F:$F,""))</f>
        <v/>
      </c>
      <c r="G1559" t="str">
        <f>IF(B1559="","",_xlfn.XLOOKUP(B1559,'Orders Ledger'!$A:$A,'Orders Ledger'!$N:$N,0))</f>
        <v/>
      </c>
    </row>
    <row r="1560" spans="2:7" x14ac:dyDescent="0.3">
      <c r="B1560" t="str">
        <f t="array" ref="B1560">IFERROR(INDEX('Orders Ledger'!$A$2:$A$1501, SMALL(IF(('Orders Ledger'!$J$2:$J$1501="disputed")+('Orders Ledger'!$J$2:$J$1501="PENDING_REVIEW"), ROW('Orders Ledger'!$A$2:$A$1501)-ROW('Orders Ledger'!$A$2)+1), ROW(1502:1502))), "")</f>
        <v/>
      </c>
      <c r="C1560" s="11" t="str">
        <f>IF(B1560="","",_xlfn.XLOOKUP(B1560,'Orders Ledger'!$A:$A,'Orders Ledger'!$B:$B,""))</f>
        <v/>
      </c>
      <c r="D1560" t="str">
        <f>IF(B1560="","",_xlfn.XLOOKUP(B1560,'Orders Ledger'!$A:$A,'Orders Ledger'!$G:$G,""))</f>
        <v/>
      </c>
      <c r="E1560" t="str">
        <f>IF(B1560="","",_xlfn.XLOOKUP(B1560,'Orders Ledger'!$A:$A,'Orders Ledger'!$H:$H,""))</f>
        <v/>
      </c>
      <c r="F1560" t="str">
        <f>IF(B1560="","",_xlfn.XLOOKUP(B1560,'Orders Ledger'!$A:$A,'Orders Ledger'!$F:$F,""))</f>
        <v/>
      </c>
      <c r="G1560" t="str">
        <f>IF(B1560="","",_xlfn.XLOOKUP(B1560,'Orders Ledger'!$A:$A,'Orders Ledger'!$N:$N,0))</f>
        <v/>
      </c>
    </row>
    <row r="1561" spans="2:7" x14ac:dyDescent="0.3">
      <c r="B1561" t="str">
        <f t="array" ref="B1561">IFERROR(INDEX('Orders Ledger'!$A$2:$A$1501, SMALL(IF(('Orders Ledger'!$J$2:$J$1501="disputed")+('Orders Ledger'!$J$2:$J$1501="PENDING_REVIEW"), ROW('Orders Ledger'!$A$2:$A$1501)-ROW('Orders Ledger'!$A$2)+1), ROW(1503:1503))), "")</f>
        <v/>
      </c>
      <c r="C1561" s="11" t="str">
        <f>IF(B1561="","",_xlfn.XLOOKUP(B1561,'Orders Ledger'!$A:$A,'Orders Ledger'!$B:$B,""))</f>
        <v/>
      </c>
      <c r="D1561" t="str">
        <f>IF(B1561="","",_xlfn.XLOOKUP(B1561,'Orders Ledger'!$A:$A,'Orders Ledger'!$G:$G,""))</f>
        <v/>
      </c>
      <c r="E1561" t="str">
        <f>IF(B1561="","",_xlfn.XLOOKUP(B1561,'Orders Ledger'!$A:$A,'Orders Ledger'!$H:$H,""))</f>
        <v/>
      </c>
      <c r="F1561" t="str">
        <f>IF(B1561="","",_xlfn.XLOOKUP(B1561,'Orders Ledger'!$A:$A,'Orders Ledger'!$F:$F,""))</f>
        <v/>
      </c>
      <c r="G1561" t="str">
        <f>IF(B1561="","",_xlfn.XLOOKUP(B1561,'Orders Ledger'!$A:$A,'Orders Ledger'!$N:$N,0))</f>
        <v/>
      </c>
    </row>
    <row r="1562" spans="2:7" x14ac:dyDescent="0.3">
      <c r="B1562" t="str">
        <f t="array" ref="B1562">IFERROR(INDEX('Orders Ledger'!$A$2:$A$1501, SMALL(IF(('Orders Ledger'!$J$2:$J$1501="disputed")+('Orders Ledger'!$J$2:$J$1501="PENDING_REVIEW"), ROW('Orders Ledger'!$A$2:$A$1501)-ROW('Orders Ledger'!$A$2)+1), ROW(1504:1504))), "")</f>
        <v/>
      </c>
      <c r="C1562" s="11" t="str">
        <f>IF(B1562="","",_xlfn.XLOOKUP(B1562,'Orders Ledger'!$A:$A,'Orders Ledger'!$B:$B,""))</f>
        <v/>
      </c>
      <c r="D1562" t="str">
        <f>IF(B1562="","",_xlfn.XLOOKUP(B1562,'Orders Ledger'!$A:$A,'Orders Ledger'!$G:$G,""))</f>
        <v/>
      </c>
      <c r="E1562" t="str">
        <f>IF(B1562="","",_xlfn.XLOOKUP(B1562,'Orders Ledger'!$A:$A,'Orders Ledger'!$H:$H,""))</f>
        <v/>
      </c>
      <c r="F1562" t="str">
        <f>IF(B1562="","",_xlfn.XLOOKUP(B1562,'Orders Ledger'!$A:$A,'Orders Ledger'!$F:$F,""))</f>
        <v/>
      </c>
      <c r="G1562" t="str">
        <f>IF(B1562="","",_xlfn.XLOOKUP(B1562,'Orders Ledger'!$A:$A,'Orders Ledger'!$N:$N,0))</f>
        <v/>
      </c>
    </row>
    <row r="1563" spans="2:7" x14ac:dyDescent="0.3">
      <c r="B1563" t="str">
        <f t="array" ref="B1563">IFERROR(INDEX('Orders Ledger'!$A$2:$A$1501, SMALL(IF(('Orders Ledger'!$J$2:$J$1501="disputed")+('Orders Ledger'!$J$2:$J$1501="PENDING_REVIEW"), ROW('Orders Ledger'!$A$2:$A$1501)-ROW('Orders Ledger'!$A$2)+1), ROW(1505:1505))), "")</f>
        <v/>
      </c>
      <c r="C1563" s="11" t="str">
        <f>IF(B1563="","",_xlfn.XLOOKUP(B1563,'Orders Ledger'!$A:$A,'Orders Ledger'!$B:$B,""))</f>
        <v/>
      </c>
      <c r="D1563" t="str">
        <f>IF(B1563="","",_xlfn.XLOOKUP(B1563,'Orders Ledger'!$A:$A,'Orders Ledger'!$G:$G,""))</f>
        <v/>
      </c>
      <c r="E1563" t="str">
        <f>IF(B1563="","",_xlfn.XLOOKUP(B1563,'Orders Ledger'!$A:$A,'Orders Ledger'!$H:$H,""))</f>
        <v/>
      </c>
      <c r="F1563" t="str">
        <f>IF(B1563="","",_xlfn.XLOOKUP(B1563,'Orders Ledger'!$A:$A,'Orders Ledger'!$F:$F,""))</f>
        <v/>
      </c>
      <c r="G1563" t="str">
        <f>IF(B1563="","",_xlfn.XLOOKUP(B1563,'Orders Ledger'!$A:$A,'Orders Ledger'!$N:$N,0))</f>
        <v/>
      </c>
    </row>
    <row r="1564" spans="2:7" x14ac:dyDescent="0.3">
      <c r="B1564" t="str">
        <f t="array" ref="B1564">IFERROR(INDEX('Orders Ledger'!$A$2:$A$1501, SMALL(IF(('Orders Ledger'!$J$2:$J$1501="disputed")+('Orders Ledger'!$J$2:$J$1501="PENDING_REVIEW"), ROW('Orders Ledger'!$A$2:$A$1501)-ROW('Orders Ledger'!$A$2)+1), ROW(1506:1506))), "")</f>
        <v/>
      </c>
      <c r="C1564" s="11" t="str">
        <f>IF(B1564="","",_xlfn.XLOOKUP(B1564,'Orders Ledger'!$A:$A,'Orders Ledger'!$B:$B,""))</f>
        <v/>
      </c>
      <c r="D1564" t="str">
        <f>IF(B1564="","",_xlfn.XLOOKUP(B1564,'Orders Ledger'!$A:$A,'Orders Ledger'!$G:$G,""))</f>
        <v/>
      </c>
      <c r="E1564" t="str">
        <f>IF(B1564="","",_xlfn.XLOOKUP(B1564,'Orders Ledger'!$A:$A,'Orders Ledger'!$H:$H,""))</f>
        <v/>
      </c>
      <c r="F1564" t="str">
        <f>IF(B1564="","",_xlfn.XLOOKUP(B1564,'Orders Ledger'!$A:$A,'Orders Ledger'!$F:$F,""))</f>
        <v/>
      </c>
      <c r="G1564" t="str">
        <f>IF(B1564="","",_xlfn.XLOOKUP(B1564,'Orders Ledger'!$A:$A,'Orders Ledger'!$N:$N,0))</f>
        <v/>
      </c>
    </row>
    <row r="1565" spans="2:7" x14ac:dyDescent="0.3">
      <c r="B1565" t="str">
        <f t="array" ref="B1565">IFERROR(INDEX('Orders Ledger'!$A$2:$A$1501, SMALL(IF(('Orders Ledger'!$J$2:$J$1501="disputed")+('Orders Ledger'!$J$2:$J$1501="PENDING_REVIEW"), ROW('Orders Ledger'!$A$2:$A$1501)-ROW('Orders Ledger'!$A$2)+1), ROW(1507:1507))), "")</f>
        <v/>
      </c>
      <c r="C1565" s="11" t="str">
        <f>IF(B1565="","",_xlfn.XLOOKUP(B1565,'Orders Ledger'!$A:$A,'Orders Ledger'!$B:$B,""))</f>
        <v/>
      </c>
      <c r="D1565" t="str">
        <f>IF(B1565="","",_xlfn.XLOOKUP(B1565,'Orders Ledger'!$A:$A,'Orders Ledger'!$G:$G,""))</f>
        <v/>
      </c>
      <c r="E1565" t="str">
        <f>IF(B1565="","",_xlfn.XLOOKUP(B1565,'Orders Ledger'!$A:$A,'Orders Ledger'!$H:$H,""))</f>
        <v/>
      </c>
      <c r="F1565" t="str">
        <f>IF(B1565="","",_xlfn.XLOOKUP(B1565,'Orders Ledger'!$A:$A,'Orders Ledger'!$F:$F,""))</f>
        <v/>
      </c>
      <c r="G1565" t="str">
        <f>IF(B1565="","",_xlfn.XLOOKUP(B1565,'Orders Ledger'!$A:$A,'Orders Ledger'!$N:$N,0))</f>
        <v/>
      </c>
    </row>
    <row r="1566" spans="2:7" x14ac:dyDescent="0.3">
      <c r="B1566" t="str">
        <f t="array" ref="B1566">IFERROR(INDEX('Orders Ledger'!$A$2:$A$1501, SMALL(IF(('Orders Ledger'!$J$2:$J$1501="disputed")+('Orders Ledger'!$J$2:$J$1501="PENDING_REVIEW"), ROW('Orders Ledger'!$A$2:$A$1501)-ROW('Orders Ledger'!$A$2)+1), ROW(1508:1508))), "")</f>
        <v/>
      </c>
      <c r="C1566" s="11" t="str">
        <f>IF(B1566="","",_xlfn.XLOOKUP(B1566,'Orders Ledger'!$A:$A,'Orders Ledger'!$B:$B,""))</f>
        <v/>
      </c>
      <c r="D1566" t="str">
        <f>IF(B1566="","",_xlfn.XLOOKUP(B1566,'Orders Ledger'!$A:$A,'Orders Ledger'!$G:$G,""))</f>
        <v/>
      </c>
      <c r="E1566" t="str">
        <f>IF(B1566="","",_xlfn.XLOOKUP(B1566,'Orders Ledger'!$A:$A,'Orders Ledger'!$H:$H,""))</f>
        <v/>
      </c>
      <c r="F1566" t="str">
        <f>IF(B1566="","",_xlfn.XLOOKUP(B1566,'Orders Ledger'!$A:$A,'Orders Ledger'!$F:$F,""))</f>
        <v/>
      </c>
      <c r="G1566" t="str">
        <f>IF(B1566="","",_xlfn.XLOOKUP(B1566,'Orders Ledger'!$A:$A,'Orders Ledger'!$N:$N,0))</f>
        <v/>
      </c>
    </row>
    <row r="1567" spans="2:7" x14ac:dyDescent="0.3">
      <c r="B1567" t="str">
        <f t="array" ref="B1567">IFERROR(INDEX('Orders Ledger'!$A$2:$A$1501, SMALL(IF(('Orders Ledger'!$J$2:$J$1501="disputed")+('Orders Ledger'!$J$2:$J$1501="PENDING_REVIEW"), ROW('Orders Ledger'!$A$2:$A$1501)-ROW('Orders Ledger'!$A$2)+1), ROW(1509:1509))), "")</f>
        <v/>
      </c>
      <c r="C1567" s="11" t="str">
        <f>IF(B1567="","",_xlfn.XLOOKUP(B1567,'Orders Ledger'!$A:$A,'Orders Ledger'!$B:$B,""))</f>
        <v/>
      </c>
      <c r="D1567" t="str">
        <f>IF(B1567="","",_xlfn.XLOOKUP(B1567,'Orders Ledger'!$A:$A,'Orders Ledger'!$G:$G,""))</f>
        <v/>
      </c>
      <c r="E1567" t="str">
        <f>IF(B1567="","",_xlfn.XLOOKUP(B1567,'Orders Ledger'!$A:$A,'Orders Ledger'!$H:$H,""))</f>
        <v/>
      </c>
      <c r="F1567" t="str">
        <f>IF(B1567="","",_xlfn.XLOOKUP(B1567,'Orders Ledger'!$A:$A,'Orders Ledger'!$F:$F,""))</f>
        <v/>
      </c>
      <c r="G1567" t="str">
        <f>IF(B1567="","",_xlfn.XLOOKUP(B1567,'Orders Ledger'!$A:$A,'Orders Ledger'!$N:$N,0))</f>
        <v/>
      </c>
    </row>
    <row r="1568" spans="2:7" x14ac:dyDescent="0.3">
      <c r="B1568" t="str">
        <f t="array" ref="B1568">IFERROR(INDEX('Orders Ledger'!$A$2:$A$1501, SMALL(IF(('Orders Ledger'!$J$2:$J$1501="disputed")+('Orders Ledger'!$J$2:$J$1501="PENDING_REVIEW"), ROW('Orders Ledger'!$A$2:$A$1501)-ROW('Orders Ledger'!$A$2)+1), ROW(1510:1510))), "")</f>
        <v/>
      </c>
      <c r="C1568" s="11" t="str">
        <f>IF(B1568="","",_xlfn.XLOOKUP(B1568,'Orders Ledger'!$A:$A,'Orders Ledger'!$B:$B,""))</f>
        <v/>
      </c>
      <c r="D1568" t="str">
        <f>IF(B1568="","",_xlfn.XLOOKUP(B1568,'Orders Ledger'!$A:$A,'Orders Ledger'!$G:$G,""))</f>
        <v/>
      </c>
      <c r="E1568" t="str">
        <f>IF(B1568="","",_xlfn.XLOOKUP(B1568,'Orders Ledger'!$A:$A,'Orders Ledger'!$H:$H,""))</f>
        <v/>
      </c>
      <c r="F1568" t="str">
        <f>IF(B1568="","",_xlfn.XLOOKUP(B1568,'Orders Ledger'!$A:$A,'Orders Ledger'!$F:$F,""))</f>
        <v/>
      </c>
      <c r="G1568" t="str">
        <f>IF(B1568="","",_xlfn.XLOOKUP(B1568,'Orders Ledger'!$A:$A,'Orders Ledger'!$N:$N,0))</f>
        <v/>
      </c>
    </row>
    <row r="1569" spans="2:7" x14ac:dyDescent="0.3">
      <c r="B1569" t="str">
        <f t="array" ref="B1569">IFERROR(INDEX('Orders Ledger'!$A$2:$A$1501, SMALL(IF(('Orders Ledger'!$J$2:$J$1501="disputed")+('Orders Ledger'!$J$2:$J$1501="PENDING_REVIEW"), ROW('Orders Ledger'!$A$2:$A$1501)-ROW('Orders Ledger'!$A$2)+1), ROW(1511:1511))), "")</f>
        <v/>
      </c>
      <c r="C1569" s="11" t="str">
        <f>IF(B1569="","",_xlfn.XLOOKUP(B1569,'Orders Ledger'!$A:$A,'Orders Ledger'!$B:$B,""))</f>
        <v/>
      </c>
      <c r="D1569" t="str">
        <f>IF(B1569="","",_xlfn.XLOOKUP(B1569,'Orders Ledger'!$A:$A,'Orders Ledger'!$G:$G,""))</f>
        <v/>
      </c>
      <c r="E1569" t="str">
        <f>IF(B1569="","",_xlfn.XLOOKUP(B1569,'Orders Ledger'!$A:$A,'Orders Ledger'!$H:$H,""))</f>
        <v/>
      </c>
      <c r="F1569" t="str">
        <f>IF(B1569="","",_xlfn.XLOOKUP(B1569,'Orders Ledger'!$A:$A,'Orders Ledger'!$F:$F,""))</f>
        <v/>
      </c>
      <c r="G1569" t="str">
        <f>IF(B1569="","",_xlfn.XLOOKUP(B1569,'Orders Ledger'!$A:$A,'Orders Ledger'!$N:$N,0))</f>
        <v/>
      </c>
    </row>
    <row r="1570" spans="2:7" x14ac:dyDescent="0.3">
      <c r="B1570" t="str">
        <f t="array" ref="B1570">IFERROR(INDEX('Orders Ledger'!$A$2:$A$1501, SMALL(IF(('Orders Ledger'!$J$2:$J$1501="disputed")+('Orders Ledger'!$J$2:$J$1501="PENDING_REVIEW"), ROW('Orders Ledger'!$A$2:$A$1501)-ROW('Orders Ledger'!$A$2)+1), ROW(1512:1512))), "")</f>
        <v/>
      </c>
      <c r="C1570" s="11" t="str">
        <f>IF(B1570="","",_xlfn.XLOOKUP(B1570,'Orders Ledger'!$A:$A,'Orders Ledger'!$B:$B,""))</f>
        <v/>
      </c>
      <c r="D1570" t="str">
        <f>IF(B1570="","",_xlfn.XLOOKUP(B1570,'Orders Ledger'!$A:$A,'Orders Ledger'!$G:$G,""))</f>
        <v/>
      </c>
      <c r="E1570" t="str">
        <f>IF(B1570="","",_xlfn.XLOOKUP(B1570,'Orders Ledger'!$A:$A,'Orders Ledger'!$H:$H,""))</f>
        <v/>
      </c>
      <c r="F1570" t="str">
        <f>IF(B1570="","",_xlfn.XLOOKUP(B1570,'Orders Ledger'!$A:$A,'Orders Ledger'!$F:$F,""))</f>
        <v/>
      </c>
      <c r="G1570" t="str">
        <f>IF(B1570="","",_xlfn.XLOOKUP(B1570,'Orders Ledger'!$A:$A,'Orders Ledger'!$N:$N,0))</f>
        <v/>
      </c>
    </row>
    <row r="1571" spans="2:7" x14ac:dyDescent="0.3">
      <c r="B1571" t="str">
        <f t="array" ref="B1571">IFERROR(INDEX('Orders Ledger'!$A$2:$A$1501, SMALL(IF(('Orders Ledger'!$J$2:$J$1501="disputed")+('Orders Ledger'!$J$2:$J$1501="PENDING_REVIEW"), ROW('Orders Ledger'!$A$2:$A$1501)-ROW('Orders Ledger'!$A$2)+1), ROW(1513:1513))), "")</f>
        <v/>
      </c>
      <c r="C1571" s="11" t="str">
        <f>IF(B1571="","",_xlfn.XLOOKUP(B1571,'Orders Ledger'!$A:$A,'Orders Ledger'!$B:$B,""))</f>
        <v/>
      </c>
      <c r="D1571" t="str">
        <f>IF(B1571="","",_xlfn.XLOOKUP(B1571,'Orders Ledger'!$A:$A,'Orders Ledger'!$G:$G,""))</f>
        <v/>
      </c>
      <c r="E1571" t="str">
        <f>IF(B1571="","",_xlfn.XLOOKUP(B1571,'Orders Ledger'!$A:$A,'Orders Ledger'!$H:$H,""))</f>
        <v/>
      </c>
      <c r="F1571" t="str">
        <f>IF(B1571="","",_xlfn.XLOOKUP(B1571,'Orders Ledger'!$A:$A,'Orders Ledger'!$F:$F,""))</f>
        <v/>
      </c>
      <c r="G1571" t="str">
        <f>IF(B1571="","",_xlfn.XLOOKUP(B1571,'Orders Ledger'!$A:$A,'Orders Ledger'!$N:$N,0))</f>
        <v/>
      </c>
    </row>
    <row r="1572" spans="2:7" x14ac:dyDescent="0.3">
      <c r="B1572" t="str">
        <f t="array" ref="B1572">IFERROR(INDEX('Orders Ledger'!$A$2:$A$1501, SMALL(IF(('Orders Ledger'!$J$2:$J$1501="disputed")+('Orders Ledger'!$J$2:$J$1501="PENDING_REVIEW"), ROW('Orders Ledger'!$A$2:$A$1501)-ROW('Orders Ledger'!$A$2)+1), ROW(1514:1514))), "")</f>
        <v/>
      </c>
      <c r="C1572" s="11" t="str">
        <f>IF(B1572="","",_xlfn.XLOOKUP(B1572,'Orders Ledger'!$A:$A,'Orders Ledger'!$B:$B,""))</f>
        <v/>
      </c>
      <c r="D1572" t="str">
        <f>IF(B1572="","",_xlfn.XLOOKUP(B1572,'Orders Ledger'!$A:$A,'Orders Ledger'!$G:$G,""))</f>
        <v/>
      </c>
      <c r="E1572" t="str">
        <f>IF(B1572="","",_xlfn.XLOOKUP(B1572,'Orders Ledger'!$A:$A,'Orders Ledger'!$H:$H,""))</f>
        <v/>
      </c>
      <c r="F1572" t="str">
        <f>IF(B1572="","",_xlfn.XLOOKUP(B1572,'Orders Ledger'!$A:$A,'Orders Ledger'!$F:$F,""))</f>
        <v/>
      </c>
      <c r="G1572" t="str">
        <f>IF(B1572="","",_xlfn.XLOOKUP(B1572,'Orders Ledger'!$A:$A,'Orders Ledger'!$N:$N,0))</f>
        <v/>
      </c>
    </row>
    <row r="1573" spans="2:7" x14ac:dyDescent="0.3">
      <c r="B1573" t="str">
        <f t="array" ref="B1573">IFERROR(INDEX('Orders Ledger'!$A$2:$A$1501, SMALL(IF(('Orders Ledger'!$J$2:$J$1501="disputed")+('Orders Ledger'!$J$2:$J$1501="PENDING_REVIEW"), ROW('Orders Ledger'!$A$2:$A$1501)-ROW('Orders Ledger'!$A$2)+1), ROW(1515:1515))), "")</f>
        <v/>
      </c>
      <c r="C1573" s="11" t="str">
        <f>IF(B1573="","",_xlfn.XLOOKUP(B1573,'Orders Ledger'!$A:$A,'Orders Ledger'!$B:$B,""))</f>
        <v/>
      </c>
      <c r="D1573" t="str">
        <f>IF(B1573="","",_xlfn.XLOOKUP(B1573,'Orders Ledger'!$A:$A,'Orders Ledger'!$G:$G,""))</f>
        <v/>
      </c>
      <c r="E1573" t="str">
        <f>IF(B1573="","",_xlfn.XLOOKUP(B1573,'Orders Ledger'!$A:$A,'Orders Ledger'!$H:$H,""))</f>
        <v/>
      </c>
      <c r="F1573" t="str">
        <f>IF(B1573="","",_xlfn.XLOOKUP(B1573,'Orders Ledger'!$A:$A,'Orders Ledger'!$F:$F,""))</f>
        <v/>
      </c>
      <c r="G1573" t="str">
        <f>IF(B1573="","",_xlfn.XLOOKUP(B1573,'Orders Ledger'!$A:$A,'Orders Ledger'!$N:$N,0))</f>
        <v/>
      </c>
    </row>
    <row r="1574" spans="2:7" x14ac:dyDescent="0.3">
      <c r="B1574" t="str">
        <f t="array" ref="B1574">IFERROR(INDEX('Orders Ledger'!$A$2:$A$1501, SMALL(IF(('Orders Ledger'!$J$2:$J$1501="disputed")+('Orders Ledger'!$J$2:$J$1501="PENDING_REVIEW"), ROW('Orders Ledger'!$A$2:$A$1501)-ROW('Orders Ledger'!$A$2)+1), ROW(1516:1516))), "")</f>
        <v/>
      </c>
      <c r="C1574" s="11" t="str">
        <f>IF(B1574="","",_xlfn.XLOOKUP(B1574,'Orders Ledger'!$A:$A,'Orders Ledger'!$B:$B,""))</f>
        <v/>
      </c>
      <c r="D1574" t="str">
        <f>IF(B1574="","",_xlfn.XLOOKUP(B1574,'Orders Ledger'!$A:$A,'Orders Ledger'!$G:$G,""))</f>
        <v/>
      </c>
      <c r="E1574" t="str">
        <f>IF(B1574="","",_xlfn.XLOOKUP(B1574,'Orders Ledger'!$A:$A,'Orders Ledger'!$H:$H,""))</f>
        <v/>
      </c>
      <c r="F1574" t="str">
        <f>IF(B1574="","",_xlfn.XLOOKUP(B1574,'Orders Ledger'!$A:$A,'Orders Ledger'!$F:$F,""))</f>
        <v/>
      </c>
      <c r="G1574" t="str">
        <f>IF(B1574="","",_xlfn.XLOOKUP(B1574,'Orders Ledger'!$A:$A,'Orders Ledger'!$N:$N,0))</f>
        <v/>
      </c>
    </row>
    <row r="1575" spans="2:7" x14ac:dyDescent="0.3">
      <c r="B1575" t="str">
        <f t="array" ref="B1575">IFERROR(INDEX('Orders Ledger'!$A$2:$A$1501, SMALL(IF(('Orders Ledger'!$J$2:$J$1501="disputed")+('Orders Ledger'!$J$2:$J$1501="PENDING_REVIEW"), ROW('Orders Ledger'!$A$2:$A$1501)-ROW('Orders Ledger'!$A$2)+1), ROW(1517:1517))), "")</f>
        <v/>
      </c>
      <c r="C1575" s="11" t="str">
        <f>IF(B1575="","",_xlfn.XLOOKUP(B1575,'Orders Ledger'!$A:$A,'Orders Ledger'!$B:$B,""))</f>
        <v/>
      </c>
      <c r="D1575" t="str">
        <f>IF(B1575="","",_xlfn.XLOOKUP(B1575,'Orders Ledger'!$A:$A,'Orders Ledger'!$G:$G,""))</f>
        <v/>
      </c>
      <c r="E1575" t="str">
        <f>IF(B1575="","",_xlfn.XLOOKUP(B1575,'Orders Ledger'!$A:$A,'Orders Ledger'!$H:$H,""))</f>
        <v/>
      </c>
      <c r="F1575" t="str">
        <f>IF(B1575="","",_xlfn.XLOOKUP(B1575,'Orders Ledger'!$A:$A,'Orders Ledger'!$F:$F,""))</f>
        <v/>
      </c>
      <c r="G1575" t="str">
        <f>IF(B1575="","",_xlfn.XLOOKUP(B1575,'Orders Ledger'!$A:$A,'Orders Ledger'!$N:$N,0))</f>
        <v/>
      </c>
    </row>
    <row r="1576" spans="2:7" x14ac:dyDescent="0.3">
      <c r="B1576" t="str">
        <f t="array" ref="B1576">IFERROR(INDEX('Orders Ledger'!$A$2:$A$1501, SMALL(IF(('Orders Ledger'!$J$2:$J$1501="disputed")+('Orders Ledger'!$J$2:$J$1501="PENDING_REVIEW"), ROW('Orders Ledger'!$A$2:$A$1501)-ROW('Orders Ledger'!$A$2)+1), ROW(1518:1518))), "")</f>
        <v/>
      </c>
      <c r="C1576" s="11" t="str">
        <f>IF(B1576="","",_xlfn.XLOOKUP(B1576,'Orders Ledger'!$A:$A,'Orders Ledger'!$B:$B,""))</f>
        <v/>
      </c>
      <c r="D1576" t="str">
        <f>IF(B1576="","",_xlfn.XLOOKUP(B1576,'Orders Ledger'!$A:$A,'Orders Ledger'!$G:$G,""))</f>
        <v/>
      </c>
      <c r="E1576" t="str">
        <f>IF(B1576="","",_xlfn.XLOOKUP(B1576,'Orders Ledger'!$A:$A,'Orders Ledger'!$H:$H,""))</f>
        <v/>
      </c>
      <c r="F1576" t="str">
        <f>IF(B1576="","",_xlfn.XLOOKUP(B1576,'Orders Ledger'!$A:$A,'Orders Ledger'!$F:$F,""))</f>
        <v/>
      </c>
      <c r="G1576" t="str">
        <f>IF(B1576="","",_xlfn.XLOOKUP(B1576,'Orders Ledger'!$A:$A,'Orders Ledger'!$N:$N,0))</f>
        <v/>
      </c>
    </row>
    <row r="1577" spans="2:7" x14ac:dyDescent="0.3">
      <c r="B1577" t="str">
        <f t="array" ref="B1577">IFERROR(INDEX('Orders Ledger'!$A$2:$A$1501, SMALL(IF(('Orders Ledger'!$J$2:$J$1501="disputed")+('Orders Ledger'!$J$2:$J$1501="PENDING_REVIEW"), ROW('Orders Ledger'!$A$2:$A$1501)-ROW('Orders Ledger'!$A$2)+1), ROW(1519:1519))), "")</f>
        <v/>
      </c>
      <c r="C1577" s="11" t="str">
        <f>IF(B1577="","",_xlfn.XLOOKUP(B1577,'Orders Ledger'!$A:$A,'Orders Ledger'!$B:$B,""))</f>
        <v/>
      </c>
      <c r="D1577" t="str">
        <f>IF(B1577="","",_xlfn.XLOOKUP(B1577,'Orders Ledger'!$A:$A,'Orders Ledger'!$G:$G,""))</f>
        <v/>
      </c>
      <c r="E1577" t="str">
        <f>IF(B1577="","",_xlfn.XLOOKUP(B1577,'Orders Ledger'!$A:$A,'Orders Ledger'!$H:$H,""))</f>
        <v/>
      </c>
      <c r="F1577" t="str">
        <f>IF(B1577="","",_xlfn.XLOOKUP(B1577,'Orders Ledger'!$A:$A,'Orders Ledger'!$F:$F,""))</f>
        <v/>
      </c>
      <c r="G1577" t="str">
        <f>IF(B1577="","",_xlfn.XLOOKUP(B1577,'Orders Ledger'!$A:$A,'Orders Ledger'!$N:$N,0))</f>
        <v/>
      </c>
    </row>
    <row r="1578" spans="2:7" x14ac:dyDescent="0.3">
      <c r="B1578" t="str">
        <f t="array" ref="B1578">IFERROR(INDEX('Orders Ledger'!$A$2:$A$1501, SMALL(IF(('Orders Ledger'!$J$2:$J$1501="disputed")+('Orders Ledger'!$J$2:$J$1501="PENDING_REVIEW"), ROW('Orders Ledger'!$A$2:$A$1501)-ROW('Orders Ledger'!$A$2)+1), ROW(1520:1520))), "")</f>
        <v/>
      </c>
      <c r="C1578" s="11" t="str">
        <f>IF(B1578="","",_xlfn.XLOOKUP(B1578,'Orders Ledger'!$A:$A,'Orders Ledger'!$B:$B,""))</f>
        <v/>
      </c>
      <c r="D1578" t="str">
        <f>IF(B1578="","",_xlfn.XLOOKUP(B1578,'Orders Ledger'!$A:$A,'Orders Ledger'!$G:$G,""))</f>
        <v/>
      </c>
      <c r="E1578" t="str">
        <f>IF(B1578="","",_xlfn.XLOOKUP(B1578,'Orders Ledger'!$A:$A,'Orders Ledger'!$H:$H,""))</f>
        <v/>
      </c>
      <c r="F1578" t="str">
        <f>IF(B1578="","",_xlfn.XLOOKUP(B1578,'Orders Ledger'!$A:$A,'Orders Ledger'!$F:$F,""))</f>
        <v/>
      </c>
      <c r="G1578" t="str">
        <f>IF(B1578="","",_xlfn.XLOOKUP(B1578,'Orders Ledger'!$A:$A,'Orders Ledger'!$N:$N,0))</f>
        <v/>
      </c>
    </row>
    <row r="1579" spans="2:7" x14ac:dyDescent="0.3">
      <c r="B1579" t="str">
        <f t="array" ref="B1579">IFERROR(INDEX('Orders Ledger'!$A$2:$A$1501, SMALL(IF(('Orders Ledger'!$J$2:$J$1501="disputed")+('Orders Ledger'!$J$2:$J$1501="PENDING_REVIEW"), ROW('Orders Ledger'!$A$2:$A$1501)-ROW('Orders Ledger'!$A$2)+1), ROW(1521:1521))), "")</f>
        <v/>
      </c>
      <c r="C1579" s="11" t="str">
        <f>IF(B1579="","",_xlfn.XLOOKUP(B1579,'Orders Ledger'!$A:$A,'Orders Ledger'!$B:$B,""))</f>
        <v/>
      </c>
      <c r="D1579" t="str">
        <f>IF(B1579="","",_xlfn.XLOOKUP(B1579,'Orders Ledger'!$A:$A,'Orders Ledger'!$G:$G,""))</f>
        <v/>
      </c>
      <c r="E1579" t="str">
        <f>IF(B1579="","",_xlfn.XLOOKUP(B1579,'Orders Ledger'!$A:$A,'Orders Ledger'!$H:$H,""))</f>
        <v/>
      </c>
      <c r="F1579" t="str">
        <f>IF(B1579="","",_xlfn.XLOOKUP(B1579,'Orders Ledger'!$A:$A,'Orders Ledger'!$F:$F,""))</f>
        <v/>
      </c>
      <c r="G1579" t="str">
        <f>IF(B1579="","",_xlfn.XLOOKUP(B1579,'Orders Ledger'!$A:$A,'Orders Ledger'!$N:$N,0))</f>
        <v/>
      </c>
    </row>
  </sheetData>
  <pageMargins left="0.7" right="0.7" top="0.75" bottom="0.75" header="0.3" footer="0.3"/>
  <pageSetup paperSize="9" orientation="portrait" verticalDpi="0"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Executive Dashboard</vt:lpstr>
      <vt:lpstr>Orders Ledger</vt:lpstr>
      <vt:lpstr>Product Catalog</vt:lpstr>
      <vt:lpstr>Pivot</vt:lpstr>
      <vt:lpstr>'Executive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Vaithi Nathan</cp:lastModifiedBy>
  <dcterms:created xsi:type="dcterms:W3CDTF">2026-08-22T13:28:04Z</dcterms:created>
  <dcterms:modified xsi:type="dcterms:W3CDTF">2026-08-30T06:20:29Z</dcterms:modified>
</cp:coreProperties>
</file>